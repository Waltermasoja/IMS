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0730" windowHeight="11760" tabRatio="754" activeTab="1"/>
  </bookViews>
  <sheets>
    <sheet name="Budget" sheetId="2" r:id="rId1"/>
    <sheet name="STOCK TAKE" sheetId="21" r:id="rId2"/>
    <sheet name="cashflow" sheetId="5" r:id="rId3"/>
    <sheet name="cashbook" sheetId="4" r:id="rId4"/>
    <sheet name="cash budget" sheetId="17" r:id="rId5"/>
    <sheet name="o stock" sheetId="8" r:id="rId6"/>
    <sheet name="layby clients" sheetId="19" r:id="rId7"/>
    <sheet name="credit clients " sheetId="14" r:id="rId8"/>
    <sheet name="daily sales" sheetId="3" r:id="rId9"/>
    <sheet name="sales analysis" sheetId="18" r:id="rId10"/>
    <sheet name="sops" sheetId="13" r:id="rId11"/>
    <sheet name="stock purchase 2023" sheetId="16" r:id="rId12"/>
    <sheet name="stock movement" sheetId="22" r:id="rId13"/>
  </sheets>
  <definedNames>
    <definedName name="_xlnm.Print_Area" localSheetId="0">Budget!$A$1:$V$91</definedName>
    <definedName name="_xlnm.Print_Area" localSheetId="5">'o stock'!$B$1:$R$2013</definedName>
    <definedName name="_xlnm.Print_Area" localSheetId="11">'stock purchase 2023'!$A$1:$T$659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4" i="4" l="1"/>
  <c r="L223" i="4" l="1"/>
  <c r="K223" i="4"/>
  <c r="K28" i="18" l="1"/>
  <c r="B1155" i="3"/>
  <c r="F230" i="19" l="1"/>
  <c r="F561" i="14"/>
  <c r="F545" i="14"/>
  <c r="B1148" i="3" l="1"/>
  <c r="B1141" i="3" l="1"/>
  <c r="B1136" i="3" l="1"/>
  <c r="F237" i="19" l="1"/>
  <c r="J237" i="19" s="1"/>
  <c r="G237" i="19"/>
  <c r="H237" i="19"/>
  <c r="B1129" i="3"/>
  <c r="F511" i="14"/>
  <c r="E511" i="14"/>
  <c r="F233" i="19" l="1"/>
  <c r="G233" i="19"/>
  <c r="H233" i="19"/>
  <c r="J233" i="19" s="1"/>
  <c r="F482" i="14"/>
  <c r="I617" i="14"/>
  <c r="E617" i="14"/>
  <c r="F617" i="14"/>
  <c r="I612" i="14"/>
  <c r="E612" i="14"/>
  <c r="F612" i="14"/>
  <c r="E609" i="14"/>
  <c r="B1121" i="3" l="1"/>
  <c r="B1112" i="3" l="1"/>
  <c r="B1105" i="3" l="1"/>
  <c r="B1094" i="3"/>
  <c r="F498" i="14"/>
  <c r="F365" i="14" l="1"/>
  <c r="F320" i="14"/>
  <c r="E430" i="14"/>
  <c r="F430" i="14"/>
  <c r="B1088" i="3"/>
  <c r="B1084" i="3"/>
  <c r="B1074" i="3"/>
  <c r="J51" i="18" l="1"/>
  <c r="B1066" i="3" l="1"/>
  <c r="L506" i="14" l="1"/>
  <c r="E607" i="14"/>
  <c r="F607" i="14"/>
  <c r="B1062" i="3"/>
  <c r="B1057" i="3"/>
  <c r="B1042" i="3"/>
  <c r="B1164" i="3" s="1"/>
  <c r="B1047" i="3"/>
  <c r="K210" i="4"/>
  <c r="L207" i="4"/>
  <c r="K200" i="4"/>
  <c r="K198" i="4"/>
  <c r="F528" i="14"/>
  <c r="F540" i="14"/>
  <c r="F550" i="14"/>
  <c r="I607" i="14" l="1"/>
  <c r="L10" i="18"/>
  <c r="B1019" i="3"/>
  <c r="H26" i="19"/>
  <c r="G26" i="19"/>
  <c r="F26" i="19"/>
  <c r="E602" i="14" l="1"/>
  <c r="F602" i="14"/>
  <c r="I602" i="14" l="1"/>
  <c r="F228" i="19"/>
  <c r="G228" i="19"/>
  <c r="H228" i="19"/>
  <c r="E461" i="14"/>
  <c r="B1014" i="3"/>
  <c r="H150" i="19"/>
  <c r="F516" i="14"/>
  <c r="E516" i="14"/>
  <c r="F383" i="14"/>
  <c r="F571" i="14"/>
  <c r="E598" i="14"/>
  <c r="F598" i="14"/>
  <c r="E561" i="14"/>
  <c r="R1872" i="8"/>
  <c r="R1980" i="8"/>
  <c r="R1979" i="8"/>
  <c r="R1983" i="8"/>
  <c r="I598" i="14" l="1"/>
  <c r="J228" i="19"/>
  <c r="L189" i="4"/>
  <c r="B1010" i="3"/>
  <c r="B1002" i="3"/>
  <c r="B985" i="3" l="1"/>
  <c r="B968" i="3"/>
  <c r="Q693" i="8" l="1"/>
  <c r="B959" i="3" l="1"/>
  <c r="R1349" i="8"/>
  <c r="F144" i="19"/>
  <c r="F472" i="14" l="1"/>
  <c r="L179" i="4"/>
  <c r="B953" i="3"/>
  <c r="B949" i="3"/>
  <c r="R1380" i="8" l="1"/>
  <c r="R406" i="8"/>
  <c r="R764" i="8"/>
  <c r="R1401" i="8"/>
  <c r="R1370" i="8"/>
  <c r="H201" i="19"/>
  <c r="F201" i="19"/>
  <c r="R1342" i="8"/>
  <c r="B944" i="3" l="1"/>
  <c r="B939" i="3" l="1"/>
  <c r="R762" i="8" l="1"/>
  <c r="R662" i="8" l="1"/>
  <c r="R1306" i="8"/>
  <c r="R1462" i="8"/>
  <c r="H88" i="19"/>
  <c r="R1251" i="8"/>
  <c r="R1275" i="8"/>
  <c r="R1295" i="8"/>
  <c r="B933" i="3"/>
  <c r="R74" i="8"/>
  <c r="R1620" i="8" l="1"/>
  <c r="R1200" i="8"/>
  <c r="R742" i="8"/>
  <c r="R72" i="8"/>
  <c r="R615" i="8"/>
  <c r="R760" i="8"/>
  <c r="R759" i="8"/>
  <c r="R1377" i="8"/>
  <c r="R65" i="8"/>
  <c r="R334" i="8"/>
  <c r="F214" i="19"/>
  <c r="R1400" i="8"/>
  <c r="R1289" i="8"/>
  <c r="R1298" i="8"/>
  <c r="R1299" i="8"/>
  <c r="F505" i="14"/>
  <c r="E505" i="14"/>
  <c r="R336" i="8"/>
  <c r="F224" i="19"/>
  <c r="G224" i="19"/>
  <c r="H224" i="19"/>
  <c r="R1760" i="8"/>
  <c r="R1658" i="8"/>
  <c r="R1291" i="8"/>
  <c r="R1194" i="8"/>
  <c r="R1161" i="8"/>
  <c r="R1381" i="8"/>
  <c r="E593" i="14"/>
  <c r="I593" i="14" s="1"/>
  <c r="F593" i="14"/>
  <c r="R1305" i="8"/>
  <c r="E588" i="14"/>
  <c r="F588" i="14"/>
  <c r="R1308" i="8"/>
  <c r="B920" i="3"/>
  <c r="I588" i="14" l="1"/>
  <c r="J224" i="19"/>
  <c r="B906" i="3"/>
  <c r="R1210" i="8"/>
  <c r="R77" i="8"/>
  <c r="F576" i="14"/>
  <c r="F220" i="19"/>
  <c r="G220" i="19"/>
  <c r="H220" i="19"/>
  <c r="R744" i="8"/>
  <c r="R1260" i="8"/>
  <c r="R2011" i="8"/>
  <c r="R1550" i="8"/>
  <c r="R1513" i="8"/>
  <c r="R1376" i="8"/>
  <c r="R1363" i="8"/>
  <c r="G216" i="19"/>
  <c r="H216" i="19"/>
  <c r="F216" i="19"/>
  <c r="R1313" i="8"/>
  <c r="E584" i="14"/>
  <c r="F584" i="14"/>
  <c r="I584" i="14" s="1"/>
  <c r="B887" i="3"/>
  <c r="F359" i="14"/>
  <c r="R1309" i="8"/>
  <c r="J216" i="19" l="1"/>
  <c r="F212" i="19"/>
  <c r="G212" i="19"/>
  <c r="H212" i="19"/>
  <c r="R96" i="8"/>
  <c r="R95" i="8"/>
  <c r="R93" i="8"/>
  <c r="R1362" i="8"/>
  <c r="R1449" i="8"/>
  <c r="R1437" i="8"/>
  <c r="E580" i="14"/>
  <c r="F580" i="14"/>
  <c r="I580" i="14" l="1"/>
  <c r="J212" i="19"/>
  <c r="B877" i="3"/>
  <c r="B869" i="3"/>
  <c r="B859" i="3"/>
  <c r="I52" i="18" l="1"/>
  <c r="H52" i="18"/>
  <c r="R1312" i="8"/>
  <c r="E576" i="14"/>
  <c r="I576" i="14" s="1"/>
  <c r="R1870" i="8"/>
  <c r="R1836" i="8"/>
  <c r="R1645" i="8"/>
  <c r="E440" i="14"/>
  <c r="F440" i="14"/>
  <c r="R1602" i="8"/>
  <c r="R1735" i="8"/>
  <c r="R1635" i="8"/>
  <c r="B848" i="3"/>
  <c r="B841" i="3" l="1"/>
  <c r="R533" i="8"/>
  <c r="R1886" i="8"/>
  <c r="R573" i="8"/>
  <c r="R76" i="8"/>
  <c r="R616" i="8"/>
  <c r="R94" i="8" l="1"/>
  <c r="F208" i="19"/>
  <c r="G208" i="19"/>
  <c r="H208" i="19"/>
  <c r="J208" i="19" s="1"/>
  <c r="R1364" i="8"/>
  <c r="R1302" i="8"/>
  <c r="E571" i="14"/>
  <c r="I571" i="14" s="1"/>
  <c r="R92" i="8"/>
  <c r="R1310" i="8"/>
  <c r="R80" i="8"/>
  <c r="H195" i="19"/>
  <c r="R1365" i="8"/>
  <c r="R1288" i="8"/>
  <c r="R1436" i="8"/>
  <c r="E565" i="14"/>
  <c r="F565" i="14"/>
  <c r="R1358" i="8"/>
  <c r="I561" i="14"/>
  <c r="R1327" i="8"/>
  <c r="R1351" i="8"/>
  <c r="G201" i="19"/>
  <c r="R1345" i="8"/>
  <c r="R1339" i="8"/>
  <c r="R1217" i="8"/>
  <c r="R1176" i="8"/>
  <c r="R1399" i="8"/>
  <c r="F421" i="14"/>
  <c r="R1398" i="8"/>
  <c r="R1990" i="8"/>
  <c r="R1422" i="8"/>
  <c r="R936" i="8"/>
  <c r="R51" i="8"/>
  <c r="E555" i="14"/>
  <c r="F555" i="14"/>
  <c r="F267" i="14"/>
  <c r="R1273" i="8"/>
  <c r="E550" i="14"/>
  <c r="I550" i="14" s="1"/>
  <c r="R621" i="8"/>
  <c r="E545" i="14"/>
  <c r="R768" i="8"/>
  <c r="R347" i="8"/>
  <c r="R842" i="8"/>
  <c r="R75" i="8"/>
  <c r="F195" i="19"/>
  <c r="I545" i="14" l="1"/>
  <c r="I555" i="14"/>
  <c r="I565" i="14"/>
  <c r="J201" i="19"/>
  <c r="J195" i="19"/>
  <c r="B832" i="3"/>
  <c r="H1316" i="8" l="1"/>
  <c r="I1316" i="8" s="1"/>
  <c r="J1316" i="8" s="1"/>
  <c r="L1316" i="8" s="1"/>
  <c r="H1315" i="8"/>
  <c r="I1315" i="8" s="1"/>
  <c r="J1315" i="8" s="1"/>
  <c r="L1315" i="8" s="1"/>
  <c r="H1314" i="8"/>
  <c r="I1314" i="8" s="1"/>
  <c r="J1314" i="8" s="1"/>
  <c r="L1314" i="8" s="1"/>
  <c r="H1313" i="8"/>
  <c r="I1313" i="8" s="1"/>
  <c r="J1313" i="8" s="1"/>
  <c r="L1313" i="8" s="1"/>
  <c r="H1312" i="8"/>
  <c r="I1312" i="8" s="1"/>
  <c r="J1312" i="8" s="1"/>
  <c r="L1312" i="8" s="1"/>
  <c r="H1311" i="8"/>
  <c r="I1311" i="8" s="1"/>
  <c r="J1311" i="8" s="1"/>
  <c r="L1311" i="8" s="1"/>
  <c r="H1310" i="8"/>
  <c r="I1310" i="8" s="1"/>
  <c r="J1310" i="8" s="1"/>
  <c r="L1310" i="8" s="1"/>
  <c r="H1309" i="8"/>
  <c r="I1309" i="8" s="1"/>
  <c r="J1309" i="8" s="1"/>
  <c r="L1309" i="8" s="1"/>
  <c r="H1308" i="8"/>
  <c r="I1308" i="8" s="1"/>
  <c r="J1308" i="8" s="1"/>
  <c r="L1308" i="8" s="1"/>
  <c r="H1307" i="8"/>
  <c r="I1307" i="8" s="1"/>
  <c r="J1307" i="8" s="1"/>
  <c r="L1307" i="8" s="1"/>
  <c r="H1306" i="8"/>
  <c r="I1306" i="8" s="1"/>
  <c r="J1306" i="8" s="1"/>
  <c r="L1306" i="8" s="1"/>
  <c r="H1305" i="8"/>
  <c r="I1305" i="8" s="1"/>
  <c r="J1305" i="8" s="1"/>
  <c r="L1305" i="8" s="1"/>
  <c r="H1304" i="8"/>
  <c r="I1304" i="8" s="1"/>
  <c r="J1304" i="8" s="1"/>
  <c r="L1304" i="8" s="1"/>
  <c r="H1303" i="8"/>
  <c r="I1303" i="8" s="1"/>
  <c r="J1303" i="8" s="1"/>
  <c r="L1303" i="8" s="1"/>
  <c r="H1302" i="8"/>
  <c r="I1302" i="8" s="1"/>
  <c r="J1302" i="8" s="1"/>
  <c r="L1302" i="8" s="1"/>
  <c r="H1301" i="8"/>
  <c r="I1301" i="8" s="1"/>
  <c r="J1301" i="8" s="1"/>
  <c r="L1301" i="8" s="1"/>
  <c r="H1300" i="8"/>
  <c r="I1300" i="8" s="1"/>
  <c r="J1300" i="8" s="1"/>
  <c r="L1300" i="8" s="1"/>
  <c r="H1299" i="8"/>
  <c r="I1299" i="8" s="1"/>
  <c r="J1299" i="8" s="1"/>
  <c r="L1299" i="8" s="1"/>
  <c r="H1298" i="8"/>
  <c r="I1298" i="8" s="1"/>
  <c r="J1298" i="8" s="1"/>
  <c r="L1298" i="8" s="1"/>
  <c r="H1297" i="8"/>
  <c r="I1297" i="8" s="1"/>
  <c r="J1297" i="8" s="1"/>
  <c r="L1297" i="8" s="1"/>
  <c r="H1296" i="8"/>
  <c r="I1296" i="8" s="1"/>
  <c r="J1296" i="8" s="1"/>
  <c r="L1296" i="8" s="1"/>
  <c r="I474" i="16"/>
  <c r="J474" i="16" s="1"/>
  <c r="K474" i="16" s="1"/>
  <c r="M474" i="16" s="1"/>
  <c r="I473" i="16"/>
  <c r="J473" i="16" s="1"/>
  <c r="K473" i="16" s="1"/>
  <c r="M473" i="16" s="1"/>
  <c r="I472" i="16"/>
  <c r="J472" i="16" s="1"/>
  <c r="K472" i="16" s="1"/>
  <c r="M472" i="16" s="1"/>
  <c r="I471" i="16"/>
  <c r="J471" i="16" s="1"/>
  <c r="K471" i="16" s="1"/>
  <c r="M471" i="16" s="1"/>
  <c r="I470" i="16"/>
  <c r="J470" i="16" s="1"/>
  <c r="K470" i="16" s="1"/>
  <c r="M470" i="16" s="1"/>
  <c r="I469" i="16"/>
  <c r="J469" i="16" s="1"/>
  <c r="K469" i="16" s="1"/>
  <c r="M469" i="16" s="1"/>
  <c r="I468" i="16"/>
  <c r="J468" i="16" s="1"/>
  <c r="K468" i="16" s="1"/>
  <c r="M468" i="16" s="1"/>
  <c r="I467" i="16"/>
  <c r="J467" i="16" s="1"/>
  <c r="K467" i="16" s="1"/>
  <c r="M467" i="16" s="1"/>
  <c r="I466" i="16"/>
  <c r="J466" i="16" s="1"/>
  <c r="K466" i="16" s="1"/>
  <c r="M466" i="16" s="1"/>
  <c r="I465" i="16"/>
  <c r="J465" i="16" s="1"/>
  <c r="K465" i="16" s="1"/>
  <c r="M465" i="16" s="1"/>
  <c r="I464" i="16"/>
  <c r="J464" i="16" s="1"/>
  <c r="K464" i="16" s="1"/>
  <c r="M464" i="16" s="1"/>
  <c r="I463" i="16"/>
  <c r="J463" i="16" s="1"/>
  <c r="K463" i="16" s="1"/>
  <c r="M463" i="16" s="1"/>
  <c r="I462" i="16"/>
  <c r="J462" i="16" s="1"/>
  <c r="K462" i="16" s="1"/>
  <c r="M462" i="16" s="1"/>
  <c r="I461" i="16"/>
  <c r="J461" i="16" s="1"/>
  <c r="K461" i="16" s="1"/>
  <c r="M461" i="16" s="1"/>
  <c r="I460" i="16"/>
  <c r="J460" i="16" s="1"/>
  <c r="K460" i="16" s="1"/>
  <c r="M460" i="16" s="1"/>
  <c r="I459" i="16"/>
  <c r="J459" i="16" s="1"/>
  <c r="K459" i="16" s="1"/>
  <c r="M459" i="16" s="1"/>
  <c r="I458" i="16"/>
  <c r="J458" i="16" s="1"/>
  <c r="K458" i="16" s="1"/>
  <c r="M458" i="16" s="1"/>
  <c r="I457" i="16"/>
  <c r="J457" i="16" s="1"/>
  <c r="K457" i="16" s="1"/>
  <c r="M457" i="16" s="1"/>
  <c r="I456" i="16"/>
  <c r="J456" i="16" s="1"/>
  <c r="K456" i="16" s="1"/>
  <c r="M456" i="16" s="1"/>
  <c r="I455" i="16"/>
  <c r="J455" i="16" s="1"/>
  <c r="K455" i="16" s="1"/>
  <c r="M455" i="16" s="1"/>
  <c r="I454" i="16"/>
  <c r="J454" i="16" s="1"/>
  <c r="K454" i="16" s="1"/>
  <c r="M454" i="16" s="1"/>
  <c r="I452" i="16" l="1"/>
  <c r="I451" i="16"/>
  <c r="I450" i="16"/>
  <c r="I449" i="16"/>
  <c r="I448" i="16"/>
  <c r="I447" i="16"/>
  <c r="I446" i="16"/>
  <c r="I445" i="16"/>
  <c r="I444" i="16"/>
  <c r="I443" i="16"/>
  <c r="J443" i="16" s="1"/>
  <c r="K443" i="16" s="1"/>
  <c r="M443" i="16" s="1"/>
  <c r="I442" i="16"/>
  <c r="J442" i="16" s="1"/>
  <c r="K442" i="16" s="1"/>
  <c r="M442" i="16" s="1"/>
  <c r="I441" i="16"/>
  <c r="I440" i="16"/>
  <c r="J440" i="16" s="1"/>
  <c r="K440" i="16" s="1"/>
  <c r="M440" i="16" s="1"/>
  <c r="I439" i="16"/>
  <c r="J439" i="16" s="1"/>
  <c r="K439" i="16" s="1"/>
  <c r="M439" i="16" s="1"/>
  <c r="I438" i="16"/>
  <c r="J438" i="16" s="1"/>
  <c r="K438" i="16" s="1"/>
  <c r="M438" i="16" s="1"/>
  <c r="I437" i="16"/>
  <c r="I436" i="16"/>
  <c r="J436" i="16" s="1"/>
  <c r="K436" i="16" s="1"/>
  <c r="M436" i="16" s="1"/>
  <c r="I435" i="16"/>
  <c r="J435" i="16" s="1"/>
  <c r="K435" i="16" s="1"/>
  <c r="M435" i="16" s="1"/>
  <c r="I434" i="16"/>
  <c r="J434" i="16" s="1"/>
  <c r="K434" i="16" s="1"/>
  <c r="M434" i="16" s="1"/>
  <c r="I433" i="16"/>
  <c r="I432" i="16"/>
  <c r="J432" i="16" s="1"/>
  <c r="K432" i="16" s="1"/>
  <c r="M432" i="16" s="1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H1295" i="8"/>
  <c r="I1295" i="8" s="1"/>
  <c r="J1295" i="8" s="1"/>
  <c r="L1295" i="8" s="1"/>
  <c r="H1294" i="8"/>
  <c r="I1294" i="8" s="1"/>
  <c r="J1294" i="8" s="1"/>
  <c r="L1294" i="8" s="1"/>
  <c r="H1293" i="8"/>
  <c r="I1293" i="8" s="1"/>
  <c r="J1293" i="8" s="1"/>
  <c r="L1293" i="8" s="1"/>
  <c r="H1292" i="8"/>
  <c r="I1292" i="8" s="1"/>
  <c r="J1292" i="8" s="1"/>
  <c r="L1292" i="8" s="1"/>
  <c r="H1291" i="8"/>
  <c r="I1291" i="8" s="1"/>
  <c r="J1291" i="8" s="1"/>
  <c r="L1291" i="8" s="1"/>
  <c r="H1290" i="8"/>
  <c r="I1290" i="8" s="1"/>
  <c r="J1290" i="8" s="1"/>
  <c r="L1290" i="8" s="1"/>
  <c r="H1289" i="8"/>
  <c r="I1289" i="8" s="1"/>
  <c r="J1289" i="8" s="1"/>
  <c r="L1289" i="8" s="1"/>
  <c r="H1288" i="8"/>
  <c r="I1288" i="8" s="1"/>
  <c r="J1288" i="8" s="1"/>
  <c r="L1288" i="8" s="1"/>
  <c r="H1233" i="8"/>
  <c r="I1233" i="8" s="1"/>
  <c r="J1233" i="8" s="1"/>
  <c r="L1233" i="8" s="1"/>
  <c r="H1232" i="8"/>
  <c r="I1232" i="8" s="1"/>
  <c r="J1232" i="8" s="1"/>
  <c r="L1232" i="8" s="1"/>
  <c r="H1231" i="8"/>
  <c r="I1231" i="8" s="1"/>
  <c r="J1231" i="8" s="1"/>
  <c r="L1231" i="8" s="1"/>
  <c r="H1230" i="8"/>
  <c r="I1230" i="8" s="1"/>
  <c r="J1230" i="8" s="1"/>
  <c r="L1230" i="8" s="1"/>
  <c r="H1229" i="8"/>
  <c r="I1229" i="8" s="1"/>
  <c r="J1229" i="8" s="1"/>
  <c r="L1229" i="8" s="1"/>
  <c r="H1228" i="8"/>
  <c r="I1228" i="8" s="1"/>
  <c r="J1228" i="8" s="1"/>
  <c r="L1228" i="8" s="1"/>
  <c r="H1227" i="8"/>
  <c r="I1227" i="8" s="1"/>
  <c r="J1227" i="8" s="1"/>
  <c r="L1227" i="8" s="1"/>
  <c r="H1226" i="8"/>
  <c r="I1226" i="8" s="1"/>
  <c r="J1226" i="8" s="1"/>
  <c r="L1226" i="8" s="1"/>
  <c r="H1225" i="8"/>
  <c r="I1225" i="8" s="1"/>
  <c r="J1225" i="8" s="1"/>
  <c r="L1225" i="8" s="1"/>
  <c r="H1224" i="8"/>
  <c r="I1224" i="8" s="1"/>
  <c r="J1224" i="8" s="1"/>
  <c r="L1224" i="8" s="1"/>
  <c r="H1223" i="8"/>
  <c r="I1223" i="8" s="1"/>
  <c r="J1223" i="8" s="1"/>
  <c r="L1223" i="8" s="1"/>
  <c r="H1222" i="8"/>
  <c r="I1222" i="8" s="1"/>
  <c r="J1222" i="8" s="1"/>
  <c r="L1222" i="8" s="1"/>
  <c r="H1385" i="8"/>
  <c r="I1385" i="8" s="1"/>
  <c r="J1385" i="8" s="1"/>
  <c r="L1385" i="8" s="1"/>
  <c r="H1384" i="8"/>
  <c r="I1384" i="8" s="1"/>
  <c r="J1384" i="8" s="1"/>
  <c r="L1384" i="8" s="1"/>
  <c r="H1383" i="8"/>
  <c r="I1383" i="8" s="1"/>
  <c r="J1383" i="8" s="1"/>
  <c r="L1383" i="8" s="1"/>
  <c r="H1382" i="8"/>
  <c r="I1382" i="8" s="1"/>
  <c r="J1382" i="8" s="1"/>
  <c r="L1382" i="8" s="1"/>
  <c r="H1381" i="8"/>
  <c r="I1381" i="8" s="1"/>
  <c r="J1381" i="8" s="1"/>
  <c r="L1381" i="8" s="1"/>
  <c r="H1380" i="8"/>
  <c r="I1380" i="8" s="1"/>
  <c r="J1380" i="8" s="1"/>
  <c r="L1380" i="8" s="1"/>
  <c r="H1379" i="8"/>
  <c r="I1379" i="8" s="1"/>
  <c r="J1379" i="8" s="1"/>
  <c r="L1379" i="8" s="1"/>
  <c r="H1378" i="8"/>
  <c r="I1378" i="8" s="1"/>
  <c r="J1378" i="8" s="1"/>
  <c r="L1378" i="8" s="1"/>
  <c r="H1377" i="8"/>
  <c r="I1377" i="8" s="1"/>
  <c r="J1377" i="8" s="1"/>
  <c r="L1377" i="8" s="1"/>
  <c r="H1376" i="8"/>
  <c r="I1376" i="8" s="1"/>
  <c r="J1376" i="8" s="1"/>
  <c r="L1376" i="8" s="1"/>
  <c r="H1375" i="8"/>
  <c r="I1375" i="8" s="1"/>
  <c r="J1375" i="8" s="1"/>
  <c r="L1375" i="8" s="1"/>
  <c r="H1374" i="8"/>
  <c r="I1374" i="8" s="1"/>
  <c r="J1374" i="8" s="1"/>
  <c r="L1374" i="8" s="1"/>
  <c r="H1373" i="8"/>
  <c r="I1373" i="8" s="1"/>
  <c r="J1373" i="8" s="1"/>
  <c r="L1373" i="8" s="1"/>
  <c r="H1372" i="8"/>
  <c r="I1372" i="8" s="1"/>
  <c r="J1372" i="8" s="1"/>
  <c r="L1372" i="8" s="1"/>
  <c r="H1371" i="8"/>
  <c r="I1371" i="8" s="1"/>
  <c r="J1371" i="8" s="1"/>
  <c r="L1371" i="8" s="1"/>
  <c r="H1370" i="8"/>
  <c r="I1370" i="8" s="1"/>
  <c r="J1370" i="8" s="1"/>
  <c r="L1370" i="8" s="1"/>
  <c r="H1369" i="8"/>
  <c r="I1369" i="8" s="1"/>
  <c r="J1369" i="8" s="1"/>
  <c r="L1369" i="8" s="1"/>
  <c r="H1368" i="8"/>
  <c r="I1368" i="8" s="1"/>
  <c r="J1368" i="8" s="1"/>
  <c r="L1368" i="8" s="1"/>
  <c r="H1367" i="8"/>
  <c r="I1367" i="8" s="1"/>
  <c r="J1367" i="8" s="1"/>
  <c r="L1367" i="8" s="1"/>
  <c r="H1366" i="8"/>
  <c r="I1366" i="8" s="1"/>
  <c r="J1366" i="8" s="1"/>
  <c r="L1366" i="8" s="1"/>
  <c r="H1365" i="8"/>
  <c r="I1365" i="8" s="1"/>
  <c r="J1365" i="8" s="1"/>
  <c r="L1365" i="8" s="1"/>
  <c r="H1364" i="8"/>
  <c r="I1364" i="8" s="1"/>
  <c r="J1364" i="8" s="1"/>
  <c r="L1364" i="8" s="1"/>
  <c r="H1363" i="8"/>
  <c r="I1363" i="8" s="1"/>
  <c r="J1363" i="8" s="1"/>
  <c r="L1363" i="8" s="1"/>
  <c r="H1362" i="8"/>
  <c r="I1362" i="8" s="1"/>
  <c r="J1362" i="8" s="1"/>
  <c r="L1362" i="8" s="1"/>
  <c r="J452" i="16"/>
  <c r="K452" i="16" s="1"/>
  <c r="M452" i="16" s="1"/>
  <c r="J451" i="16"/>
  <c r="K451" i="16" s="1"/>
  <c r="M451" i="16" s="1"/>
  <c r="J450" i="16"/>
  <c r="K450" i="16" s="1"/>
  <c r="M450" i="16" s="1"/>
  <c r="J449" i="16"/>
  <c r="K449" i="16" s="1"/>
  <c r="M449" i="16" s="1"/>
  <c r="J448" i="16"/>
  <c r="K448" i="16" s="1"/>
  <c r="M448" i="16" s="1"/>
  <c r="J447" i="16"/>
  <c r="K447" i="16" s="1"/>
  <c r="M447" i="16" s="1"/>
  <c r="J446" i="16"/>
  <c r="K446" i="16" s="1"/>
  <c r="M446" i="16" s="1"/>
  <c r="J445" i="16"/>
  <c r="K445" i="16" s="1"/>
  <c r="M445" i="16" s="1"/>
  <c r="J441" i="16"/>
  <c r="K441" i="16" s="1"/>
  <c r="M441" i="16" s="1"/>
  <c r="J437" i="16"/>
  <c r="K437" i="16" s="1"/>
  <c r="M437" i="16" s="1"/>
  <c r="J433" i="16"/>
  <c r="K433" i="16" s="1"/>
  <c r="M433" i="16" s="1"/>
  <c r="J430" i="16"/>
  <c r="K430" i="16" s="1"/>
  <c r="M430" i="16" s="1"/>
  <c r="J429" i="16"/>
  <c r="K429" i="16" s="1"/>
  <c r="M429" i="16" s="1"/>
  <c r="J428" i="16"/>
  <c r="K428" i="16" s="1"/>
  <c r="M428" i="16" s="1"/>
  <c r="J427" i="16"/>
  <c r="K427" i="16" s="1"/>
  <c r="M427" i="16" s="1"/>
  <c r="J426" i="16"/>
  <c r="K426" i="16" s="1"/>
  <c r="M426" i="16" s="1"/>
  <c r="J425" i="16"/>
  <c r="K425" i="16" s="1"/>
  <c r="M425" i="16" s="1"/>
  <c r="J424" i="16"/>
  <c r="K424" i="16" s="1"/>
  <c r="M424" i="16" s="1"/>
  <c r="J423" i="16"/>
  <c r="K423" i="16" s="1"/>
  <c r="M423" i="16" s="1"/>
  <c r="J422" i="16"/>
  <c r="K422" i="16" s="1"/>
  <c r="M422" i="16" s="1"/>
  <c r="J421" i="16"/>
  <c r="K421" i="16" s="1"/>
  <c r="M421" i="16" s="1"/>
  <c r="J420" i="16"/>
  <c r="K420" i="16" s="1"/>
  <c r="M420" i="16" s="1"/>
  <c r="J419" i="16"/>
  <c r="K419" i="16" s="1"/>
  <c r="M419" i="16" s="1"/>
  <c r="J418" i="16"/>
  <c r="K418" i="16" s="1"/>
  <c r="M418" i="16" s="1"/>
  <c r="J417" i="16"/>
  <c r="K417" i="16" s="1"/>
  <c r="M417" i="16" s="1"/>
  <c r="J416" i="16"/>
  <c r="K416" i="16" s="1"/>
  <c r="M416" i="16" s="1"/>
  <c r="J415" i="16"/>
  <c r="K415" i="16" s="1"/>
  <c r="M415" i="16" s="1"/>
  <c r="J414" i="16"/>
  <c r="K414" i="16" s="1"/>
  <c r="M414" i="16" s="1"/>
  <c r="J413" i="16"/>
  <c r="K413" i="16" s="1"/>
  <c r="M413" i="16" s="1"/>
  <c r="J412" i="16"/>
  <c r="K412" i="16" s="1"/>
  <c r="M412" i="16" s="1"/>
  <c r="J411" i="16"/>
  <c r="K411" i="16" s="1"/>
  <c r="M411" i="16" s="1"/>
  <c r="J410" i="16"/>
  <c r="K410" i="16" s="1"/>
  <c r="M410" i="16" s="1"/>
  <c r="J409" i="16"/>
  <c r="K409" i="16" s="1"/>
  <c r="M409" i="16" s="1"/>
  <c r="J408" i="16"/>
  <c r="K408" i="16" s="1"/>
  <c r="M408" i="16" s="1"/>
  <c r="J407" i="16"/>
  <c r="K407" i="16" s="1"/>
  <c r="M407" i="16" s="1"/>
  <c r="L167" i="4"/>
  <c r="B818" i="3"/>
  <c r="B1022" i="3" s="1"/>
  <c r="B1026" i="3" s="1"/>
  <c r="B1027" i="3" s="1"/>
  <c r="B1028" i="3" s="1"/>
  <c r="L9" i="18" l="1"/>
  <c r="L159" i="4"/>
  <c r="H190" i="19"/>
  <c r="F190" i="19"/>
  <c r="H186" i="19"/>
  <c r="R745" i="8"/>
  <c r="R743" i="8"/>
  <c r="R1286" i="8"/>
  <c r="R1283" i="8"/>
  <c r="R67" i="8"/>
  <c r="R188" i="8"/>
  <c r="R1989" i="8"/>
  <c r="I768" i="8"/>
  <c r="J768" i="8" s="1"/>
  <c r="L768" i="8" s="1"/>
  <c r="I767" i="8"/>
  <c r="J767" i="8" s="1"/>
  <c r="L767" i="8" s="1"/>
  <c r="I766" i="8"/>
  <c r="J766" i="8" s="1"/>
  <c r="L766" i="8" s="1"/>
  <c r="I765" i="8"/>
  <c r="J765" i="8" s="1"/>
  <c r="L765" i="8" s="1"/>
  <c r="I764" i="8"/>
  <c r="J764" i="8" s="1"/>
  <c r="L764" i="8" s="1"/>
  <c r="I763" i="8"/>
  <c r="J763" i="8" s="1"/>
  <c r="L763" i="8" s="1"/>
  <c r="I762" i="8"/>
  <c r="J762" i="8" s="1"/>
  <c r="L762" i="8" s="1"/>
  <c r="I761" i="8"/>
  <c r="J761" i="8" s="1"/>
  <c r="L761" i="8" s="1"/>
  <c r="I760" i="8"/>
  <c r="J760" i="8" s="1"/>
  <c r="L760" i="8" s="1"/>
  <c r="I759" i="8"/>
  <c r="J759" i="8" s="1"/>
  <c r="L759" i="8" s="1"/>
  <c r="I758" i="8"/>
  <c r="J758" i="8" s="1"/>
  <c r="L758" i="8" s="1"/>
  <c r="I757" i="8"/>
  <c r="J757" i="8" s="1"/>
  <c r="L757" i="8" s="1"/>
  <c r="I90" i="8"/>
  <c r="J90" i="8" s="1"/>
  <c r="L90" i="8" s="1"/>
  <c r="I89" i="8"/>
  <c r="J89" i="8" s="1"/>
  <c r="L89" i="8" s="1"/>
  <c r="I88" i="8"/>
  <c r="J88" i="8" s="1"/>
  <c r="L88" i="8" s="1"/>
  <c r="I87" i="8"/>
  <c r="J87" i="8" s="1"/>
  <c r="L87" i="8" s="1"/>
  <c r="I86" i="8"/>
  <c r="J86" i="8" s="1"/>
  <c r="L86" i="8" s="1"/>
  <c r="I85" i="8"/>
  <c r="J85" i="8" s="1"/>
  <c r="L85" i="8" s="1"/>
  <c r="I84" i="8"/>
  <c r="J84" i="8" s="1"/>
  <c r="L84" i="8" s="1"/>
  <c r="I83" i="8"/>
  <c r="J83" i="8" s="1"/>
  <c r="L83" i="8" s="1"/>
  <c r="I82" i="8"/>
  <c r="J82" i="8" s="1"/>
  <c r="L82" i="8" s="1"/>
  <c r="I81" i="8"/>
  <c r="J81" i="8" s="1"/>
  <c r="L81" i="8" s="1"/>
  <c r="I80" i="8"/>
  <c r="J80" i="8" s="1"/>
  <c r="L80" i="8" s="1"/>
  <c r="I79" i="8"/>
  <c r="J79" i="8" s="1"/>
  <c r="L79" i="8" s="1"/>
  <c r="J391" i="16"/>
  <c r="K391" i="16" s="1"/>
  <c r="M391" i="16" s="1"/>
  <c r="J392" i="16"/>
  <c r="K392" i="16" s="1"/>
  <c r="M392" i="16" s="1"/>
  <c r="J393" i="16"/>
  <c r="K393" i="16" s="1"/>
  <c r="M393" i="16" s="1"/>
  <c r="J394" i="16"/>
  <c r="K394" i="16" s="1"/>
  <c r="M394" i="16" s="1"/>
  <c r="J395" i="16"/>
  <c r="K395" i="16" s="1"/>
  <c r="M395" i="16" s="1"/>
  <c r="J396" i="16"/>
  <c r="K396" i="16" s="1"/>
  <c r="M396" i="16" s="1"/>
  <c r="J397" i="16"/>
  <c r="K397" i="16" s="1"/>
  <c r="M397" i="16" s="1"/>
  <c r="J398" i="16"/>
  <c r="K398" i="16" s="1"/>
  <c r="M398" i="16" s="1"/>
  <c r="J399" i="16"/>
  <c r="K399" i="16" s="1"/>
  <c r="M399" i="16" s="1"/>
  <c r="J400" i="16"/>
  <c r="K400" i="16" s="1"/>
  <c r="M400" i="16" s="1"/>
  <c r="J401" i="16"/>
  <c r="K401" i="16" s="1"/>
  <c r="M401" i="16" s="1"/>
  <c r="J402" i="16"/>
  <c r="K402" i="16" s="1"/>
  <c r="M402" i="16" s="1"/>
  <c r="G403" i="16"/>
  <c r="B799" i="3"/>
  <c r="J190" i="19" l="1"/>
  <c r="H51" i="18"/>
  <c r="B791" i="3"/>
  <c r="B786" i="3"/>
  <c r="B780" i="3"/>
  <c r="B776" i="3"/>
  <c r="B766" i="3"/>
  <c r="B759" i="3"/>
  <c r="B753" i="3"/>
  <c r="B739" i="3" l="1"/>
  <c r="B744" i="3" l="1"/>
  <c r="B729" i="3"/>
  <c r="J405" i="16" l="1"/>
  <c r="K405" i="16" s="1"/>
  <c r="M405" i="16" s="1"/>
  <c r="N405" i="16" s="1"/>
  <c r="J403" i="16"/>
  <c r="K403" i="16" s="1"/>
  <c r="M403" i="16" s="1"/>
  <c r="J390" i="16" l="1"/>
  <c r="K390" i="16" s="1"/>
  <c r="M390" i="16" s="1"/>
  <c r="J389" i="16"/>
  <c r="K389" i="16" s="1"/>
  <c r="M389" i="16" s="1"/>
  <c r="J388" i="16"/>
  <c r="K388" i="16" s="1"/>
  <c r="M388" i="16" s="1"/>
  <c r="J387" i="16"/>
  <c r="K387" i="16" s="1"/>
  <c r="M387" i="16" s="1"/>
  <c r="J386" i="16"/>
  <c r="K386" i="16" s="1"/>
  <c r="M386" i="16" s="1"/>
  <c r="J385" i="16"/>
  <c r="K385" i="16" s="1"/>
  <c r="M385" i="16" s="1"/>
  <c r="J384" i="16"/>
  <c r="K384" i="16" s="1"/>
  <c r="M384" i="16" s="1"/>
  <c r="J383" i="16"/>
  <c r="K383" i="16" s="1"/>
  <c r="M383" i="16" s="1"/>
  <c r="J382" i="16"/>
  <c r="K382" i="16" s="1"/>
  <c r="M382" i="16" s="1"/>
  <c r="J381" i="16"/>
  <c r="K381" i="16" s="1"/>
  <c r="M381" i="16" s="1"/>
  <c r="J380" i="16"/>
  <c r="K380" i="16" s="1"/>
  <c r="M380" i="16" s="1"/>
  <c r="J379" i="16"/>
  <c r="K379" i="16" s="1"/>
  <c r="M379" i="16" s="1"/>
  <c r="G404" i="16"/>
  <c r="K149" i="4"/>
  <c r="H34" i="18" l="1"/>
  <c r="R1746" i="8"/>
  <c r="R1278" i="8"/>
  <c r="R512" i="8"/>
  <c r="R747" i="8"/>
  <c r="R1271" i="8"/>
  <c r="R331" i="8"/>
  <c r="R1187" i="8"/>
  <c r="R957" i="8"/>
  <c r="R961" i="8"/>
  <c r="H166" i="19"/>
  <c r="F242" i="14"/>
  <c r="R1276" i="8"/>
  <c r="B718" i="3" l="1"/>
  <c r="B711" i="3" l="1"/>
  <c r="B704" i="3" l="1"/>
  <c r="B696" i="3" l="1"/>
  <c r="R1833" i="8" l="1"/>
  <c r="F186" i="19"/>
  <c r="J186" i="19" s="1"/>
  <c r="R1285" i="8"/>
  <c r="R1284" i="8"/>
  <c r="B690" i="3"/>
  <c r="B62" i="18"/>
  <c r="B49" i="18"/>
  <c r="R1328" i="8" l="1"/>
  <c r="E482" i="14"/>
  <c r="R235" i="8"/>
  <c r="F579" i="3" l="1"/>
  <c r="I755" i="8"/>
  <c r="J755" i="8" s="1"/>
  <c r="L755" i="8" s="1"/>
  <c r="I754" i="8"/>
  <c r="J754" i="8" s="1"/>
  <c r="L754" i="8" s="1"/>
  <c r="I753" i="8"/>
  <c r="J753" i="8" s="1"/>
  <c r="L753" i="8" s="1"/>
  <c r="I752" i="8"/>
  <c r="J752" i="8" s="1"/>
  <c r="L752" i="8" s="1"/>
  <c r="I751" i="8"/>
  <c r="J751" i="8" s="1"/>
  <c r="L751" i="8" s="1"/>
  <c r="I750" i="8"/>
  <c r="J750" i="8" s="1"/>
  <c r="L750" i="8" s="1"/>
  <c r="I749" i="8"/>
  <c r="J749" i="8" s="1"/>
  <c r="L749" i="8" s="1"/>
  <c r="I748" i="8"/>
  <c r="J748" i="8" s="1"/>
  <c r="L748" i="8" s="1"/>
  <c r="I747" i="8"/>
  <c r="J747" i="8" s="1"/>
  <c r="L747" i="8" s="1"/>
  <c r="I746" i="8"/>
  <c r="J746" i="8" s="1"/>
  <c r="L746" i="8" s="1"/>
  <c r="I745" i="8"/>
  <c r="J745" i="8" s="1"/>
  <c r="L745" i="8" s="1"/>
  <c r="I744" i="8"/>
  <c r="J744" i="8" s="1"/>
  <c r="L744" i="8" s="1"/>
  <c r="I743" i="8"/>
  <c r="J743" i="8" s="1"/>
  <c r="L743" i="8" s="1"/>
  <c r="I742" i="8"/>
  <c r="J742" i="8" s="1"/>
  <c r="L742" i="8" s="1"/>
  <c r="I741" i="8"/>
  <c r="J741" i="8" s="1"/>
  <c r="L741" i="8" s="1"/>
  <c r="I740" i="8"/>
  <c r="J740" i="8" s="1"/>
  <c r="L740" i="8" s="1"/>
  <c r="I739" i="8"/>
  <c r="J739" i="8" s="1"/>
  <c r="L739" i="8" s="1"/>
  <c r="I738" i="8"/>
  <c r="J738" i="8" s="1"/>
  <c r="L738" i="8" s="1"/>
  <c r="I737" i="8"/>
  <c r="J737" i="8" s="1"/>
  <c r="L737" i="8" s="1"/>
  <c r="I736" i="8"/>
  <c r="J736" i="8" s="1"/>
  <c r="L736" i="8" s="1"/>
  <c r="G1286" i="8"/>
  <c r="I1286" i="8" s="1"/>
  <c r="J1286" i="8" s="1"/>
  <c r="L1286" i="8" s="1"/>
  <c r="G1285" i="8"/>
  <c r="I1285" i="8" s="1"/>
  <c r="J1285" i="8" s="1"/>
  <c r="L1285" i="8" s="1"/>
  <c r="G1284" i="8"/>
  <c r="I1284" i="8" s="1"/>
  <c r="J1284" i="8" s="1"/>
  <c r="L1284" i="8" s="1"/>
  <c r="G1283" i="8"/>
  <c r="I1283" i="8" s="1"/>
  <c r="J1283" i="8" s="1"/>
  <c r="L1283" i="8" s="1"/>
  <c r="G1282" i="8"/>
  <c r="I1282" i="8" s="1"/>
  <c r="J1282" i="8" s="1"/>
  <c r="L1282" i="8" s="1"/>
  <c r="G1281" i="8"/>
  <c r="I1281" i="8" s="1"/>
  <c r="J1281" i="8" s="1"/>
  <c r="L1281" i="8" s="1"/>
  <c r="G1280" i="8"/>
  <c r="I1280" i="8" s="1"/>
  <c r="J1280" i="8" s="1"/>
  <c r="L1280" i="8" s="1"/>
  <c r="G1279" i="8"/>
  <c r="I1279" i="8" s="1"/>
  <c r="J1279" i="8" s="1"/>
  <c r="L1279" i="8" s="1"/>
  <c r="G1278" i="8"/>
  <c r="I1278" i="8" s="1"/>
  <c r="J1278" i="8" s="1"/>
  <c r="L1278" i="8" s="1"/>
  <c r="G1277" i="8"/>
  <c r="I1277" i="8" s="1"/>
  <c r="J1277" i="8" s="1"/>
  <c r="L1277" i="8" s="1"/>
  <c r="G1276" i="8"/>
  <c r="I1276" i="8" s="1"/>
  <c r="J1276" i="8" s="1"/>
  <c r="L1276" i="8" s="1"/>
  <c r="G1275" i="8"/>
  <c r="I1275" i="8" s="1"/>
  <c r="J1275" i="8" s="1"/>
  <c r="L1275" i="8" s="1"/>
  <c r="G1274" i="8"/>
  <c r="I1274" i="8" s="1"/>
  <c r="J1274" i="8" s="1"/>
  <c r="L1274" i="8" s="1"/>
  <c r="G1273" i="8"/>
  <c r="I1273" i="8" s="1"/>
  <c r="J1273" i="8" s="1"/>
  <c r="L1273" i="8" s="1"/>
  <c r="J368" i="16"/>
  <c r="K368" i="16" s="1"/>
  <c r="M368" i="16" s="1"/>
  <c r="J367" i="16"/>
  <c r="K367" i="16" s="1"/>
  <c r="M367" i="16" s="1"/>
  <c r="J366" i="16"/>
  <c r="K366" i="16" s="1"/>
  <c r="M366" i="16" s="1"/>
  <c r="J365" i="16"/>
  <c r="K365" i="16" s="1"/>
  <c r="M365" i="16" s="1"/>
  <c r="J364" i="16"/>
  <c r="K364" i="16" s="1"/>
  <c r="M364" i="16" s="1"/>
  <c r="J363" i="16"/>
  <c r="K363" i="16" s="1"/>
  <c r="M363" i="16" s="1"/>
  <c r="J362" i="16"/>
  <c r="K362" i="16" s="1"/>
  <c r="M362" i="16" s="1"/>
  <c r="J361" i="16"/>
  <c r="K361" i="16" s="1"/>
  <c r="M361" i="16" s="1"/>
  <c r="J360" i="16"/>
  <c r="K360" i="16" s="1"/>
  <c r="M360" i="16" s="1"/>
  <c r="J359" i="16"/>
  <c r="K359" i="16" s="1"/>
  <c r="M359" i="16" s="1"/>
  <c r="K358" i="16"/>
  <c r="M358" i="16" s="1"/>
  <c r="J358" i="16"/>
  <c r="J357" i="16"/>
  <c r="K357" i="16" s="1"/>
  <c r="M357" i="16" s="1"/>
  <c r="J356" i="16"/>
  <c r="K356" i="16" s="1"/>
  <c r="M356" i="16" s="1"/>
  <c r="J355" i="16"/>
  <c r="K355" i="16" s="1"/>
  <c r="M355" i="16" s="1"/>
  <c r="J354" i="16"/>
  <c r="K354" i="16" s="1"/>
  <c r="M354" i="16" s="1"/>
  <c r="J353" i="16"/>
  <c r="K353" i="16" s="1"/>
  <c r="M353" i="16" s="1"/>
  <c r="J352" i="16"/>
  <c r="K352" i="16" s="1"/>
  <c r="M352" i="16" s="1"/>
  <c r="J351" i="16"/>
  <c r="K351" i="16" s="1"/>
  <c r="M351" i="16" s="1"/>
  <c r="J350" i="16"/>
  <c r="K350" i="16" s="1"/>
  <c r="M350" i="16" s="1"/>
  <c r="J349" i="16"/>
  <c r="K349" i="16" s="1"/>
  <c r="M349" i="16" s="1"/>
  <c r="H53" i="18" l="1"/>
  <c r="R1263" i="8"/>
  <c r="H174" i="19"/>
  <c r="F174" i="19"/>
  <c r="R718" i="8"/>
  <c r="R644" i="8"/>
  <c r="R1397" i="8"/>
  <c r="B683" i="3"/>
  <c r="B679" i="3"/>
  <c r="J174" i="19" l="1"/>
  <c r="L136" i="4"/>
  <c r="B674" i="3"/>
  <c r="B669" i="3"/>
  <c r="R700" i="8" l="1"/>
  <c r="R643" i="8"/>
  <c r="R1851" i="8"/>
  <c r="R1850" i="8"/>
  <c r="R1849" i="8"/>
  <c r="R1848" i="8"/>
  <c r="R1825" i="8"/>
  <c r="R1824" i="8"/>
  <c r="R1756" i="8"/>
  <c r="R520" i="8"/>
  <c r="H160" i="19"/>
  <c r="B661" i="3"/>
  <c r="B654" i="3" l="1"/>
  <c r="R592" i="8"/>
  <c r="R702" i="8"/>
  <c r="R734" i="8"/>
  <c r="R641" i="8"/>
  <c r="I540" i="14"/>
  <c r="E540" i="14"/>
  <c r="R672" i="8"/>
  <c r="R570" i="8"/>
  <c r="R394" i="8"/>
  <c r="R729" i="8"/>
  <c r="R721" i="8"/>
  <c r="R490" i="8"/>
  <c r="R381" i="8"/>
  <c r="R1098" i="8"/>
  <c r="R1034" i="8"/>
  <c r="R899" i="8"/>
  <c r="H170" i="19"/>
  <c r="F170" i="19"/>
  <c r="J170" i="19" l="1"/>
  <c r="B650" i="3"/>
  <c r="B638" i="3"/>
  <c r="H65" i="18"/>
  <c r="K135" i="4"/>
  <c r="K134" i="4"/>
  <c r="K159" i="4" l="1"/>
  <c r="B630" i="3" l="1"/>
  <c r="F166" i="19" l="1"/>
  <c r="J166" i="19" s="1"/>
  <c r="B624" i="3" l="1"/>
  <c r="B801" i="3" s="1"/>
  <c r="L8" i="18" l="1"/>
  <c r="R485" i="8"/>
  <c r="R325" i="8"/>
  <c r="G52" i="18"/>
  <c r="G51" i="18"/>
  <c r="B603" i="3"/>
  <c r="B607" i="3"/>
  <c r="R624" i="8" l="1"/>
  <c r="R627" i="8"/>
  <c r="R560" i="8"/>
  <c r="R71" i="8"/>
  <c r="R41" i="8"/>
  <c r="R1754" i="8"/>
  <c r="R634" i="8"/>
  <c r="R486" i="8"/>
  <c r="R712" i="8"/>
  <c r="R430" i="8"/>
  <c r="R709" i="8"/>
  <c r="F533" i="14"/>
  <c r="E533" i="14"/>
  <c r="R694" i="8"/>
  <c r="R646" i="8"/>
  <c r="E528" i="14"/>
  <c r="R1421" i="8"/>
  <c r="R1869" i="8"/>
  <c r="R1868" i="8"/>
  <c r="R1867" i="8"/>
  <c r="R273" i="8"/>
  <c r="R645" i="8"/>
  <c r="F521" i="14"/>
  <c r="E521" i="14"/>
  <c r="I533" i="14" l="1"/>
  <c r="I521" i="14"/>
  <c r="I528" i="14"/>
  <c r="H348" i="16"/>
  <c r="J348" i="16" s="1"/>
  <c r="K348" i="16" s="1"/>
  <c r="M348" i="16" s="1"/>
  <c r="H347" i="16"/>
  <c r="J347" i="16" s="1"/>
  <c r="K347" i="16" s="1"/>
  <c r="M347" i="16" s="1"/>
  <c r="H346" i="16"/>
  <c r="J346" i="16" s="1"/>
  <c r="K346" i="16" s="1"/>
  <c r="M346" i="16" s="1"/>
  <c r="H345" i="16"/>
  <c r="J345" i="16" s="1"/>
  <c r="K345" i="16" s="1"/>
  <c r="M345" i="16" s="1"/>
  <c r="H344" i="16"/>
  <c r="J344" i="16" s="1"/>
  <c r="K344" i="16" s="1"/>
  <c r="M344" i="16" s="1"/>
  <c r="H343" i="16"/>
  <c r="J343" i="16" s="1"/>
  <c r="K343" i="16" s="1"/>
  <c r="M343" i="16" s="1"/>
  <c r="H342" i="16"/>
  <c r="J342" i="16" s="1"/>
  <c r="K342" i="16" s="1"/>
  <c r="M342" i="16" s="1"/>
  <c r="H341" i="16"/>
  <c r="J341" i="16" s="1"/>
  <c r="K341" i="16" s="1"/>
  <c r="M341" i="16" s="1"/>
  <c r="H340" i="16"/>
  <c r="J340" i="16" s="1"/>
  <c r="K340" i="16" s="1"/>
  <c r="M340" i="16" s="1"/>
  <c r="H339" i="16"/>
  <c r="J339" i="16" s="1"/>
  <c r="K339" i="16" s="1"/>
  <c r="M339" i="16" s="1"/>
  <c r="H338" i="16"/>
  <c r="J338" i="16" s="1"/>
  <c r="K338" i="16" s="1"/>
  <c r="M338" i="16" s="1"/>
  <c r="H337" i="16"/>
  <c r="J337" i="16" s="1"/>
  <c r="K337" i="16" s="1"/>
  <c r="M337" i="16" s="1"/>
  <c r="H336" i="16"/>
  <c r="J336" i="16" s="1"/>
  <c r="K336" i="16" s="1"/>
  <c r="M336" i="16" s="1"/>
  <c r="H335" i="16"/>
  <c r="J335" i="16" s="1"/>
  <c r="K335" i="16" s="1"/>
  <c r="M335" i="16" s="1"/>
  <c r="B573" i="3" l="1"/>
  <c r="R726" i="8"/>
  <c r="B598" i="3"/>
  <c r="B593" i="3"/>
  <c r="B586" i="3"/>
  <c r="I516" i="14" l="1"/>
  <c r="B569" i="3"/>
  <c r="L110" i="4"/>
  <c r="R1757" i="8" l="1"/>
  <c r="R1683" i="8"/>
  <c r="R1682" i="8"/>
  <c r="R630" i="8"/>
  <c r="R404" i="8"/>
  <c r="R288" i="8"/>
  <c r="R296" i="8"/>
  <c r="R1823" i="8"/>
  <c r="R665" i="8"/>
  <c r="R1703" i="8"/>
  <c r="R719" i="8"/>
  <c r="B555" i="3"/>
  <c r="B550" i="3" l="1"/>
  <c r="G77" i="8" l="1"/>
  <c r="I77" i="8" s="1"/>
  <c r="J77" i="8" s="1"/>
  <c r="L77" i="8" s="1"/>
  <c r="G76" i="8"/>
  <c r="I76" i="8" s="1"/>
  <c r="J76" i="8" s="1"/>
  <c r="L76" i="8" s="1"/>
  <c r="G75" i="8"/>
  <c r="I75" i="8" s="1"/>
  <c r="J75" i="8" s="1"/>
  <c r="L75" i="8" s="1"/>
  <c r="G74" i="8"/>
  <c r="I74" i="8" s="1"/>
  <c r="J74" i="8" s="1"/>
  <c r="L74" i="8" s="1"/>
  <c r="G73" i="8"/>
  <c r="I73" i="8" s="1"/>
  <c r="J73" i="8" s="1"/>
  <c r="L73" i="8" s="1"/>
  <c r="G72" i="8"/>
  <c r="I72" i="8" s="1"/>
  <c r="J72" i="8" s="1"/>
  <c r="L72" i="8" s="1"/>
  <c r="G71" i="8"/>
  <c r="I71" i="8" s="1"/>
  <c r="J71" i="8" s="1"/>
  <c r="L71" i="8" s="1"/>
  <c r="G70" i="8"/>
  <c r="I70" i="8" s="1"/>
  <c r="J70" i="8" s="1"/>
  <c r="L70" i="8" s="1"/>
  <c r="G69" i="8"/>
  <c r="I69" i="8" s="1"/>
  <c r="J69" i="8" s="1"/>
  <c r="L69" i="8" s="1"/>
  <c r="G68" i="8"/>
  <c r="I68" i="8" s="1"/>
  <c r="J68" i="8" s="1"/>
  <c r="L68" i="8" s="1"/>
  <c r="G67" i="8"/>
  <c r="I67" i="8" s="1"/>
  <c r="J67" i="8" s="1"/>
  <c r="L67" i="8" s="1"/>
  <c r="G66" i="8"/>
  <c r="I66" i="8" s="1"/>
  <c r="J66" i="8" s="1"/>
  <c r="L66" i="8" s="1"/>
  <c r="G65" i="8"/>
  <c r="I65" i="8" s="1"/>
  <c r="J65" i="8" s="1"/>
  <c r="L65" i="8" s="1"/>
  <c r="G64" i="8"/>
  <c r="I64" i="8" s="1"/>
  <c r="J64" i="8" s="1"/>
  <c r="L64" i="8" s="1"/>
  <c r="G63" i="8"/>
  <c r="I63" i="8" s="1"/>
  <c r="J63" i="8" s="1"/>
  <c r="L63" i="8" s="1"/>
  <c r="M323" i="16"/>
  <c r="H322" i="16"/>
  <c r="J322" i="16" s="1"/>
  <c r="K322" i="16" s="1"/>
  <c r="M322" i="16" s="1"/>
  <c r="H321" i="16"/>
  <c r="J321" i="16" s="1"/>
  <c r="K321" i="16" s="1"/>
  <c r="M321" i="16" s="1"/>
  <c r="H320" i="16"/>
  <c r="J320" i="16" s="1"/>
  <c r="K320" i="16" s="1"/>
  <c r="M320" i="16" s="1"/>
  <c r="H319" i="16"/>
  <c r="J319" i="16" s="1"/>
  <c r="K319" i="16" s="1"/>
  <c r="M319" i="16" s="1"/>
  <c r="H318" i="16"/>
  <c r="J318" i="16" s="1"/>
  <c r="K318" i="16" s="1"/>
  <c r="M318" i="16" s="1"/>
  <c r="H317" i="16"/>
  <c r="J317" i="16" s="1"/>
  <c r="K317" i="16" s="1"/>
  <c r="M317" i="16" s="1"/>
  <c r="H316" i="16"/>
  <c r="J316" i="16" s="1"/>
  <c r="K316" i="16" s="1"/>
  <c r="M316" i="16" s="1"/>
  <c r="H315" i="16"/>
  <c r="J315" i="16" s="1"/>
  <c r="K315" i="16" s="1"/>
  <c r="M315" i="16" s="1"/>
  <c r="H314" i="16"/>
  <c r="J314" i="16" s="1"/>
  <c r="K314" i="16" s="1"/>
  <c r="M314" i="16" s="1"/>
  <c r="H313" i="16"/>
  <c r="J313" i="16" s="1"/>
  <c r="K313" i="16" s="1"/>
  <c r="M313" i="16" s="1"/>
  <c r="H312" i="16"/>
  <c r="J312" i="16" s="1"/>
  <c r="K312" i="16" s="1"/>
  <c r="M312" i="16" s="1"/>
  <c r="H311" i="16"/>
  <c r="J311" i="16" s="1"/>
  <c r="K311" i="16" s="1"/>
  <c r="M311" i="16" s="1"/>
  <c r="H310" i="16"/>
  <c r="J310" i="16" s="1"/>
  <c r="K310" i="16" s="1"/>
  <c r="M310" i="16" s="1"/>
  <c r="H309" i="16"/>
  <c r="J309" i="16" s="1"/>
  <c r="K309" i="16" s="1"/>
  <c r="M309" i="16" s="1"/>
  <c r="H308" i="16"/>
  <c r="J308" i="16" s="1"/>
  <c r="K308" i="16" s="1"/>
  <c r="M308" i="16" s="1"/>
  <c r="G160" i="19"/>
  <c r="F160" i="19"/>
  <c r="J160" i="19" s="1"/>
  <c r="R864" i="8"/>
  <c r="B539" i="3"/>
  <c r="R667" i="8"/>
  <c r="R649" i="8"/>
  <c r="R609" i="8"/>
  <c r="R513" i="8"/>
  <c r="R439" i="8"/>
  <c r="R518" i="8"/>
  <c r="R191" i="8"/>
  <c r="R687" i="8"/>
  <c r="R176" i="8"/>
  <c r="R647" i="8"/>
  <c r="R623" i="8"/>
  <c r="R1148" i="8"/>
  <c r="R724" i="8"/>
  <c r="R676" i="8"/>
  <c r="H117" i="19"/>
  <c r="R674" i="8"/>
  <c r="R678" i="8"/>
  <c r="R642" i="8"/>
  <c r="F150" i="19"/>
  <c r="J150" i="19" s="1"/>
  <c r="H245" i="19"/>
  <c r="R659" i="8"/>
  <c r="R660" i="8"/>
  <c r="R657" i="8"/>
  <c r="R727" i="8"/>
  <c r="R686" i="8"/>
  <c r="R685" i="8"/>
  <c r="R1753" i="8"/>
  <c r="R1146" i="8"/>
  <c r="R1446" i="8"/>
  <c r="R392" i="8"/>
  <c r="R401" i="8"/>
  <c r="F461" i="14"/>
  <c r="F245" i="19" l="1"/>
  <c r="I511" i="14"/>
  <c r="I461" i="14"/>
  <c r="K107" i="4"/>
  <c r="K106" i="4"/>
  <c r="R1681" i="8" l="1"/>
  <c r="R622" i="8"/>
  <c r="H142" i="19"/>
  <c r="F142" i="19"/>
  <c r="R357" i="8"/>
  <c r="H138" i="19"/>
  <c r="F138" i="19"/>
  <c r="R711" i="8"/>
  <c r="R1866" i="8"/>
  <c r="R1865" i="8"/>
  <c r="R1864" i="8"/>
  <c r="R1822" i="8"/>
  <c r="R510" i="8"/>
  <c r="R532" i="8"/>
  <c r="F134" i="19"/>
  <c r="G134" i="19"/>
  <c r="H134" i="19"/>
  <c r="J134" i="19" s="1"/>
  <c r="R689" i="8"/>
  <c r="I505" i="14"/>
  <c r="R1058" i="8"/>
  <c r="H727" i="8"/>
  <c r="I727" i="8" s="1"/>
  <c r="J727" i="8" s="1"/>
  <c r="L727" i="8" s="1"/>
  <c r="H726" i="8"/>
  <c r="I726" i="8" s="1"/>
  <c r="J726" i="8" s="1"/>
  <c r="L726" i="8" s="1"/>
  <c r="H725" i="8"/>
  <c r="I725" i="8" s="1"/>
  <c r="J725" i="8" s="1"/>
  <c r="L725" i="8" s="1"/>
  <c r="H724" i="8"/>
  <c r="I724" i="8" s="1"/>
  <c r="J724" i="8" s="1"/>
  <c r="L724" i="8" s="1"/>
  <c r="H723" i="8"/>
  <c r="I723" i="8" s="1"/>
  <c r="J723" i="8" s="1"/>
  <c r="L723" i="8" s="1"/>
  <c r="H722" i="8"/>
  <c r="I722" i="8" s="1"/>
  <c r="J722" i="8" s="1"/>
  <c r="L722" i="8" s="1"/>
  <c r="H721" i="8"/>
  <c r="I721" i="8" s="1"/>
  <c r="J721" i="8" s="1"/>
  <c r="L721" i="8" s="1"/>
  <c r="H720" i="8"/>
  <c r="I720" i="8" s="1"/>
  <c r="J720" i="8" s="1"/>
  <c r="L720" i="8" s="1"/>
  <c r="H719" i="8"/>
  <c r="I719" i="8" s="1"/>
  <c r="J719" i="8" s="1"/>
  <c r="L719" i="8" s="1"/>
  <c r="H718" i="8"/>
  <c r="I718" i="8" s="1"/>
  <c r="J718" i="8" s="1"/>
  <c r="L718" i="8" s="1"/>
  <c r="H717" i="8"/>
  <c r="I717" i="8" s="1"/>
  <c r="J717" i="8" s="1"/>
  <c r="L717" i="8" s="1"/>
  <c r="H716" i="8"/>
  <c r="I716" i="8" s="1"/>
  <c r="J716" i="8" s="1"/>
  <c r="L716" i="8" s="1"/>
  <c r="H715" i="8"/>
  <c r="I715" i="8" s="1"/>
  <c r="J715" i="8" s="1"/>
  <c r="L715" i="8" s="1"/>
  <c r="H714" i="8"/>
  <c r="I714" i="8" s="1"/>
  <c r="J714" i="8" s="1"/>
  <c r="L714" i="8" s="1"/>
  <c r="H713" i="8"/>
  <c r="I713" i="8" s="1"/>
  <c r="J713" i="8" s="1"/>
  <c r="L713" i="8" s="1"/>
  <c r="H712" i="8"/>
  <c r="I712" i="8" s="1"/>
  <c r="J712" i="8" s="1"/>
  <c r="L712" i="8" s="1"/>
  <c r="H711" i="8"/>
  <c r="I711" i="8" s="1"/>
  <c r="J711" i="8" s="1"/>
  <c r="L711" i="8" s="1"/>
  <c r="H710" i="8"/>
  <c r="I710" i="8" s="1"/>
  <c r="J710" i="8" s="1"/>
  <c r="L710" i="8" s="1"/>
  <c r="H709" i="8"/>
  <c r="I709" i="8" s="1"/>
  <c r="J709" i="8" s="1"/>
  <c r="L709" i="8" s="1"/>
  <c r="H708" i="8"/>
  <c r="I708" i="8" s="1"/>
  <c r="J708" i="8" s="1"/>
  <c r="L708" i="8" s="1"/>
  <c r="H707" i="8"/>
  <c r="I707" i="8" s="1"/>
  <c r="J707" i="8" s="1"/>
  <c r="L707" i="8" s="1"/>
  <c r="H706" i="8"/>
  <c r="I706" i="8" s="1"/>
  <c r="J706" i="8" s="1"/>
  <c r="L706" i="8" s="1"/>
  <c r="H705" i="8"/>
  <c r="I705" i="8" s="1"/>
  <c r="J705" i="8" s="1"/>
  <c r="L705" i="8" s="1"/>
  <c r="H704" i="8"/>
  <c r="I704" i="8" s="1"/>
  <c r="J704" i="8" s="1"/>
  <c r="L704" i="8" s="1"/>
  <c r="I1943" i="8"/>
  <c r="J1943" i="8" s="1"/>
  <c r="L1943" i="8" s="1"/>
  <c r="I1942" i="8"/>
  <c r="J1942" i="8" s="1"/>
  <c r="L1942" i="8" s="1"/>
  <c r="I1941" i="8"/>
  <c r="J1941" i="8" s="1"/>
  <c r="L1941" i="8" s="1"/>
  <c r="I1940" i="8"/>
  <c r="J1940" i="8" s="1"/>
  <c r="L1940" i="8" s="1"/>
  <c r="I1939" i="8"/>
  <c r="J1939" i="8" s="1"/>
  <c r="L1939" i="8" s="1"/>
  <c r="I1938" i="8"/>
  <c r="J1938" i="8" s="1"/>
  <c r="L1938" i="8" s="1"/>
  <c r="I1937" i="8"/>
  <c r="J1937" i="8" s="1"/>
  <c r="L1937" i="8" s="1"/>
  <c r="I1936" i="8"/>
  <c r="J1936" i="8" s="1"/>
  <c r="L1936" i="8" s="1"/>
  <c r="I1935" i="8"/>
  <c r="J1935" i="8" s="1"/>
  <c r="L1935" i="8" s="1"/>
  <c r="I1934" i="8"/>
  <c r="J1934" i="8" s="1"/>
  <c r="L1934" i="8" s="1"/>
  <c r="R1933" i="8"/>
  <c r="I1933" i="8"/>
  <c r="J1933" i="8" s="1"/>
  <c r="L1933" i="8" s="1"/>
  <c r="R1932" i="8"/>
  <c r="I1932" i="8"/>
  <c r="J1932" i="8" s="1"/>
  <c r="L1932" i="8" s="1"/>
  <c r="I1931" i="8"/>
  <c r="J1931" i="8" s="1"/>
  <c r="L1931" i="8" s="1"/>
  <c r="I1930" i="8"/>
  <c r="J1930" i="8" s="1"/>
  <c r="L1930" i="8" s="1"/>
  <c r="I1929" i="8"/>
  <c r="J1929" i="8" s="1"/>
  <c r="L1929" i="8" s="1"/>
  <c r="I1928" i="8"/>
  <c r="J1928" i="8" s="1"/>
  <c r="L1928" i="8" s="1"/>
  <c r="I1927" i="8"/>
  <c r="J1927" i="8" s="1"/>
  <c r="L1927" i="8" s="1"/>
  <c r="I1926" i="8"/>
  <c r="J1926" i="8" s="1"/>
  <c r="L1926" i="8" s="1"/>
  <c r="I1925" i="8"/>
  <c r="J1925" i="8" s="1"/>
  <c r="L1925" i="8" s="1"/>
  <c r="I1924" i="8"/>
  <c r="J1924" i="8" s="1"/>
  <c r="L1924" i="8" s="1"/>
  <c r="I1923" i="8"/>
  <c r="J1923" i="8" s="1"/>
  <c r="L1923" i="8" s="1"/>
  <c r="R1922" i="8"/>
  <c r="I1922" i="8"/>
  <c r="J1922" i="8" s="1"/>
  <c r="L1922" i="8" s="1"/>
  <c r="R1921" i="8"/>
  <c r="I1921" i="8"/>
  <c r="J1921" i="8" s="1"/>
  <c r="L1921" i="8" s="1"/>
  <c r="R1920" i="8"/>
  <c r="I1920" i="8"/>
  <c r="J1920" i="8" s="1"/>
  <c r="L1920" i="8" s="1"/>
  <c r="I1919" i="8"/>
  <c r="J1919" i="8" s="1"/>
  <c r="L1919" i="8" s="1"/>
  <c r="I1918" i="8"/>
  <c r="J1918" i="8" s="1"/>
  <c r="L1918" i="8" s="1"/>
  <c r="I1917" i="8"/>
  <c r="J1917" i="8" s="1"/>
  <c r="L1917" i="8" s="1"/>
  <c r="I1916" i="8"/>
  <c r="J1916" i="8" s="1"/>
  <c r="L1916" i="8" s="1"/>
  <c r="I1915" i="8"/>
  <c r="J1915" i="8" s="1"/>
  <c r="L1915" i="8" s="1"/>
  <c r="I1914" i="8"/>
  <c r="J1914" i="8" s="1"/>
  <c r="L1914" i="8" s="1"/>
  <c r="I1913" i="8"/>
  <c r="J1913" i="8" s="1"/>
  <c r="L1913" i="8" s="1"/>
  <c r="I1912" i="8"/>
  <c r="J1912" i="8" s="1"/>
  <c r="L1912" i="8" s="1"/>
  <c r="I1911" i="8"/>
  <c r="J1911" i="8" s="1"/>
  <c r="L1911" i="8" s="1"/>
  <c r="I1910" i="8"/>
  <c r="J1910" i="8" s="1"/>
  <c r="L1910" i="8" s="1"/>
  <c r="I1909" i="8"/>
  <c r="J1909" i="8" s="1"/>
  <c r="L1909" i="8" s="1"/>
  <c r="I1908" i="8"/>
  <c r="J1908" i="8" s="1"/>
  <c r="L1908" i="8" s="1"/>
  <c r="I1907" i="8"/>
  <c r="J1907" i="8" s="1"/>
  <c r="L1907" i="8" s="1"/>
  <c r="I1906" i="8"/>
  <c r="J1906" i="8" s="1"/>
  <c r="L1906" i="8" s="1"/>
  <c r="I1905" i="8"/>
  <c r="J1905" i="8" s="1"/>
  <c r="L1905" i="8" s="1"/>
  <c r="I1904" i="8"/>
  <c r="J1904" i="8" s="1"/>
  <c r="L1904" i="8" s="1"/>
  <c r="I1903" i="8"/>
  <c r="J1903" i="8" s="1"/>
  <c r="L1903" i="8" s="1"/>
  <c r="I1902" i="8"/>
  <c r="J1902" i="8" s="1"/>
  <c r="L1902" i="8" s="1"/>
  <c r="I1901" i="8"/>
  <c r="J1901" i="8" s="1"/>
  <c r="L1901" i="8" s="1"/>
  <c r="I1900" i="8"/>
  <c r="J1900" i="8" s="1"/>
  <c r="L1900" i="8" s="1"/>
  <c r="I1899" i="8"/>
  <c r="J1899" i="8" s="1"/>
  <c r="L1899" i="8" s="1"/>
  <c r="R1898" i="8"/>
  <c r="I1898" i="8"/>
  <c r="J1898" i="8" s="1"/>
  <c r="L1898" i="8" s="1"/>
  <c r="R1897" i="8"/>
  <c r="I1897" i="8"/>
  <c r="J1897" i="8" s="1"/>
  <c r="L1897" i="8" s="1"/>
  <c r="R1896" i="8"/>
  <c r="I1896" i="8"/>
  <c r="J1896" i="8" s="1"/>
  <c r="L1896" i="8" s="1"/>
  <c r="I1895" i="8"/>
  <c r="J1895" i="8" s="1"/>
  <c r="L1895" i="8" s="1"/>
  <c r="I1894" i="8"/>
  <c r="J1894" i="8" s="1"/>
  <c r="L1894" i="8" s="1"/>
  <c r="I1893" i="8"/>
  <c r="J1893" i="8" s="1"/>
  <c r="L1893" i="8" s="1"/>
  <c r="I1892" i="8"/>
  <c r="J1892" i="8" s="1"/>
  <c r="L1892" i="8" s="1"/>
  <c r="I1891" i="8"/>
  <c r="J1891" i="8" s="1"/>
  <c r="L1891" i="8" s="1"/>
  <c r="I1890" i="8"/>
  <c r="J1890" i="8" s="1"/>
  <c r="L1890" i="8" s="1"/>
  <c r="I1889" i="8"/>
  <c r="J1889" i="8" s="1"/>
  <c r="L1889" i="8" s="1"/>
  <c r="I1888" i="8"/>
  <c r="J1888" i="8" s="1"/>
  <c r="L1888" i="8" s="1"/>
  <c r="I1887" i="8"/>
  <c r="J1887" i="8" s="1"/>
  <c r="L1887" i="8" s="1"/>
  <c r="I1886" i="8"/>
  <c r="J1886" i="8" s="1"/>
  <c r="L1886" i="8" s="1"/>
  <c r="R1885" i="8"/>
  <c r="I1885" i="8"/>
  <c r="J1885" i="8" s="1"/>
  <c r="L1885" i="8" s="1"/>
  <c r="R1884" i="8"/>
  <c r="I1884" i="8"/>
  <c r="J1884" i="8" s="1"/>
  <c r="L1884" i="8" s="1"/>
  <c r="I1883" i="8"/>
  <c r="J1883" i="8" s="1"/>
  <c r="L1883" i="8" s="1"/>
  <c r="I1882" i="8"/>
  <c r="J1882" i="8" s="1"/>
  <c r="L1882" i="8" s="1"/>
  <c r="I1881" i="8"/>
  <c r="J1881" i="8" s="1"/>
  <c r="L1881" i="8" s="1"/>
  <c r="I1880" i="8"/>
  <c r="J1880" i="8" s="1"/>
  <c r="L1880" i="8" s="1"/>
  <c r="I1879" i="8"/>
  <c r="J1879" i="8" s="1"/>
  <c r="L1879" i="8" s="1"/>
  <c r="I1878" i="8"/>
  <c r="J1878" i="8" s="1"/>
  <c r="L1878" i="8" s="1"/>
  <c r="I1877" i="8"/>
  <c r="J1877" i="8" s="1"/>
  <c r="L1877" i="8" s="1"/>
  <c r="I1876" i="8"/>
  <c r="J1876" i="8" s="1"/>
  <c r="L1876" i="8" s="1"/>
  <c r="I1875" i="8"/>
  <c r="J1875" i="8" s="1"/>
  <c r="L1875" i="8" s="1"/>
  <c r="I1874" i="8"/>
  <c r="J1874" i="8" s="1"/>
  <c r="L1874" i="8" s="1"/>
  <c r="I1873" i="8"/>
  <c r="J1873" i="8" s="1"/>
  <c r="L1873" i="8" s="1"/>
  <c r="I1872" i="8"/>
  <c r="J1872" i="8" s="1"/>
  <c r="L1872" i="8" s="1"/>
  <c r="I1871" i="8"/>
  <c r="J1871" i="8" s="1"/>
  <c r="L1871" i="8" s="1"/>
  <c r="I1870" i="8"/>
  <c r="J1870" i="8" s="1"/>
  <c r="L1870" i="8" s="1"/>
  <c r="I1869" i="8"/>
  <c r="J1869" i="8" s="1"/>
  <c r="L1869" i="8" s="1"/>
  <c r="I1868" i="8"/>
  <c r="J1868" i="8" s="1"/>
  <c r="L1868" i="8" s="1"/>
  <c r="I1867" i="8"/>
  <c r="J1867" i="8" s="1"/>
  <c r="L1867" i="8" s="1"/>
  <c r="I1866" i="8"/>
  <c r="J1866" i="8" s="1"/>
  <c r="L1866" i="8" s="1"/>
  <c r="I1865" i="8"/>
  <c r="J1865" i="8" s="1"/>
  <c r="L1865" i="8" s="1"/>
  <c r="I1864" i="8"/>
  <c r="J1864" i="8" s="1"/>
  <c r="L1864" i="8" s="1"/>
  <c r="R1863" i="8"/>
  <c r="I1863" i="8"/>
  <c r="J1863" i="8" s="1"/>
  <c r="L1863" i="8" s="1"/>
  <c r="R1862" i="8"/>
  <c r="I1862" i="8"/>
  <c r="J1862" i="8" s="1"/>
  <c r="L1862" i="8" s="1"/>
  <c r="R1861" i="8"/>
  <c r="I1861" i="8"/>
  <c r="J1861" i="8" s="1"/>
  <c r="L1861" i="8" s="1"/>
  <c r="R1860" i="8"/>
  <c r="I1860" i="8"/>
  <c r="J1860" i="8" s="1"/>
  <c r="L1860" i="8" s="1"/>
  <c r="I1859" i="8"/>
  <c r="J1859" i="8" s="1"/>
  <c r="L1859" i="8" s="1"/>
  <c r="I1858" i="8"/>
  <c r="J1858" i="8" s="1"/>
  <c r="L1858" i="8" s="1"/>
  <c r="I1857" i="8"/>
  <c r="J1857" i="8" s="1"/>
  <c r="L1857" i="8" s="1"/>
  <c r="I1856" i="8"/>
  <c r="J1856" i="8" s="1"/>
  <c r="L1856" i="8" s="1"/>
  <c r="I1855" i="8"/>
  <c r="J1855" i="8" s="1"/>
  <c r="L1855" i="8" s="1"/>
  <c r="I1854" i="8"/>
  <c r="J1854" i="8" s="1"/>
  <c r="L1854" i="8" s="1"/>
  <c r="I1853" i="8"/>
  <c r="J1853" i="8" s="1"/>
  <c r="L1853" i="8" s="1"/>
  <c r="I1852" i="8"/>
  <c r="J1852" i="8" s="1"/>
  <c r="L1852" i="8" s="1"/>
  <c r="I1851" i="8"/>
  <c r="J1851" i="8" s="1"/>
  <c r="L1851" i="8" s="1"/>
  <c r="I1850" i="8"/>
  <c r="J1850" i="8" s="1"/>
  <c r="L1850" i="8" s="1"/>
  <c r="I1849" i="8"/>
  <c r="J1849" i="8" s="1"/>
  <c r="L1849" i="8" s="1"/>
  <c r="I1848" i="8"/>
  <c r="J1848" i="8" s="1"/>
  <c r="L1848" i="8" s="1"/>
  <c r="I1847" i="8"/>
  <c r="J1847" i="8" s="1"/>
  <c r="L1847" i="8" s="1"/>
  <c r="I1846" i="8"/>
  <c r="J1846" i="8" s="1"/>
  <c r="L1846" i="8" s="1"/>
  <c r="I1845" i="8"/>
  <c r="J1845" i="8" s="1"/>
  <c r="L1845" i="8" s="1"/>
  <c r="I1844" i="8"/>
  <c r="J1844" i="8" s="1"/>
  <c r="L1844" i="8" s="1"/>
  <c r="I1843" i="8"/>
  <c r="J1843" i="8" s="1"/>
  <c r="L1843" i="8" s="1"/>
  <c r="I1842" i="8"/>
  <c r="J1842" i="8" s="1"/>
  <c r="L1842" i="8" s="1"/>
  <c r="I1841" i="8"/>
  <c r="J1841" i="8" s="1"/>
  <c r="L1841" i="8" s="1"/>
  <c r="I1840" i="8"/>
  <c r="J1840" i="8" s="1"/>
  <c r="L1840" i="8" s="1"/>
  <c r="I1839" i="8"/>
  <c r="J1839" i="8" s="1"/>
  <c r="L1839" i="8" s="1"/>
  <c r="I1838" i="8"/>
  <c r="J1838" i="8" s="1"/>
  <c r="L1838" i="8" s="1"/>
  <c r="I1837" i="8"/>
  <c r="J1837" i="8" s="1"/>
  <c r="L1837" i="8" s="1"/>
  <c r="I1836" i="8"/>
  <c r="J1836" i="8" s="1"/>
  <c r="L1836" i="8" s="1"/>
  <c r="I1112" i="8"/>
  <c r="J1112" i="8" s="1"/>
  <c r="L1112" i="8" s="1"/>
  <c r="I1111" i="8"/>
  <c r="J1111" i="8" s="1"/>
  <c r="L1111" i="8" s="1"/>
  <c r="I1110" i="8"/>
  <c r="J1110" i="8" s="1"/>
  <c r="L1110" i="8" s="1"/>
  <c r="I1109" i="8"/>
  <c r="J1109" i="8" s="1"/>
  <c r="L1109" i="8" s="1"/>
  <c r="I1108" i="8"/>
  <c r="J1108" i="8" s="1"/>
  <c r="L1108" i="8" s="1"/>
  <c r="I1107" i="8"/>
  <c r="J1107" i="8" s="1"/>
  <c r="L1107" i="8" s="1"/>
  <c r="I1106" i="8"/>
  <c r="J1106" i="8" s="1"/>
  <c r="L1106" i="8" s="1"/>
  <c r="I1105" i="8"/>
  <c r="J1105" i="8" s="1"/>
  <c r="L1105" i="8" s="1"/>
  <c r="I1104" i="8"/>
  <c r="J1104" i="8" s="1"/>
  <c r="L1104" i="8" s="1"/>
  <c r="I1103" i="8"/>
  <c r="J1103" i="8" s="1"/>
  <c r="L1103" i="8" s="1"/>
  <c r="R1102" i="8"/>
  <c r="I1102" i="8"/>
  <c r="J1102" i="8" s="1"/>
  <c r="L1102" i="8" s="1"/>
  <c r="I1101" i="8"/>
  <c r="J1101" i="8" s="1"/>
  <c r="L1101" i="8" s="1"/>
  <c r="I99" i="8"/>
  <c r="J99" i="8" s="1"/>
  <c r="L99" i="8" s="1"/>
  <c r="I866" i="8"/>
  <c r="J866" i="8" s="1"/>
  <c r="L866" i="8" s="1"/>
  <c r="I865" i="8"/>
  <c r="J865" i="8" s="1"/>
  <c r="L865" i="8" s="1"/>
  <c r="I864" i="8"/>
  <c r="J864" i="8" s="1"/>
  <c r="L864" i="8" s="1"/>
  <c r="I702" i="8"/>
  <c r="J702" i="8" s="1"/>
  <c r="L702" i="8" s="1"/>
  <c r="I701" i="8"/>
  <c r="J701" i="8" s="1"/>
  <c r="L701" i="8" s="1"/>
  <c r="I700" i="8"/>
  <c r="J700" i="8" s="1"/>
  <c r="L700" i="8" s="1"/>
  <c r="I699" i="8"/>
  <c r="J699" i="8" s="1"/>
  <c r="L699" i="8" s="1"/>
  <c r="R698" i="8"/>
  <c r="I698" i="8"/>
  <c r="J698" i="8" s="1"/>
  <c r="L698" i="8" s="1"/>
  <c r="R697" i="8"/>
  <c r="I697" i="8"/>
  <c r="J697" i="8" s="1"/>
  <c r="L697" i="8" s="1"/>
  <c r="I696" i="8"/>
  <c r="J696" i="8" s="1"/>
  <c r="L696" i="8" s="1"/>
  <c r="R695" i="8"/>
  <c r="I695" i="8"/>
  <c r="J695" i="8" s="1"/>
  <c r="L695" i="8" s="1"/>
  <c r="I694" i="8"/>
  <c r="J694" i="8" s="1"/>
  <c r="L694" i="8" s="1"/>
  <c r="I693" i="8"/>
  <c r="J693" i="8" s="1"/>
  <c r="L693" i="8" s="1"/>
  <c r="I692" i="8"/>
  <c r="J692" i="8" s="1"/>
  <c r="L692" i="8" s="1"/>
  <c r="I691" i="8"/>
  <c r="J691" i="8" s="1"/>
  <c r="L691" i="8" s="1"/>
  <c r="I690" i="8"/>
  <c r="J690" i="8" s="1"/>
  <c r="L690" i="8" s="1"/>
  <c r="I689" i="8"/>
  <c r="J689" i="8" s="1"/>
  <c r="L689" i="8" s="1"/>
  <c r="I688" i="8"/>
  <c r="J688" i="8" s="1"/>
  <c r="L688" i="8" s="1"/>
  <c r="I687" i="8"/>
  <c r="J687" i="8" s="1"/>
  <c r="L687" i="8" s="1"/>
  <c r="I686" i="8"/>
  <c r="J686" i="8" s="1"/>
  <c r="L686" i="8" s="1"/>
  <c r="I685" i="8"/>
  <c r="J685" i="8" s="1"/>
  <c r="L685" i="8" s="1"/>
  <c r="R684" i="8"/>
  <c r="I684" i="8"/>
  <c r="J684" i="8" s="1"/>
  <c r="L684" i="8" s="1"/>
  <c r="R683" i="8"/>
  <c r="I683" i="8"/>
  <c r="J683" i="8" s="1"/>
  <c r="L683" i="8" s="1"/>
  <c r="R682" i="8"/>
  <c r="I682" i="8"/>
  <c r="J682" i="8" s="1"/>
  <c r="L682" i="8" s="1"/>
  <c r="R681" i="8"/>
  <c r="I681" i="8"/>
  <c r="J681" i="8" s="1"/>
  <c r="L681" i="8" s="1"/>
  <c r="I680" i="8"/>
  <c r="J680" i="8" s="1"/>
  <c r="L680" i="8" s="1"/>
  <c r="I679" i="8"/>
  <c r="J679" i="8" s="1"/>
  <c r="L679" i="8" s="1"/>
  <c r="I678" i="8"/>
  <c r="J678" i="8" s="1"/>
  <c r="L678" i="8" s="1"/>
  <c r="I677" i="8"/>
  <c r="J677" i="8" s="1"/>
  <c r="L677" i="8" s="1"/>
  <c r="I676" i="8"/>
  <c r="J676" i="8" s="1"/>
  <c r="L676" i="8" s="1"/>
  <c r="R675" i="8"/>
  <c r="I675" i="8"/>
  <c r="J675" i="8" s="1"/>
  <c r="L675" i="8" s="1"/>
  <c r="I674" i="8"/>
  <c r="J674" i="8" s="1"/>
  <c r="L674" i="8" s="1"/>
  <c r="R673" i="8"/>
  <c r="I673" i="8"/>
  <c r="J673" i="8" s="1"/>
  <c r="L673" i="8" s="1"/>
  <c r="I672" i="8"/>
  <c r="J672" i="8" s="1"/>
  <c r="L672" i="8" s="1"/>
  <c r="R671" i="8"/>
  <c r="I671" i="8"/>
  <c r="J671" i="8" s="1"/>
  <c r="L671" i="8" s="1"/>
  <c r="I670" i="8"/>
  <c r="J670" i="8" s="1"/>
  <c r="L670" i="8" s="1"/>
  <c r="I669" i="8"/>
  <c r="J669" i="8" s="1"/>
  <c r="L669" i="8" s="1"/>
  <c r="I668" i="8"/>
  <c r="J668" i="8" s="1"/>
  <c r="L668" i="8" s="1"/>
  <c r="I667" i="8"/>
  <c r="J667" i="8" s="1"/>
  <c r="L667" i="8" s="1"/>
  <c r="I666" i="8"/>
  <c r="J666" i="8" s="1"/>
  <c r="L666" i="8" s="1"/>
  <c r="I665" i="8"/>
  <c r="J665" i="8" s="1"/>
  <c r="L665" i="8" s="1"/>
  <c r="I664" i="8"/>
  <c r="J664" i="8" s="1"/>
  <c r="L664" i="8" s="1"/>
  <c r="I663" i="8"/>
  <c r="J663" i="8" s="1"/>
  <c r="L663" i="8" s="1"/>
  <c r="I662" i="8"/>
  <c r="J662" i="8" s="1"/>
  <c r="L662" i="8" s="1"/>
  <c r="I661" i="8"/>
  <c r="J661" i="8" s="1"/>
  <c r="L661" i="8" s="1"/>
  <c r="I660" i="8"/>
  <c r="J660" i="8" s="1"/>
  <c r="L660" i="8" s="1"/>
  <c r="I659" i="8"/>
  <c r="J659" i="8" s="1"/>
  <c r="L659" i="8" s="1"/>
  <c r="R658" i="8"/>
  <c r="I658" i="8"/>
  <c r="J658" i="8" s="1"/>
  <c r="L658" i="8" s="1"/>
  <c r="I657" i="8"/>
  <c r="J657" i="8" s="1"/>
  <c r="L657" i="8" s="1"/>
  <c r="I656" i="8"/>
  <c r="J656" i="8" s="1"/>
  <c r="L656" i="8" s="1"/>
  <c r="I655" i="8"/>
  <c r="J655" i="8" s="1"/>
  <c r="L655" i="8" s="1"/>
  <c r="I654" i="8"/>
  <c r="J654" i="8" s="1"/>
  <c r="L654" i="8" s="1"/>
  <c r="I653" i="8"/>
  <c r="J653" i="8" s="1"/>
  <c r="L653" i="8" s="1"/>
  <c r="I652" i="8"/>
  <c r="J652" i="8" s="1"/>
  <c r="L652" i="8" s="1"/>
  <c r="I651" i="8"/>
  <c r="J651" i="8" s="1"/>
  <c r="L651" i="8" s="1"/>
  <c r="R650" i="8"/>
  <c r="I650" i="8"/>
  <c r="J650" i="8" s="1"/>
  <c r="L650" i="8" s="1"/>
  <c r="I649" i="8"/>
  <c r="J649" i="8" s="1"/>
  <c r="L649" i="8" s="1"/>
  <c r="I648" i="8"/>
  <c r="J648" i="8" s="1"/>
  <c r="L648" i="8" s="1"/>
  <c r="I647" i="8"/>
  <c r="J647" i="8" s="1"/>
  <c r="L647" i="8" s="1"/>
  <c r="I646" i="8"/>
  <c r="J646" i="8" s="1"/>
  <c r="L646" i="8" s="1"/>
  <c r="I645" i="8"/>
  <c r="J645" i="8" s="1"/>
  <c r="L645" i="8" s="1"/>
  <c r="I644" i="8"/>
  <c r="J644" i="8" s="1"/>
  <c r="L644" i="8" s="1"/>
  <c r="I643" i="8"/>
  <c r="J643" i="8" s="1"/>
  <c r="L643" i="8" s="1"/>
  <c r="I642" i="8"/>
  <c r="J642" i="8" s="1"/>
  <c r="L642" i="8" s="1"/>
  <c r="I641" i="8"/>
  <c r="J641" i="8" s="1"/>
  <c r="L641" i="8" s="1"/>
  <c r="I640" i="8"/>
  <c r="J640" i="8" s="1"/>
  <c r="L640" i="8" s="1"/>
  <c r="I639" i="8"/>
  <c r="J639" i="8" s="1"/>
  <c r="L639" i="8" s="1"/>
  <c r="R638" i="8"/>
  <c r="I638" i="8"/>
  <c r="J638" i="8" s="1"/>
  <c r="L638" i="8" s="1"/>
  <c r="I637" i="8"/>
  <c r="J637" i="8" s="1"/>
  <c r="L637" i="8" s="1"/>
  <c r="I636" i="8"/>
  <c r="J636" i="8" s="1"/>
  <c r="L636" i="8" s="1"/>
  <c r="I635" i="8"/>
  <c r="J635" i="8" s="1"/>
  <c r="L635" i="8" s="1"/>
  <c r="I634" i="8"/>
  <c r="J634" i="8" s="1"/>
  <c r="L634" i="8" s="1"/>
  <c r="I633" i="8"/>
  <c r="J633" i="8" s="1"/>
  <c r="L633" i="8" s="1"/>
  <c r="R632" i="8"/>
  <c r="I632" i="8"/>
  <c r="J632" i="8" s="1"/>
  <c r="L632" i="8" s="1"/>
  <c r="R631" i="8"/>
  <c r="I631" i="8"/>
  <c r="J631" i="8" s="1"/>
  <c r="L631" i="8" s="1"/>
  <c r="I630" i="8"/>
  <c r="J630" i="8" s="1"/>
  <c r="L630" i="8" s="1"/>
  <c r="I629" i="8"/>
  <c r="J629" i="8" s="1"/>
  <c r="L629" i="8" s="1"/>
  <c r="I628" i="8"/>
  <c r="J628" i="8" s="1"/>
  <c r="L628" i="8" s="1"/>
  <c r="I627" i="8"/>
  <c r="J627" i="8" s="1"/>
  <c r="L627" i="8" s="1"/>
  <c r="I626" i="8"/>
  <c r="J626" i="8" s="1"/>
  <c r="L626" i="8" s="1"/>
  <c r="R625" i="8"/>
  <c r="I625" i="8"/>
  <c r="J625" i="8" s="1"/>
  <c r="L625" i="8" s="1"/>
  <c r="I624" i="8"/>
  <c r="J624" i="8" s="1"/>
  <c r="L624" i="8" s="1"/>
  <c r="I623" i="8"/>
  <c r="J623" i="8" s="1"/>
  <c r="L623" i="8" s="1"/>
  <c r="I622" i="8"/>
  <c r="J622" i="8" s="1"/>
  <c r="L622" i="8" s="1"/>
  <c r="I621" i="8"/>
  <c r="J621" i="8" s="1"/>
  <c r="L621" i="8" s="1"/>
  <c r="R620" i="8"/>
  <c r="I620" i="8"/>
  <c r="J620" i="8" s="1"/>
  <c r="L620" i="8" s="1"/>
  <c r="I619" i="8"/>
  <c r="J619" i="8" s="1"/>
  <c r="L619" i="8" s="1"/>
  <c r="I192" i="8"/>
  <c r="J192" i="8" s="1"/>
  <c r="L192" i="8" s="1"/>
  <c r="I191" i="8"/>
  <c r="J191" i="8" s="1"/>
  <c r="L191" i="8" s="1"/>
  <c r="I190" i="8"/>
  <c r="J190" i="8" s="1"/>
  <c r="L190" i="8" s="1"/>
  <c r="I189" i="8"/>
  <c r="J189" i="8" s="1"/>
  <c r="L189" i="8" s="1"/>
  <c r="I188" i="8"/>
  <c r="J188" i="8" s="1"/>
  <c r="L188" i="8" s="1"/>
  <c r="I187" i="8"/>
  <c r="J187" i="8" s="1"/>
  <c r="L187" i="8" s="1"/>
  <c r="R186" i="8"/>
  <c r="I186" i="8"/>
  <c r="J186" i="8" s="1"/>
  <c r="L186" i="8" s="1"/>
  <c r="I185" i="8"/>
  <c r="J185" i="8" s="1"/>
  <c r="L185" i="8" s="1"/>
  <c r="I184" i="8"/>
  <c r="J184" i="8" s="1"/>
  <c r="L184" i="8" s="1"/>
  <c r="I183" i="8"/>
  <c r="J183" i="8" s="1"/>
  <c r="L183" i="8" s="1"/>
  <c r="I182" i="8"/>
  <c r="J182" i="8" s="1"/>
  <c r="L182" i="8" s="1"/>
  <c r="I181" i="8"/>
  <c r="J181" i="8" s="1"/>
  <c r="L181" i="8" s="1"/>
  <c r="I180" i="8"/>
  <c r="J180" i="8" s="1"/>
  <c r="L180" i="8" s="1"/>
  <c r="I179" i="8"/>
  <c r="J179" i="8" s="1"/>
  <c r="L179" i="8" s="1"/>
  <c r="I178" i="8"/>
  <c r="J178" i="8" s="1"/>
  <c r="L178" i="8" s="1"/>
  <c r="R177" i="8"/>
  <c r="I177" i="8"/>
  <c r="J177" i="8" s="1"/>
  <c r="L177" i="8" s="1"/>
  <c r="I176" i="8"/>
  <c r="J176" i="8" s="1"/>
  <c r="L176" i="8" s="1"/>
  <c r="I175" i="8"/>
  <c r="J175" i="8" s="1"/>
  <c r="L175" i="8" s="1"/>
  <c r="I174" i="8"/>
  <c r="J174" i="8" s="1"/>
  <c r="L174" i="8" s="1"/>
  <c r="R173" i="8"/>
  <c r="I173" i="8"/>
  <c r="J173" i="8" s="1"/>
  <c r="L173" i="8" s="1"/>
  <c r="R172" i="8"/>
  <c r="I172" i="8"/>
  <c r="J172" i="8" s="1"/>
  <c r="L172" i="8" s="1"/>
  <c r="I171" i="8"/>
  <c r="J171" i="8" s="1"/>
  <c r="L171" i="8" s="1"/>
  <c r="I170" i="8"/>
  <c r="J170" i="8" s="1"/>
  <c r="L170" i="8" s="1"/>
  <c r="K104" i="4"/>
  <c r="K121" i="4" s="1"/>
  <c r="J138" i="19" l="1"/>
  <c r="J142" i="19"/>
  <c r="L100" i="4"/>
  <c r="L121" i="4" s="1"/>
  <c r="C509" i="3"/>
  <c r="C510" i="3" s="1"/>
  <c r="B524" i="3"/>
  <c r="B514" i="3"/>
  <c r="B509" i="3"/>
  <c r="B496" i="3"/>
  <c r="B488" i="3"/>
  <c r="B484" i="3"/>
  <c r="B473" i="3"/>
  <c r="B467" i="3"/>
  <c r="B463" i="3"/>
  <c r="F51" i="18" l="1"/>
  <c r="R806" i="8" l="1"/>
  <c r="I304" i="16"/>
  <c r="J304" i="16" s="1"/>
  <c r="K304" i="16" s="1"/>
  <c r="M304" i="16" s="1"/>
  <c r="I303" i="16"/>
  <c r="J303" i="16" s="1"/>
  <c r="K303" i="16" s="1"/>
  <c r="M303" i="16" s="1"/>
  <c r="I302" i="16"/>
  <c r="J302" i="16" s="1"/>
  <c r="K302" i="16" s="1"/>
  <c r="M302" i="16" s="1"/>
  <c r="I301" i="16"/>
  <c r="J301" i="16" s="1"/>
  <c r="K301" i="16" s="1"/>
  <c r="M301" i="16" s="1"/>
  <c r="I300" i="16"/>
  <c r="J300" i="16" s="1"/>
  <c r="K300" i="16" s="1"/>
  <c r="M300" i="16" s="1"/>
  <c r="I299" i="16"/>
  <c r="J299" i="16" s="1"/>
  <c r="K299" i="16" s="1"/>
  <c r="M299" i="16" s="1"/>
  <c r="I298" i="16"/>
  <c r="J298" i="16" s="1"/>
  <c r="K298" i="16" s="1"/>
  <c r="M298" i="16" s="1"/>
  <c r="I297" i="16"/>
  <c r="J297" i="16" s="1"/>
  <c r="K297" i="16" s="1"/>
  <c r="M297" i="16" s="1"/>
  <c r="I296" i="16"/>
  <c r="J296" i="16" s="1"/>
  <c r="K296" i="16" s="1"/>
  <c r="M296" i="16" s="1"/>
  <c r="I295" i="16"/>
  <c r="J295" i="16" s="1"/>
  <c r="K295" i="16" s="1"/>
  <c r="M295" i="16" s="1"/>
  <c r="I294" i="16"/>
  <c r="J294" i="16" s="1"/>
  <c r="K294" i="16" s="1"/>
  <c r="M294" i="16" s="1"/>
  <c r="I293" i="16"/>
  <c r="J293" i="16" s="1"/>
  <c r="K293" i="16" s="1"/>
  <c r="M293" i="16" s="1"/>
  <c r="I292" i="16"/>
  <c r="J292" i="16" s="1"/>
  <c r="K292" i="16" s="1"/>
  <c r="M292" i="16" s="1"/>
  <c r="I291" i="16"/>
  <c r="J291" i="16" s="1"/>
  <c r="K291" i="16" s="1"/>
  <c r="M291" i="16" s="1"/>
  <c r="I290" i="16"/>
  <c r="J290" i="16" s="1"/>
  <c r="K290" i="16" s="1"/>
  <c r="M290" i="16" s="1"/>
  <c r="I289" i="16"/>
  <c r="J289" i="16" s="1"/>
  <c r="K289" i="16" s="1"/>
  <c r="M289" i="16" s="1"/>
  <c r="I288" i="16"/>
  <c r="J288" i="16" s="1"/>
  <c r="K288" i="16" s="1"/>
  <c r="M288" i="16" s="1"/>
  <c r="I287" i="16"/>
  <c r="J287" i="16" s="1"/>
  <c r="K287" i="16" s="1"/>
  <c r="M287" i="16" s="1"/>
  <c r="J286" i="16"/>
  <c r="K286" i="16" s="1"/>
  <c r="M286" i="16" s="1"/>
  <c r="I286" i="16"/>
  <c r="J285" i="16"/>
  <c r="K285" i="16" s="1"/>
  <c r="M285" i="16" s="1"/>
  <c r="I285" i="16"/>
  <c r="J284" i="16"/>
  <c r="K284" i="16" s="1"/>
  <c r="M284" i="16" s="1"/>
  <c r="I284" i="16"/>
  <c r="J283" i="16"/>
  <c r="K283" i="16" s="1"/>
  <c r="M283" i="16" s="1"/>
  <c r="I283" i="16"/>
  <c r="J282" i="16"/>
  <c r="K282" i="16" s="1"/>
  <c r="M282" i="16" s="1"/>
  <c r="I282" i="16"/>
  <c r="J281" i="16"/>
  <c r="K281" i="16" s="1"/>
  <c r="M281" i="16" s="1"/>
  <c r="I281" i="16"/>
  <c r="S14" i="16" l="1"/>
  <c r="S13" i="16"/>
  <c r="S12" i="16"/>
  <c r="S11" i="16"/>
  <c r="S7" i="16"/>
  <c r="S6" i="16"/>
  <c r="S5" i="16"/>
  <c r="S4" i="16"/>
  <c r="S3" i="16"/>
  <c r="R774" i="8"/>
  <c r="S38" i="16"/>
  <c r="S24" i="16"/>
  <c r="E498" i="14"/>
  <c r="I498" i="14" s="1"/>
  <c r="E493" i="14"/>
  <c r="F491" i="14"/>
  <c r="E488" i="14"/>
  <c r="E491" i="14" s="1"/>
  <c r="S112" i="16"/>
  <c r="S103" i="16"/>
  <c r="E486" i="14"/>
  <c r="F486" i="14"/>
  <c r="R411" i="8"/>
  <c r="R1736" i="8"/>
  <c r="R545" i="8"/>
  <c r="R472" i="8"/>
  <c r="R584" i="8"/>
  <c r="S101" i="16"/>
  <c r="S99" i="16"/>
  <c r="H129" i="19"/>
  <c r="F126" i="19"/>
  <c r="F129" i="19" s="1"/>
  <c r="R607" i="8"/>
  <c r="R613" i="8"/>
  <c r="R330" i="8"/>
  <c r="S123" i="16"/>
  <c r="H124" i="19"/>
  <c r="F124" i="19"/>
  <c r="R162" i="8"/>
  <c r="B459" i="3"/>
  <c r="I486" i="14" l="1"/>
  <c r="I491" i="14"/>
  <c r="J129" i="19"/>
  <c r="J124" i="19"/>
  <c r="S217" i="16"/>
  <c r="S216" i="16"/>
  <c r="S215" i="16"/>
  <c r="S109" i="16"/>
  <c r="S110" i="16"/>
  <c r="B452" i="3"/>
  <c r="B434" i="3" l="1"/>
  <c r="B610" i="3" s="1"/>
  <c r="L7" i="18" l="1"/>
  <c r="S25" i="16"/>
  <c r="S111" i="16"/>
  <c r="S53" i="16"/>
  <c r="S59" i="16"/>
  <c r="R433" i="8"/>
  <c r="F409" i="14"/>
  <c r="S78" i="16"/>
  <c r="R612" i="8"/>
  <c r="S60" i="16"/>
  <c r="S48" i="16"/>
  <c r="S126" i="16"/>
  <c r="S125" i="16"/>
  <c r="R832" i="8"/>
  <c r="R338" i="8"/>
  <c r="S29" i="16"/>
  <c r="I482" i="14" l="1"/>
  <c r="B411" i="3"/>
  <c r="K77" i="4" l="1"/>
  <c r="K69" i="4"/>
  <c r="B398" i="3"/>
  <c r="M19" i="16" l="1"/>
  <c r="G19" i="16"/>
  <c r="R974" i="8"/>
  <c r="R2010" i="8"/>
  <c r="R1755" i="8"/>
  <c r="R1749" i="8"/>
  <c r="R515" i="8"/>
  <c r="R603" i="8"/>
  <c r="H119" i="19"/>
  <c r="F119" i="19"/>
  <c r="R1128" i="8"/>
  <c r="S241" i="16"/>
  <c r="S240" i="16"/>
  <c r="S239" i="16"/>
  <c r="S251" i="16"/>
  <c r="S252" i="16"/>
  <c r="B388" i="3"/>
  <c r="R1044" i="8"/>
  <c r="J119" i="19" l="1"/>
  <c r="S182" i="16"/>
  <c r="S181" i="16"/>
  <c r="S180" i="16"/>
  <c r="S179" i="16"/>
  <c r="S66" i="16"/>
  <c r="S204" i="16"/>
  <c r="S203" i="16"/>
  <c r="S142" i="16" l="1"/>
  <c r="S88" i="16"/>
  <c r="S86" i="16"/>
  <c r="R1675" i="8"/>
  <c r="R610" i="8"/>
  <c r="R529" i="8"/>
  <c r="R494" i="8"/>
  <c r="E472" i="14"/>
  <c r="R291" i="8"/>
  <c r="R1052" i="8"/>
  <c r="B373" i="3"/>
  <c r="B368" i="3"/>
  <c r="I472" i="14" l="1"/>
  <c r="B359" i="3"/>
  <c r="R1018" i="8" l="1"/>
  <c r="F377" i="14"/>
  <c r="G114" i="19"/>
  <c r="H114" i="19"/>
  <c r="F114" i="19"/>
  <c r="R1834" i="8"/>
  <c r="R1821" i="8"/>
  <c r="R1811" i="8"/>
  <c r="R1562" i="8"/>
  <c r="R568" i="8"/>
  <c r="B353" i="3"/>
  <c r="B339" i="3"/>
  <c r="R519" i="8" l="1"/>
  <c r="R604" i="8"/>
  <c r="R575" i="8"/>
  <c r="H109" i="19"/>
  <c r="J109" i="19" s="1"/>
  <c r="F109" i="19"/>
  <c r="H66" i="19"/>
  <c r="R143" i="8"/>
  <c r="H101" i="19"/>
  <c r="F101" i="19"/>
  <c r="F398" i="14"/>
  <c r="R602" i="8"/>
  <c r="R611" i="8"/>
  <c r="F466" i="14"/>
  <c r="E466" i="14"/>
  <c r="R1043" i="8"/>
  <c r="R778" i="8"/>
  <c r="R546" i="8"/>
  <c r="R605" i="8"/>
  <c r="R2008" i="8"/>
  <c r="R1448" i="8"/>
  <c r="R1529" i="8"/>
  <c r="R1059" i="8"/>
  <c r="R476" i="8"/>
  <c r="R317" i="8"/>
  <c r="B345" i="3"/>
  <c r="B335" i="3"/>
  <c r="I466" i="14" l="1"/>
  <c r="J101" i="19"/>
  <c r="H265" i="16"/>
  <c r="L265" i="16"/>
  <c r="N45" i="16"/>
  <c r="N131" i="16"/>
  <c r="N136" i="16"/>
  <c r="N153" i="16"/>
  <c r="N263" i="16"/>
  <c r="I265" i="16"/>
  <c r="J262" i="16"/>
  <c r="K262" i="16" s="1"/>
  <c r="M262" i="16" s="1"/>
  <c r="J261" i="16"/>
  <c r="K261" i="16" s="1"/>
  <c r="M261" i="16" s="1"/>
  <c r="J260" i="16"/>
  <c r="K260" i="16" s="1"/>
  <c r="M260" i="16" s="1"/>
  <c r="J259" i="16"/>
  <c r="K259" i="16" s="1"/>
  <c r="M259" i="16" s="1"/>
  <c r="J258" i="16"/>
  <c r="K258" i="16" s="1"/>
  <c r="M258" i="16" s="1"/>
  <c r="J257" i="16"/>
  <c r="K257" i="16" s="1"/>
  <c r="M257" i="16" s="1"/>
  <c r="J256" i="16"/>
  <c r="K256" i="16" s="1"/>
  <c r="M256" i="16" s="1"/>
  <c r="J255" i="16"/>
  <c r="K255" i="16" s="1"/>
  <c r="M255" i="16" s="1"/>
  <c r="J254" i="16"/>
  <c r="K254" i="16" s="1"/>
  <c r="M254" i="16" s="1"/>
  <c r="J253" i="16"/>
  <c r="K253" i="16" s="1"/>
  <c r="M253" i="16" s="1"/>
  <c r="J252" i="16"/>
  <c r="K252" i="16" s="1"/>
  <c r="M252" i="16" s="1"/>
  <c r="J251" i="16"/>
  <c r="K251" i="16" s="1"/>
  <c r="M251" i="16" s="1"/>
  <c r="J250" i="16"/>
  <c r="K250" i="16" s="1"/>
  <c r="M250" i="16" s="1"/>
  <c r="J249" i="16"/>
  <c r="K249" i="16" s="1"/>
  <c r="M249" i="16" s="1"/>
  <c r="J248" i="16"/>
  <c r="K248" i="16" s="1"/>
  <c r="M248" i="16" s="1"/>
  <c r="J247" i="16"/>
  <c r="K247" i="16" s="1"/>
  <c r="M247" i="16" s="1"/>
  <c r="J246" i="16"/>
  <c r="K246" i="16" s="1"/>
  <c r="M246" i="16" s="1"/>
  <c r="J245" i="16"/>
  <c r="K245" i="16" s="1"/>
  <c r="M245" i="16" s="1"/>
  <c r="J244" i="16"/>
  <c r="K244" i="16" s="1"/>
  <c r="M244" i="16" s="1"/>
  <c r="J243" i="16"/>
  <c r="K243" i="16" s="1"/>
  <c r="M243" i="16" s="1"/>
  <c r="J242" i="16"/>
  <c r="K242" i="16" s="1"/>
  <c r="M242" i="16" s="1"/>
  <c r="J241" i="16"/>
  <c r="K241" i="16" s="1"/>
  <c r="M241" i="16" s="1"/>
  <c r="J240" i="16"/>
  <c r="K240" i="16" s="1"/>
  <c r="M240" i="16" s="1"/>
  <c r="J239" i="16"/>
  <c r="K239" i="16" s="1"/>
  <c r="M239" i="16" s="1"/>
  <c r="J238" i="16"/>
  <c r="K238" i="16" s="1"/>
  <c r="M238" i="16" s="1"/>
  <c r="J237" i="16"/>
  <c r="K237" i="16" s="1"/>
  <c r="M237" i="16" s="1"/>
  <c r="J236" i="16"/>
  <c r="K236" i="16" s="1"/>
  <c r="M236" i="16" s="1"/>
  <c r="J235" i="16"/>
  <c r="K235" i="16" s="1"/>
  <c r="M235" i="16" s="1"/>
  <c r="J234" i="16"/>
  <c r="K234" i="16" s="1"/>
  <c r="M234" i="16" s="1"/>
  <c r="J233" i="16"/>
  <c r="K233" i="16" s="1"/>
  <c r="M233" i="16" s="1"/>
  <c r="J232" i="16"/>
  <c r="K232" i="16" s="1"/>
  <c r="M232" i="16" s="1"/>
  <c r="J231" i="16"/>
  <c r="K231" i="16" s="1"/>
  <c r="M231" i="16" s="1"/>
  <c r="J230" i="16"/>
  <c r="K230" i="16" s="1"/>
  <c r="M230" i="16" s="1"/>
  <c r="J229" i="16"/>
  <c r="K229" i="16" s="1"/>
  <c r="M229" i="16" s="1"/>
  <c r="J228" i="16"/>
  <c r="K228" i="16" s="1"/>
  <c r="M228" i="16" s="1"/>
  <c r="J227" i="16"/>
  <c r="K227" i="16" s="1"/>
  <c r="M227" i="16" s="1"/>
  <c r="J226" i="16"/>
  <c r="K226" i="16" s="1"/>
  <c r="M226" i="16" s="1"/>
  <c r="J225" i="16"/>
  <c r="K225" i="16" s="1"/>
  <c r="M225" i="16" s="1"/>
  <c r="J224" i="16"/>
  <c r="K224" i="16" s="1"/>
  <c r="M224" i="16" s="1"/>
  <c r="J223" i="16"/>
  <c r="K223" i="16" s="1"/>
  <c r="M223" i="16" s="1"/>
  <c r="J222" i="16"/>
  <c r="K222" i="16" s="1"/>
  <c r="M222" i="16" s="1"/>
  <c r="J221" i="16"/>
  <c r="K221" i="16" s="1"/>
  <c r="M221" i="16" s="1"/>
  <c r="J220" i="16"/>
  <c r="K220" i="16" s="1"/>
  <c r="M220" i="16" s="1"/>
  <c r="J219" i="16"/>
  <c r="K219" i="16" s="1"/>
  <c r="M219" i="16" s="1"/>
  <c r="J218" i="16"/>
  <c r="K218" i="16" s="1"/>
  <c r="M218" i="16" s="1"/>
  <c r="J217" i="16"/>
  <c r="K217" i="16" s="1"/>
  <c r="M217" i="16" s="1"/>
  <c r="J216" i="16"/>
  <c r="K216" i="16" s="1"/>
  <c r="M216" i="16" s="1"/>
  <c r="J215" i="16"/>
  <c r="K215" i="16" s="1"/>
  <c r="M215" i="16" s="1"/>
  <c r="J214" i="16"/>
  <c r="K214" i="16" s="1"/>
  <c r="M214" i="16" s="1"/>
  <c r="J213" i="16"/>
  <c r="K213" i="16" s="1"/>
  <c r="M213" i="16" s="1"/>
  <c r="J212" i="16"/>
  <c r="K212" i="16" s="1"/>
  <c r="M212" i="16" s="1"/>
  <c r="J211" i="16"/>
  <c r="K211" i="16" s="1"/>
  <c r="M211" i="16" s="1"/>
  <c r="J210" i="16"/>
  <c r="K210" i="16" s="1"/>
  <c r="M210" i="16" s="1"/>
  <c r="J209" i="16"/>
  <c r="K209" i="16" s="1"/>
  <c r="M209" i="16" s="1"/>
  <c r="J208" i="16"/>
  <c r="K208" i="16" s="1"/>
  <c r="M208" i="16" s="1"/>
  <c r="J207" i="16"/>
  <c r="K207" i="16" s="1"/>
  <c r="M207" i="16" s="1"/>
  <c r="J206" i="16"/>
  <c r="K206" i="16" s="1"/>
  <c r="M206" i="16" s="1"/>
  <c r="J205" i="16"/>
  <c r="K205" i="16" s="1"/>
  <c r="M205" i="16" s="1"/>
  <c r="J204" i="16"/>
  <c r="K204" i="16" s="1"/>
  <c r="M204" i="16" s="1"/>
  <c r="J203" i="16"/>
  <c r="K203" i="16" s="1"/>
  <c r="M203" i="16" s="1"/>
  <c r="J202" i="16"/>
  <c r="K202" i="16" s="1"/>
  <c r="M202" i="16" s="1"/>
  <c r="J201" i="16"/>
  <c r="K201" i="16" s="1"/>
  <c r="M201" i="16" s="1"/>
  <c r="J200" i="16"/>
  <c r="K200" i="16" s="1"/>
  <c r="M200" i="16" s="1"/>
  <c r="J199" i="16"/>
  <c r="K199" i="16" s="1"/>
  <c r="M199" i="16" s="1"/>
  <c r="J198" i="16"/>
  <c r="K198" i="16" s="1"/>
  <c r="M198" i="16" s="1"/>
  <c r="J197" i="16"/>
  <c r="K197" i="16" s="1"/>
  <c r="M197" i="16" s="1"/>
  <c r="J196" i="16"/>
  <c r="K196" i="16" s="1"/>
  <c r="M196" i="16" s="1"/>
  <c r="J195" i="16"/>
  <c r="K195" i="16" s="1"/>
  <c r="M195" i="16" s="1"/>
  <c r="J194" i="16"/>
  <c r="K194" i="16" s="1"/>
  <c r="M194" i="16" s="1"/>
  <c r="J193" i="16"/>
  <c r="K193" i="16" s="1"/>
  <c r="M193" i="16" s="1"/>
  <c r="J192" i="16"/>
  <c r="K192" i="16" s="1"/>
  <c r="M192" i="16" s="1"/>
  <c r="J191" i="16"/>
  <c r="K191" i="16" s="1"/>
  <c r="M191" i="16" s="1"/>
  <c r="J190" i="16"/>
  <c r="K190" i="16" s="1"/>
  <c r="M190" i="16" s="1"/>
  <c r="J189" i="16"/>
  <c r="K189" i="16" s="1"/>
  <c r="M189" i="16" s="1"/>
  <c r="J188" i="16"/>
  <c r="K188" i="16" s="1"/>
  <c r="M188" i="16" s="1"/>
  <c r="J187" i="16"/>
  <c r="K187" i="16" s="1"/>
  <c r="M187" i="16" s="1"/>
  <c r="J186" i="16"/>
  <c r="K186" i="16" s="1"/>
  <c r="M186" i="16" s="1"/>
  <c r="J185" i="16"/>
  <c r="K185" i="16" s="1"/>
  <c r="M185" i="16" s="1"/>
  <c r="J184" i="16"/>
  <c r="K184" i="16" s="1"/>
  <c r="M184" i="16" s="1"/>
  <c r="J183" i="16"/>
  <c r="K183" i="16" s="1"/>
  <c r="M183" i="16" s="1"/>
  <c r="J182" i="16"/>
  <c r="K182" i="16" s="1"/>
  <c r="M182" i="16" s="1"/>
  <c r="J181" i="16"/>
  <c r="K181" i="16" s="1"/>
  <c r="M181" i="16" s="1"/>
  <c r="J180" i="16"/>
  <c r="K180" i="16" s="1"/>
  <c r="M180" i="16" s="1"/>
  <c r="J179" i="16"/>
  <c r="K179" i="16" s="1"/>
  <c r="M179" i="16" s="1"/>
  <c r="J178" i="16"/>
  <c r="K178" i="16" s="1"/>
  <c r="M178" i="16" s="1"/>
  <c r="J177" i="16"/>
  <c r="K177" i="16" s="1"/>
  <c r="M177" i="16" s="1"/>
  <c r="J176" i="16"/>
  <c r="K176" i="16" s="1"/>
  <c r="M176" i="16" s="1"/>
  <c r="J175" i="16"/>
  <c r="K175" i="16" s="1"/>
  <c r="M175" i="16" s="1"/>
  <c r="J174" i="16"/>
  <c r="K174" i="16" s="1"/>
  <c r="M174" i="16" s="1"/>
  <c r="J173" i="16"/>
  <c r="K173" i="16" s="1"/>
  <c r="M173" i="16" s="1"/>
  <c r="J172" i="16"/>
  <c r="K172" i="16" s="1"/>
  <c r="M172" i="16" s="1"/>
  <c r="J171" i="16"/>
  <c r="K171" i="16" s="1"/>
  <c r="M171" i="16" s="1"/>
  <c r="J170" i="16"/>
  <c r="K170" i="16" s="1"/>
  <c r="M170" i="16" s="1"/>
  <c r="J169" i="16"/>
  <c r="K169" i="16" s="1"/>
  <c r="M169" i="16" s="1"/>
  <c r="J168" i="16"/>
  <c r="K168" i="16" s="1"/>
  <c r="M168" i="16" s="1"/>
  <c r="J167" i="16"/>
  <c r="K167" i="16" s="1"/>
  <c r="M167" i="16" s="1"/>
  <c r="J166" i="16"/>
  <c r="K166" i="16" s="1"/>
  <c r="M166" i="16" s="1"/>
  <c r="J165" i="16"/>
  <c r="K165" i="16" s="1"/>
  <c r="M165" i="16" s="1"/>
  <c r="J164" i="16"/>
  <c r="K164" i="16" s="1"/>
  <c r="M164" i="16" s="1"/>
  <c r="J163" i="16"/>
  <c r="K163" i="16" s="1"/>
  <c r="M163" i="16" s="1"/>
  <c r="J162" i="16"/>
  <c r="K162" i="16" s="1"/>
  <c r="M162" i="16" s="1"/>
  <c r="J161" i="16"/>
  <c r="K161" i="16" s="1"/>
  <c r="M161" i="16" s="1"/>
  <c r="J160" i="16"/>
  <c r="K160" i="16" s="1"/>
  <c r="M160" i="16" s="1"/>
  <c r="J159" i="16"/>
  <c r="K159" i="16" s="1"/>
  <c r="M159" i="16" s="1"/>
  <c r="J158" i="16"/>
  <c r="K158" i="16" s="1"/>
  <c r="M158" i="16" s="1"/>
  <c r="J157" i="16"/>
  <c r="K157" i="16" s="1"/>
  <c r="M157" i="16" s="1"/>
  <c r="J156" i="16"/>
  <c r="K156" i="16" s="1"/>
  <c r="M156" i="16" s="1"/>
  <c r="J155" i="16"/>
  <c r="K155" i="16" s="1"/>
  <c r="M155" i="16" s="1"/>
  <c r="J152" i="16"/>
  <c r="K152" i="16" s="1"/>
  <c r="M152" i="16" s="1"/>
  <c r="J151" i="16"/>
  <c r="K151" i="16" s="1"/>
  <c r="M151" i="16" s="1"/>
  <c r="J150" i="16"/>
  <c r="K150" i="16" s="1"/>
  <c r="M150" i="16" s="1"/>
  <c r="J149" i="16"/>
  <c r="K149" i="16" s="1"/>
  <c r="M149" i="16" s="1"/>
  <c r="J148" i="16"/>
  <c r="K148" i="16" s="1"/>
  <c r="M148" i="16" s="1"/>
  <c r="J147" i="16"/>
  <c r="K147" i="16" s="1"/>
  <c r="M147" i="16" s="1"/>
  <c r="J146" i="16"/>
  <c r="K146" i="16" s="1"/>
  <c r="M146" i="16" s="1"/>
  <c r="J145" i="16"/>
  <c r="K145" i="16" s="1"/>
  <c r="M145" i="16" s="1"/>
  <c r="J144" i="16"/>
  <c r="K144" i="16" s="1"/>
  <c r="M144" i="16" s="1"/>
  <c r="J143" i="16"/>
  <c r="K143" i="16" s="1"/>
  <c r="M143" i="16" s="1"/>
  <c r="J142" i="16"/>
  <c r="K142" i="16" s="1"/>
  <c r="M142" i="16" s="1"/>
  <c r="J141" i="16"/>
  <c r="K141" i="16" s="1"/>
  <c r="M141" i="16" s="1"/>
  <c r="J138" i="16"/>
  <c r="K138" i="16" s="1"/>
  <c r="M138" i="16" s="1"/>
  <c r="M265" i="16" s="1"/>
  <c r="J135" i="16"/>
  <c r="K135" i="16" s="1"/>
  <c r="M135" i="16" s="1"/>
  <c r="J134" i="16"/>
  <c r="K134" i="16" s="1"/>
  <c r="M134" i="16" s="1"/>
  <c r="J133" i="16"/>
  <c r="K133" i="16" s="1"/>
  <c r="M133" i="16" s="1"/>
  <c r="J48" i="16"/>
  <c r="K48" i="16" s="1"/>
  <c r="M48" i="16" s="1"/>
  <c r="J49" i="16"/>
  <c r="K49" i="16" s="1"/>
  <c r="M49" i="16" s="1"/>
  <c r="J50" i="16"/>
  <c r="K50" i="16" s="1"/>
  <c r="M50" i="16" s="1"/>
  <c r="J51" i="16"/>
  <c r="K51" i="16" s="1"/>
  <c r="M51" i="16" s="1"/>
  <c r="J52" i="16"/>
  <c r="K52" i="16" s="1"/>
  <c r="M52" i="16" s="1"/>
  <c r="J53" i="16"/>
  <c r="K53" i="16" s="1"/>
  <c r="M53" i="16" s="1"/>
  <c r="J54" i="16"/>
  <c r="K54" i="16" s="1"/>
  <c r="M54" i="16" s="1"/>
  <c r="J55" i="16"/>
  <c r="K55" i="16" s="1"/>
  <c r="M55" i="16" s="1"/>
  <c r="J56" i="16"/>
  <c r="K56" i="16" s="1"/>
  <c r="M56" i="16" s="1"/>
  <c r="J57" i="16"/>
  <c r="K57" i="16" s="1"/>
  <c r="M57" i="16" s="1"/>
  <c r="J58" i="16"/>
  <c r="K58" i="16" s="1"/>
  <c r="M58" i="16" s="1"/>
  <c r="J59" i="16"/>
  <c r="K59" i="16" s="1"/>
  <c r="M59" i="16" s="1"/>
  <c r="J60" i="16"/>
  <c r="K60" i="16" s="1"/>
  <c r="M60" i="16" s="1"/>
  <c r="J61" i="16"/>
  <c r="K61" i="16" s="1"/>
  <c r="M61" i="16" s="1"/>
  <c r="J62" i="16"/>
  <c r="K62" i="16" s="1"/>
  <c r="M62" i="16" s="1"/>
  <c r="J63" i="16"/>
  <c r="K63" i="16" s="1"/>
  <c r="M63" i="16" s="1"/>
  <c r="J64" i="16"/>
  <c r="K64" i="16" s="1"/>
  <c r="M64" i="16" s="1"/>
  <c r="J65" i="16"/>
  <c r="K65" i="16" s="1"/>
  <c r="M65" i="16" s="1"/>
  <c r="J66" i="16"/>
  <c r="K66" i="16" s="1"/>
  <c r="M66" i="16" s="1"/>
  <c r="J67" i="16"/>
  <c r="K67" i="16" s="1"/>
  <c r="M67" i="16" s="1"/>
  <c r="J68" i="16"/>
  <c r="K68" i="16" s="1"/>
  <c r="M68" i="16" s="1"/>
  <c r="J69" i="16"/>
  <c r="K69" i="16" s="1"/>
  <c r="M69" i="16" s="1"/>
  <c r="J70" i="16"/>
  <c r="K70" i="16" s="1"/>
  <c r="M70" i="16" s="1"/>
  <c r="J71" i="16"/>
  <c r="K71" i="16" s="1"/>
  <c r="M71" i="16" s="1"/>
  <c r="J72" i="16"/>
  <c r="K72" i="16" s="1"/>
  <c r="M72" i="16" s="1"/>
  <c r="J73" i="16"/>
  <c r="K73" i="16" s="1"/>
  <c r="M73" i="16" s="1"/>
  <c r="J74" i="16"/>
  <c r="K74" i="16" s="1"/>
  <c r="M74" i="16" s="1"/>
  <c r="J75" i="16"/>
  <c r="K75" i="16" s="1"/>
  <c r="M75" i="16" s="1"/>
  <c r="J76" i="16"/>
  <c r="K76" i="16" s="1"/>
  <c r="M76" i="16" s="1"/>
  <c r="J77" i="16"/>
  <c r="K77" i="16" s="1"/>
  <c r="M77" i="16" s="1"/>
  <c r="J78" i="16"/>
  <c r="K78" i="16" s="1"/>
  <c r="M78" i="16" s="1"/>
  <c r="J79" i="16"/>
  <c r="K79" i="16" s="1"/>
  <c r="M79" i="16" s="1"/>
  <c r="J80" i="16"/>
  <c r="K80" i="16" s="1"/>
  <c r="M80" i="16" s="1"/>
  <c r="J81" i="16"/>
  <c r="K81" i="16" s="1"/>
  <c r="M81" i="16" s="1"/>
  <c r="J82" i="16"/>
  <c r="K82" i="16" s="1"/>
  <c r="M82" i="16" s="1"/>
  <c r="J83" i="16"/>
  <c r="K83" i="16" s="1"/>
  <c r="M83" i="16" s="1"/>
  <c r="J84" i="16"/>
  <c r="K84" i="16" s="1"/>
  <c r="M84" i="16" s="1"/>
  <c r="J85" i="16"/>
  <c r="K85" i="16" s="1"/>
  <c r="M85" i="16" s="1"/>
  <c r="J86" i="16"/>
  <c r="K86" i="16" s="1"/>
  <c r="M86" i="16" s="1"/>
  <c r="J87" i="16"/>
  <c r="K87" i="16" s="1"/>
  <c r="M87" i="16" s="1"/>
  <c r="J88" i="16"/>
  <c r="K88" i="16" s="1"/>
  <c r="M88" i="16" s="1"/>
  <c r="J89" i="16"/>
  <c r="K89" i="16" s="1"/>
  <c r="M89" i="16" s="1"/>
  <c r="J90" i="16"/>
  <c r="K90" i="16" s="1"/>
  <c r="M90" i="16" s="1"/>
  <c r="J91" i="16"/>
  <c r="K91" i="16" s="1"/>
  <c r="M91" i="16" s="1"/>
  <c r="J92" i="16"/>
  <c r="K92" i="16" s="1"/>
  <c r="M92" i="16" s="1"/>
  <c r="J93" i="16"/>
  <c r="K93" i="16" s="1"/>
  <c r="M93" i="16" s="1"/>
  <c r="J94" i="16"/>
  <c r="K94" i="16" s="1"/>
  <c r="M94" i="16" s="1"/>
  <c r="J95" i="16"/>
  <c r="K95" i="16" s="1"/>
  <c r="M95" i="16" s="1"/>
  <c r="J96" i="16"/>
  <c r="K96" i="16" s="1"/>
  <c r="M96" i="16" s="1"/>
  <c r="J97" i="16"/>
  <c r="K97" i="16" s="1"/>
  <c r="M97" i="16" s="1"/>
  <c r="J98" i="16"/>
  <c r="K98" i="16" s="1"/>
  <c r="M98" i="16" s="1"/>
  <c r="J99" i="16"/>
  <c r="K99" i="16" s="1"/>
  <c r="M99" i="16" s="1"/>
  <c r="J100" i="16"/>
  <c r="K100" i="16" s="1"/>
  <c r="M100" i="16" s="1"/>
  <c r="J101" i="16"/>
  <c r="K101" i="16" s="1"/>
  <c r="M101" i="16" s="1"/>
  <c r="J102" i="16"/>
  <c r="K102" i="16" s="1"/>
  <c r="M102" i="16" s="1"/>
  <c r="J103" i="16"/>
  <c r="K103" i="16" s="1"/>
  <c r="M103" i="16" s="1"/>
  <c r="J104" i="16"/>
  <c r="K104" i="16" s="1"/>
  <c r="M104" i="16" s="1"/>
  <c r="J105" i="16"/>
  <c r="K105" i="16" s="1"/>
  <c r="M105" i="16" s="1"/>
  <c r="J106" i="16"/>
  <c r="K106" i="16" s="1"/>
  <c r="M106" i="16" s="1"/>
  <c r="J107" i="16"/>
  <c r="K107" i="16" s="1"/>
  <c r="M107" i="16" s="1"/>
  <c r="J108" i="16"/>
  <c r="K108" i="16" s="1"/>
  <c r="M108" i="16" s="1"/>
  <c r="J109" i="16"/>
  <c r="K109" i="16" s="1"/>
  <c r="M109" i="16" s="1"/>
  <c r="J110" i="16"/>
  <c r="K110" i="16" s="1"/>
  <c r="M110" i="16" s="1"/>
  <c r="J111" i="16"/>
  <c r="K111" i="16" s="1"/>
  <c r="M111" i="16" s="1"/>
  <c r="J112" i="16"/>
  <c r="K112" i="16" s="1"/>
  <c r="M112" i="16" s="1"/>
  <c r="J113" i="16"/>
  <c r="K113" i="16" s="1"/>
  <c r="M113" i="16" s="1"/>
  <c r="J114" i="16"/>
  <c r="K114" i="16" s="1"/>
  <c r="M114" i="16" s="1"/>
  <c r="J115" i="16"/>
  <c r="K115" i="16" s="1"/>
  <c r="M115" i="16" s="1"/>
  <c r="J116" i="16"/>
  <c r="K116" i="16" s="1"/>
  <c r="M116" i="16" s="1"/>
  <c r="J117" i="16"/>
  <c r="K117" i="16" s="1"/>
  <c r="M117" i="16" s="1"/>
  <c r="J118" i="16"/>
  <c r="K118" i="16" s="1"/>
  <c r="M118" i="16" s="1"/>
  <c r="J119" i="16"/>
  <c r="K119" i="16" s="1"/>
  <c r="M119" i="16" s="1"/>
  <c r="J120" i="16"/>
  <c r="K120" i="16" s="1"/>
  <c r="M120" i="16" s="1"/>
  <c r="J121" i="16"/>
  <c r="K121" i="16" s="1"/>
  <c r="M121" i="16" s="1"/>
  <c r="J122" i="16"/>
  <c r="K122" i="16" s="1"/>
  <c r="M122" i="16" s="1"/>
  <c r="J123" i="16"/>
  <c r="K123" i="16" s="1"/>
  <c r="M123" i="16" s="1"/>
  <c r="J124" i="16"/>
  <c r="K124" i="16" s="1"/>
  <c r="M124" i="16" s="1"/>
  <c r="J125" i="16"/>
  <c r="K125" i="16" s="1"/>
  <c r="M125" i="16" s="1"/>
  <c r="J126" i="16"/>
  <c r="K126" i="16" s="1"/>
  <c r="M126" i="16" s="1"/>
  <c r="J127" i="16"/>
  <c r="K127" i="16" s="1"/>
  <c r="M127" i="16" s="1"/>
  <c r="J128" i="16"/>
  <c r="K128" i="16" s="1"/>
  <c r="M128" i="16" s="1"/>
  <c r="J129" i="16"/>
  <c r="K129" i="16" s="1"/>
  <c r="M129" i="16" s="1"/>
  <c r="J130" i="16"/>
  <c r="K130" i="16" s="1"/>
  <c r="M130" i="16" s="1"/>
  <c r="J47" i="16"/>
  <c r="K47" i="16" s="1"/>
  <c r="M47" i="16" s="1"/>
  <c r="J29" i="16"/>
  <c r="K29" i="16" s="1"/>
  <c r="M29" i="16" s="1"/>
  <c r="J27" i="16"/>
  <c r="K27" i="16" s="1"/>
  <c r="M27" i="16" s="1"/>
  <c r="J25" i="16"/>
  <c r="K25" i="16" s="1"/>
  <c r="M25" i="16" s="1"/>
  <c r="J23" i="16"/>
  <c r="K23" i="16" s="1"/>
  <c r="M23" i="16" s="1"/>
  <c r="J26" i="16"/>
  <c r="K26" i="16" s="1"/>
  <c r="M26" i="16" s="1"/>
  <c r="J24" i="16"/>
  <c r="K24" i="16" s="1"/>
  <c r="M24" i="16" s="1"/>
  <c r="J28" i="16"/>
  <c r="K28" i="16" s="1"/>
  <c r="M28" i="16" s="1"/>
  <c r="J30" i="16"/>
  <c r="K30" i="16" s="1"/>
  <c r="M30" i="16" s="1"/>
  <c r="J31" i="16"/>
  <c r="K31" i="16" s="1"/>
  <c r="M31" i="16" s="1"/>
  <c r="J32" i="16"/>
  <c r="K32" i="16" s="1"/>
  <c r="M32" i="16" s="1"/>
  <c r="J33" i="16"/>
  <c r="K33" i="16" s="1"/>
  <c r="M33" i="16" s="1"/>
  <c r="J34" i="16"/>
  <c r="K34" i="16" s="1"/>
  <c r="M34" i="16" s="1"/>
  <c r="J35" i="16"/>
  <c r="K35" i="16" s="1"/>
  <c r="M35" i="16" s="1"/>
  <c r="J36" i="16"/>
  <c r="K36" i="16" s="1"/>
  <c r="M36" i="16" s="1"/>
  <c r="J37" i="16"/>
  <c r="K37" i="16" s="1"/>
  <c r="M37" i="16" s="1"/>
  <c r="J38" i="16"/>
  <c r="K38" i="16" s="1"/>
  <c r="M38" i="16" s="1"/>
  <c r="J39" i="16"/>
  <c r="K39" i="16" s="1"/>
  <c r="M39" i="16" s="1"/>
  <c r="J40" i="16"/>
  <c r="K40" i="16" s="1"/>
  <c r="M40" i="16" s="1"/>
  <c r="J41" i="16"/>
  <c r="K41" i="16" s="1"/>
  <c r="M41" i="16" s="1"/>
  <c r="J42" i="16"/>
  <c r="K42" i="16" s="1"/>
  <c r="M42" i="16" s="1"/>
  <c r="J43" i="16"/>
  <c r="K43" i="16" s="1"/>
  <c r="M43" i="16" s="1"/>
  <c r="J44" i="16"/>
  <c r="K44" i="16" s="1"/>
  <c r="M44" i="16" s="1"/>
  <c r="J22" i="16"/>
  <c r="K22" i="16" s="1"/>
  <c r="M22" i="16" s="1"/>
  <c r="G268" i="16"/>
  <c r="G274" i="16"/>
  <c r="G271" i="16"/>
  <c r="G45" i="16"/>
  <c r="G131" i="16"/>
  <c r="G136" i="16"/>
  <c r="G153" i="16"/>
  <c r="G263" i="16"/>
  <c r="K265" i="16" l="1"/>
  <c r="J265" i="16"/>
  <c r="N265" i="16"/>
  <c r="G265" i="16"/>
  <c r="G272" i="16" s="1"/>
  <c r="G277" i="16" s="1"/>
  <c r="B319" i="3"/>
  <c r="B324" i="3"/>
  <c r="B308" i="3"/>
  <c r="B304" i="3"/>
  <c r="B296" i="3"/>
  <c r="B290" i="3"/>
  <c r="N266" i="16" l="1"/>
  <c r="R1832" i="8"/>
  <c r="R1831" i="8"/>
  <c r="R1830" i="8"/>
  <c r="R1810" i="8"/>
  <c r="R410" i="8"/>
  <c r="R1074" i="8" l="1"/>
  <c r="R234" i="8"/>
  <c r="F449" i="14"/>
  <c r="E449" i="14"/>
  <c r="B286" i="3"/>
  <c r="B279" i="3"/>
  <c r="B415" i="3" l="1"/>
  <c r="L6" i="18" s="1"/>
  <c r="B262" i="3"/>
  <c r="B419" i="3" l="1"/>
  <c r="R18" i="8"/>
  <c r="R5" i="8"/>
  <c r="F453" i="14"/>
  <c r="E453" i="14"/>
  <c r="I453" i="14" l="1"/>
  <c r="E286" i="14"/>
  <c r="R1625" i="8" l="1"/>
  <c r="R572" i="8"/>
  <c r="I449" i="14"/>
  <c r="B253" i="3" l="1"/>
  <c r="R496" i="8"/>
  <c r="I497" i="8"/>
  <c r="J497" i="8" s="1"/>
  <c r="L497" i="8" s="1"/>
  <c r="R544" i="8"/>
  <c r="B247" i="3" l="1"/>
  <c r="F198" i="14"/>
  <c r="R919" i="8" l="1"/>
  <c r="R1216" i="8"/>
  <c r="R1829" i="8"/>
  <c r="R1828" i="8"/>
  <c r="R1809" i="8"/>
  <c r="R1808" i="8"/>
  <c r="R855" i="8"/>
  <c r="R1157" i="8"/>
  <c r="R1141" i="8"/>
  <c r="R1132" i="8"/>
  <c r="B240" i="3"/>
  <c r="L45" i="4"/>
  <c r="I440" i="14" l="1"/>
  <c r="R1526" i="8"/>
  <c r="R1524" i="8"/>
  <c r="R1634" i="8"/>
  <c r="R576" i="8"/>
  <c r="H97" i="19"/>
  <c r="F97" i="19"/>
  <c r="H46" i="19"/>
  <c r="R294" i="8"/>
  <c r="R1597" i="8"/>
  <c r="J97" i="19" l="1"/>
  <c r="H92" i="19"/>
  <c r="F92" i="19"/>
  <c r="R42" i="8"/>
  <c r="F434" i="14"/>
  <c r="E434" i="14"/>
  <c r="K35" i="13"/>
  <c r="G35" i="13"/>
  <c r="C35" i="13"/>
  <c r="L41" i="4"/>
  <c r="L49" i="4" s="1"/>
  <c r="K37" i="4"/>
  <c r="K49" i="4" s="1"/>
  <c r="B222" i="3"/>
  <c r="B217" i="3"/>
  <c r="B211" i="3"/>
  <c r="R1619" i="8"/>
  <c r="R960" i="8"/>
  <c r="R963" i="8"/>
  <c r="E409" i="14"/>
  <c r="R1545" i="8"/>
  <c r="R316" i="8"/>
  <c r="R412" i="8"/>
  <c r="R587" i="8"/>
  <c r="R470" i="8"/>
  <c r="R469" i="8"/>
  <c r="F88" i="19"/>
  <c r="J88" i="19" s="1"/>
  <c r="R1057" i="8"/>
  <c r="B197" i="3"/>
  <c r="B193" i="3"/>
  <c r="I434" i="14" l="1"/>
  <c r="R1984" i="8"/>
  <c r="H82" i="19" l="1"/>
  <c r="F82" i="19"/>
  <c r="J82" i="19" s="1"/>
  <c r="F352" i="14"/>
  <c r="R595" i="8" l="1"/>
  <c r="R465" i="8"/>
  <c r="R852" i="8"/>
  <c r="H78" i="19"/>
  <c r="F76" i="19"/>
  <c r="F78" i="19" s="1"/>
  <c r="H13" i="19"/>
  <c r="R1632" i="8"/>
  <c r="B188" i="3"/>
  <c r="B182" i="3"/>
  <c r="J78" i="19" l="1"/>
  <c r="F302" i="14"/>
  <c r="B174" i="3"/>
  <c r="D33" i="18" l="1"/>
  <c r="F53" i="18"/>
  <c r="G53" i="18"/>
  <c r="I53" i="18"/>
  <c r="D53" i="18"/>
  <c r="D54" i="18" s="1"/>
  <c r="N297" i="8"/>
  <c r="R297" i="8" s="1"/>
  <c r="R405" i="8"/>
  <c r="E416" i="14"/>
  <c r="E421" i="14" s="1"/>
  <c r="B169" i="3"/>
  <c r="R802" i="8"/>
  <c r="Q375" i="8" l="1"/>
  <c r="E164" i="3"/>
  <c r="R498" i="8"/>
  <c r="R1751" i="8" l="1"/>
  <c r="N447" i="8" l="1"/>
  <c r="R447" i="8" s="1"/>
  <c r="R1131" i="8"/>
  <c r="R1017" i="8"/>
  <c r="R1016" i="8"/>
  <c r="R1748" i="8"/>
  <c r="R1488" i="8"/>
  <c r="B164" i="3"/>
  <c r="B264" i="3" l="1"/>
  <c r="L5" i="18" s="1"/>
  <c r="E114" i="3"/>
  <c r="B125" i="3"/>
  <c r="B268" i="3" l="1"/>
  <c r="H74" i="19"/>
  <c r="F74" i="19"/>
  <c r="R1075" i="8"/>
  <c r="R1015" i="8"/>
  <c r="L16" i="4"/>
  <c r="J74" i="19" l="1"/>
  <c r="B120" i="3"/>
  <c r="R492" i="8" l="1"/>
  <c r="R1676" i="8"/>
  <c r="R1673" i="8"/>
  <c r="R1653" i="8"/>
  <c r="F389" i="14"/>
  <c r="B114" i="3"/>
  <c r="I430" i="14" l="1"/>
  <c r="R1097" i="8"/>
  <c r="R1051" i="8"/>
  <c r="R1669" i="8"/>
  <c r="H70" i="19" l="1"/>
  <c r="F70" i="19"/>
  <c r="J70" i="19" s="1"/>
  <c r="R1695" i="8"/>
  <c r="R1807" i="8"/>
  <c r="R1827" i="8"/>
  <c r="H7" i="19"/>
  <c r="R471" i="8"/>
  <c r="F312" i="14"/>
  <c r="R594" i="8" l="1"/>
  <c r="E26" i="3"/>
  <c r="E11" i="3"/>
  <c r="E94" i="3"/>
  <c r="B99" i="3"/>
  <c r="E139" i="3" l="1"/>
  <c r="B83" i="3"/>
  <c r="R419" i="8"/>
  <c r="F66" i="19"/>
  <c r="R851" i="8"/>
  <c r="H34" i="19"/>
  <c r="R391" i="8"/>
  <c r="H59" i="19"/>
  <c r="F59" i="19"/>
  <c r="R1023" i="8"/>
  <c r="B94" i="3"/>
  <c r="J66" i="19" l="1"/>
  <c r="J59" i="19"/>
  <c r="B77" i="3"/>
  <c r="R1768" i="8" l="1"/>
  <c r="R1767" i="8"/>
  <c r="R1766" i="8"/>
  <c r="R1795" i="8"/>
  <c r="R1794" i="8"/>
  <c r="R1793" i="8"/>
  <c r="R1792" i="8"/>
  <c r="R1791" i="8"/>
  <c r="R1790" i="8"/>
  <c r="R1789" i="8"/>
  <c r="R1788" i="8"/>
  <c r="R1787" i="8"/>
  <c r="R1786" i="8"/>
  <c r="R1785" i="8"/>
  <c r="R1784" i="8"/>
  <c r="R1783" i="8"/>
  <c r="R1782" i="8"/>
  <c r="R1781" i="8"/>
  <c r="R1819" i="8"/>
  <c r="R1818" i="8"/>
  <c r="R1817" i="8"/>
  <c r="R1816" i="8"/>
  <c r="R1803" i="8"/>
  <c r="R1802" i="8"/>
  <c r="R1801" i="8"/>
  <c r="R1798" i="8"/>
  <c r="R1800" i="8"/>
  <c r="R1799" i="8"/>
  <c r="B67" i="3"/>
  <c r="R1734" i="8"/>
  <c r="R1826" i="8"/>
  <c r="B73" i="3" l="1"/>
  <c r="H55" i="19" l="1"/>
  <c r="F55" i="19"/>
  <c r="R586" i="8"/>
  <c r="R579" i="8"/>
  <c r="J55" i="19" l="1"/>
  <c r="R2005" i="8"/>
  <c r="H51" i="19"/>
  <c r="F51" i="19"/>
  <c r="R1420" i="8"/>
  <c r="R445" i="8"/>
  <c r="R1038" i="8"/>
  <c r="B58" i="3"/>
  <c r="J51" i="19" l="1"/>
  <c r="L13" i="4"/>
  <c r="K7" i="4"/>
  <c r="B54" i="3"/>
  <c r="F336" i="14" l="1"/>
  <c r="F329" i="14"/>
  <c r="R293" i="8" l="1"/>
  <c r="R593" i="8"/>
  <c r="I421" i="14" l="1"/>
  <c r="B48" i="3"/>
  <c r="B44" i="3"/>
  <c r="B40" i="3" l="1"/>
  <c r="R922" i="8"/>
  <c r="R1069" i="8"/>
  <c r="L22" i="18"/>
  <c r="L23" i="18"/>
  <c r="L24" i="18"/>
  <c r="R1243" i="8" l="1"/>
  <c r="R129" i="8"/>
  <c r="R1042" i="8"/>
  <c r="R596" i="8"/>
  <c r="R1249" i="8"/>
  <c r="R813" i="8"/>
  <c r="R597" i="8"/>
  <c r="R1060" i="8"/>
  <c r="R1039" i="8"/>
  <c r="F46" i="19"/>
  <c r="R567" i="8"/>
  <c r="R482" i="8"/>
  <c r="K6" i="4"/>
  <c r="J46" i="19" l="1"/>
  <c r="B30" i="3"/>
  <c r="B7" i="3" l="1"/>
  <c r="B11" i="3"/>
  <c r="B18" i="3"/>
  <c r="B26" i="3"/>
  <c r="B139" i="3" l="1"/>
  <c r="L4" i="18" s="1"/>
  <c r="H1506" i="8"/>
  <c r="I1506" i="8" s="1"/>
  <c r="J1506" i="8" s="1"/>
  <c r="L1506" i="8" s="1"/>
  <c r="H1507" i="8"/>
  <c r="I1507" i="8" s="1"/>
  <c r="J1507" i="8" s="1"/>
  <c r="L1507" i="8" s="1"/>
  <c r="L21" i="18" l="1"/>
  <c r="L26" i="18" s="1"/>
  <c r="L28" i="18" s="1"/>
  <c r="L16" i="18"/>
  <c r="L18" i="18" s="1"/>
  <c r="D979" i="8"/>
  <c r="B770" i="8" l="1"/>
  <c r="D770" i="8" s="1"/>
  <c r="D195" i="8"/>
  <c r="D102" i="8"/>
  <c r="E412" i="14" l="1"/>
  <c r="E414" i="14" s="1"/>
  <c r="F414" i="14"/>
  <c r="I414" i="14" l="1"/>
  <c r="H40" i="19" l="1"/>
  <c r="F40" i="19"/>
  <c r="J40" i="19" l="1"/>
  <c r="I409" i="14" l="1"/>
  <c r="J1590" i="8"/>
  <c r="L1590" i="8" s="1"/>
  <c r="F345" i="14" l="1"/>
  <c r="E345" i="14"/>
  <c r="I780" i="8" l="1"/>
  <c r="J780" i="8" s="1"/>
  <c r="L780" i="8" s="1"/>
  <c r="I985" i="8"/>
  <c r="J985" i="8" s="1"/>
  <c r="L985" i="8" s="1"/>
  <c r="F34" i="19" l="1"/>
  <c r="J34" i="19" l="1"/>
  <c r="F402" i="14"/>
  <c r="E402" i="14"/>
  <c r="I402" i="14" l="1"/>
  <c r="F10" i="19"/>
  <c r="F13" i="19" s="1"/>
  <c r="R1992" i="8"/>
  <c r="J13" i="19" l="1"/>
  <c r="E53" i="18" l="1"/>
  <c r="S47" i="2" l="1"/>
  <c r="T47" i="2" s="1"/>
  <c r="R1959" i="8" l="1"/>
  <c r="E391" i="14" l="1"/>
  <c r="E398" i="14" l="1"/>
  <c r="I398" i="14" s="1"/>
  <c r="I850" i="8" l="1"/>
  <c r="J850" i="8" s="1"/>
  <c r="L850" i="8" s="1"/>
  <c r="I1085" i="8"/>
  <c r="J1085" i="8" s="1"/>
  <c r="L1085" i="8" s="1"/>
  <c r="I1449" i="8" l="1"/>
  <c r="J1449" i="8" s="1"/>
  <c r="L1449" i="8" s="1"/>
  <c r="G943" i="8" l="1"/>
  <c r="I943" i="8" s="1"/>
  <c r="J943" i="8" s="1"/>
  <c r="L943" i="8" s="1"/>
  <c r="G942" i="8"/>
  <c r="I942" i="8" s="1"/>
  <c r="J942" i="8" s="1"/>
  <c r="L942" i="8" s="1"/>
  <c r="G941" i="8"/>
  <c r="I941" i="8" s="1"/>
  <c r="J941" i="8" s="1"/>
  <c r="L941" i="8" s="1"/>
  <c r="G940" i="8"/>
  <c r="I940" i="8" s="1"/>
  <c r="J940" i="8" s="1"/>
  <c r="L940" i="8" s="1"/>
  <c r="G939" i="8"/>
  <c r="I939" i="8" s="1"/>
  <c r="J939" i="8" s="1"/>
  <c r="L939" i="8" s="1"/>
  <c r="I923" i="8"/>
  <c r="J923" i="8" s="1"/>
  <c r="L923" i="8" s="1"/>
  <c r="I932" i="8"/>
  <c r="J932" i="8" s="1"/>
  <c r="L932" i="8" s="1"/>
  <c r="I931" i="8"/>
  <c r="J931" i="8" s="1"/>
  <c r="L931" i="8" s="1"/>
  <c r="I930" i="8"/>
  <c r="J930" i="8" s="1"/>
  <c r="L930" i="8" s="1"/>
  <c r="I929" i="8"/>
  <c r="J929" i="8" s="1"/>
  <c r="L929" i="8" s="1"/>
  <c r="R928" i="8"/>
  <c r="I928" i="8"/>
  <c r="J928" i="8" s="1"/>
  <c r="L928" i="8" s="1"/>
  <c r="I990" i="8"/>
  <c r="J990" i="8" s="1"/>
  <c r="L990" i="8" s="1"/>
  <c r="H1129" i="8"/>
  <c r="I1129" i="8" s="1"/>
  <c r="J1129" i="8" s="1"/>
  <c r="L1129" i="8" s="1"/>
  <c r="H1049" i="8"/>
  <c r="I1049" i="8" s="1"/>
  <c r="J1049" i="8" s="1"/>
  <c r="L1049" i="8" s="1"/>
  <c r="I226" i="8" l="1"/>
  <c r="J226" i="8" s="1"/>
  <c r="L226" i="8" s="1"/>
  <c r="I521" i="8" l="1"/>
  <c r="J521" i="8" s="1"/>
  <c r="L521" i="8" s="1"/>
  <c r="I160" i="8" l="1"/>
  <c r="J160" i="8" s="1"/>
  <c r="L160" i="8" s="1"/>
  <c r="I159" i="8"/>
  <c r="J159" i="8" s="1"/>
  <c r="L159" i="8" s="1"/>
  <c r="I158" i="8"/>
  <c r="J158" i="8" s="1"/>
  <c r="L158" i="8" s="1"/>
  <c r="I1688" i="8" l="1"/>
  <c r="J1688" i="8" s="1"/>
  <c r="L1688" i="8" s="1"/>
  <c r="I1687" i="8"/>
  <c r="J1687" i="8" s="1"/>
  <c r="L1687" i="8" s="1"/>
  <c r="I1686" i="8"/>
  <c r="J1686" i="8" s="1"/>
  <c r="L1686" i="8" s="1"/>
  <c r="I1685" i="8"/>
  <c r="J1685" i="8" s="1"/>
  <c r="L1685" i="8" s="1"/>
  <c r="I1684" i="8"/>
  <c r="J1684" i="8" s="1"/>
  <c r="L1684" i="8" s="1"/>
  <c r="I1683" i="8"/>
  <c r="J1683" i="8" s="1"/>
  <c r="L1683" i="8" s="1"/>
  <c r="I1682" i="8"/>
  <c r="J1682" i="8" s="1"/>
  <c r="L1682" i="8" s="1"/>
  <c r="I1681" i="8"/>
  <c r="J1681" i="8" s="1"/>
  <c r="L1681" i="8" s="1"/>
  <c r="I1680" i="8"/>
  <c r="J1680" i="8" s="1"/>
  <c r="L1680" i="8" s="1"/>
  <c r="I1679" i="8"/>
  <c r="J1679" i="8" s="1"/>
  <c r="L1679" i="8" s="1"/>
  <c r="I1678" i="8"/>
  <c r="J1678" i="8" s="1"/>
  <c r="L1678" i="8" s="1"/>
  <c r="I1755" i="8"/>
  <c r="J1755" i="8" s="1"/>
  <c r="L1755" i="8" s="1"/>
  <c r="I1754" i="8"/>
  <c r="J1754" i="8" s="1"/>
  <c r="L1754" i="8" s="1"/>
  <c r="I1753" i="8"/>
  <c r="J1753" i="8" s="1"/>
  <c r="L1753" i="8" s="1"/>
  <c r="I1752" i="8"/>
  <c r="J1752" i="8" s="1"/>
  <c r="L1752" i="8" s="1"/>
  <c r="I1751" i="8"/>
  <c r="J1751" i="8" s="1"/>
  <c r="L1751" i="8" s="1"/>
  <c r="I1750" i="8"/>
  <c r="J1750" i="8" s="1"/>
  <c r="L1750" i="8" s="1"/>
  <c r="I1749" i="8"/>
  <c r="J1749" i="8" s="1"/>
  <c r="L1749" i="8" s="1"/>
  <c r="I1748" i="8"/>
  <c r="J1748" i="8" s="1"/>
  <c r="L1748" i="8" s="1"/>
  <c r="I600" i="8"/>
  <c r="J600" i="8" s="1"/>
  <c r="L600" i="8" s="1"/>
  <c r="I599" i="8"/>
  <c r="J599" i="8" s="1"/>
  <c r="L599" i="8" s="1"/>
  <c r="I598" i="8"/>
  <c r="J598" i="8" s="1"/>
  <c r="L598" i="8" s="1"/>
  <c r="I597" i="8"/>
  <c r="J597" i="8" s="1"/>
  <c r="L597" i="8" s="1"/>
  <c r="I596" i="8"/>
  <c r="J596" i="8" s="1"/>
  <c r="L596" i="8" s="1"/>
  <c r="I595" i="8"/>
  <c r="J595" i="8" s="1"/>
  <c r="L595" i="8" s="1"/>
  <c r="I594" i="8"/>
  <c r="J594" i="8" s="1"/>
  <c r="L594" i="8" s="1"/>
  <c r="I593" i="8"/>
  <c r="J593" i="8" s="1"/>
  <c r="L593" i="8" s="1"/>
  <c r="I592" i="8"/>
  <c r="J592" i="8" s="1"/>
  <c r="L592" i="8" s="1"/>
  <c r="I591" i="8"/>
  <c r="J591" i="8" s="1"/>
  <c r="L591" i="8" s="1"/>
  <c r="I590" i="8"/>
  <c r="J590" i="8" s="1"/>
  <c r="L590" i="8" s="1"/>
  <c r="I589" i="8"/>
  <c r="J589" i="8" s="1"/>
  <c r="L589" i="8" s="1"/>
  <c r="I588" i="8"/>
  <c r="J588" i="8" s="1"/>
  <c r="L588" i="8" s="1"/>
  <c r="I587" i="8"/>
  <c r="J587" i="8" s="1"/>
  <c r="L587" i="8" s="1"/>
  <c r="I586" i="8"/>
  <c r="J586" i="8" s="1"/>
  <c r="L586" i="8" s="1"/>
  <c r="I585" i="8"/>
  <c r="J585" i="8" s="1"/>
  <c r="L585" i="8" s="1"/>
  <c r="I584" i="8"/>
  <c r="J584" i="8" s="1"/>
  <c r="L584" i="8" s="1"/>
  <c r="I583" i="8"/>
  <c r="J583" i="8" s="1"/>
  <c r="L583" i="8" s="1"/>
  <c r="I582" i="8"/>
  <c r="J582" i="8" s="1"/>
  <c r="L582" i="8" s="1"/>
  <c r="I581" i="8"/>
  <c r="J581" i="8" s="1"/>
  <c r="L581" i="8" s="1"/>
  <c r="I580" i="8"/>
  <c r="J580" i="8" s="1"/>
  <c r="L580" i="8" s="1"/>
  <c r="I579" i="8"/>
  <c r="J579" i="8" s="1"/>
  <c r="L579" i="8" s="1"/>
  <c r="I578" i="8"/>
  <c r="J578" i="8" s="1"/>
  <c r="L578" i="8" s="1"/>
  <c r="I577" i="8"/>
  <c r="J577" i="8" s="1"/>
  <c r="L577" i="8" s="1"/>
  <c r="I576" i="8"/>
  <c r="J576" i="8" s="1"/>
  <c r="L576" i="8" s="1"/>
  <c r="I575" i="8"/>
  <c r="J575" i="8" s="1"/>
  <c r="L575" i="8" s="1"/>
  <c r="I574" i="8"/>
  <c r="J574" i="8" s="1"/>
  <c r="L574" i="8" s="1"/>
  <c r="I573" i="8"/>
  <c r="J573" i="8" s="1"/>
  <c r="L573" i="8" s="1"/>
  <c r="I572" i="8"/>
  <c r="J572" i="8" s="1"/>
  <c r="L572" i="8" s="1"/>
  <c r="I571" i="8"/>
  <c r="J571" i="8" s="1"/>
  <c r="L571" i="8" s="1"/>
  <c r="I570" i="8"/>
  <c r="J570" i="8" s="1"/>
  <c r="L570" i="8" s="1"/>
  <c r="I569" i="8"/>
  <c r="J569" i="8" s="1"/>
  <c r="L569" i="8" s="1"/>
  <c r="I568" i="8"/>
  <c r="J568" i="8" s="1"/>
  <c r="L568" i="8" s="1"/>
  <c r="I567" i="8"/>
  <c r="J567" i="8" s="1"/>
  <c r="L567" i="8" s="1"/>
  <c r="I566" i="8"/>
  <c r="J566" i="8" s="1"/>
  <c r="L566" i="8" s="1"/>
  <c r="I565" i="8"/>
  <c r="J565" i="8" s="1"/>
  <c r="L565" i="8" s="1"/>
  <c r="I564" i="8"/>
  <c r="J564" i="8" s="1"/>
  <c r="L564" i="8" s="1"/>
  <c r="I563" i="8"/>
  <c r="J563" i="8" s="1"/>
  <c r="L563" i="8" s="1"/>
  <c r="I562" i="8"/>
  <c r="J562" i="8" s="1"/>
  <c r="L562" i="8" s="1"/>
  <c r="I561" i="8"/>
  <c r="J561" i="8" s="1"/>
  <c r="L561" i="8" s="1"/>
  <c r="I560" i="8"/>
  <c r="J560" i="8" s="1"/>
  <c r="L560" i="8" s="1"/>
  <c r="I559" i="8"/>
  <c r="J559" i="8" s="1"/>
  <c r="L559" i="8" s="1"/>
  <c r="I558" i="8"/>
  <c r="J558" i="8" s="1"/>
  <c r="L558" i="8" s="1"/>
  <c r="I557" i="8"/>
  <c r="J557" i="8" s="1"/>
  <c r="L557" i="8" s="1"/>
  <c r="I556" i="8"/>
  <c r="J556" i="8" s="1"/>
  <c r="L556" i="8" s="1"/>
  <c r="I555" i="8"/>
  <c r="J555" i="8" s="1"/>
  <c r="L555" i="8" s="1"/>
  <c r="I168" i="8"/>
  <c r="J168" i="8" s="1"/>
  <c r="L168" i="8" s="1"/>
  <c r="I167" i="8"/>
  <c r="J167" i="8" s="1"/>
  <c r="L167" i="8" s="1"/>
  <c r="I166" i="8"/>
  <c r="J166" i="8" s="1"/>
  <c r="L166" i="8" s="1"/>
  <c r="I165" i="8"/>
  <c r="J165" i="8" s="1"/>
  <c r="L165" i="8" s="1"/>
  <c r="I164" i="8"/>
  <c r="J164" i="8" s="1"/>
  <c r="L164" i="8" s="1"/>
  <c r="I163" i="8"/>
  <c r="J163" i="8" s="1"/>
  <c r="L163" i="8" s="1"/>
  <c r="I162" i="8"/>
  <c r="J162" i="8" s="1"/>
  <c r="L162" i="8" s="1"/>
  <c r="M45" i="2" l="1"/>
  <c r="R44" i="2"/>
  <c r="E389" i="14" l="1"/>
  <c r="I389" i="14" l="1"/>
  <c r="R847" i="8"/>
  <c r="H45" i="2" l="1"/>
  <c r="S45" i="2" s="1"/>
  <c r="T45" i="2" s="1"/>
  <c r="H44" i="2"/>
  <c r="S44" i="2" s="1"/>
  <c r="T44" i="2" s="1"/>
  <c r="J26" i="19" l="1"/>
  <c r="E383" i="14" l="1"/>
  <c r="I383" i="14" l="1"/>
  <c r="E377" i="14" l="1"/>
  <c r="F370" i="14"/>
  <c r="E370" i="14"/>
  <c r="E365" i="14"/>
  <c r="R1655" i="8"/>
  <c r="E359" i="14"/>
  <c r="I377" i="14" l="1"/>
  <c r="I365" i="14"/>
  <c r="I359" i="14"/>
  <c r="I370" i="14"/>
  <c r="F7" i="19"/>
  <c r="E352" i="14"/>
  <c r="I352" i="14" l="1"/>
  <c r="J7" i="19"/>
  <c r="I1646" i="8" l="1"/>
  <c r="J1646" i="8" s="1"/>
  <c r="L1646" i="8" s="1"/>
  <c r="I1645" i="8"/>
  <c r="J1645" i="8" s="1"/>
  <c r="L1645" i="8" s="1"/>
  <c r="I1644" i="8"/>
  <c r="J1644" i="8" s="1"/>
  <c r="L1644" i="8" s="1"/>
  <c r="I1643" i="8"/>
  <c r="J1643" i="8" s="1"/>
  <c r="L1643" i="8" s="1"/>
  <c r="I1642" i="8"/>
  <c r="J1642" i="8" s="1"/>
  <c r="L1642" i="8" s="1"/>
  <c r="I1641" i="8"/>
  <c r="J1641" i="8" s="1"/>
  <c r="L1641" i="8" s="1"/>
  <c r="I1640" i="8"/>
  <c r="J1640" i="8" s="1"/>
  <c r="L1640" i="8" s="1"/>
  <c r="I1099" i="8"/>
  <c r="J1099" i="8" s="1"/>
  <c r="L1099" i="8" s="1"/>
  <c r="I1098" i="8"/>
  <c r="J1098" i="8" s="1"/>
  <c r="L1098" i="8" s="1"/>
  <c r="I553" i="8"/>
  <c r="J553" i="8" s="1"/>
  <c r="L553" i="8" s="1"/>
  <c r="I552" i="8"/>
  <c r="J552" i="8" s="1"/>
  <c r="L552" i="8" s="1"/>
  <c r="I551" i="8"/>
  <c r="J551" i="8" s="1"/>
  <c r="L551" i="8" s="1"/>
  <c r="I550" i="8"/>
  <c r="J550" i="8" s="1"/>
  <c r="L550" i="8" s="1"/>
  <c r="I549" i="8"/>
  <c r="J549" i="8" s="1"/>
  <c r="L549" i="8" s="1"/>
  <c r="I548" i="8"/>
  <c r="J548" i="8" s="1"/>
  <c r="L548" i="8" s="1"/>
  <c r="I547" i="8"/>
  <c r="J547" i="8" s="1"/>
  <c r="L547" i="8" s="1"/>
  <c r="I546" i="8"/>
  <c r="J546" i="8" s="1"/>
  <c r="L546" i="8" s="1"/>
  <c r="I545" i="8"/>
  <c r="J545" i="8" s="1"/>
  <c r="L545" i="8" s="1"/>
  <c r="I544" i="8"/>
  <c r="J544" i="8" s="1"/>
  <c r="L544" i="8" s="1"/>
  <c r="I543" i="8"/>
  <c r="J543" i="8" s="1"/>
  <c r="L543" i="8" s="1"/>
  <c r="I542" i="8"/>
  <c r="J542" i="8" s="1"/>
  <c r="L542" i="8" s="1"/>
  <c r="I541" i="8"/>
  <c r="J541" i="8" s="1"/>
  <c r="L541" i="8" s="1"/>
  <c r="I540" i="8"/>
  <c r="J540" i="8" s="1"/>
  <c r="L540" i="8" s="1"/>
  <c r="I539" i="8"/>
  <c r="J539" i="8" s="1"/>
  <c r="L539" i="8" s="1"/>
  <c r="I538" i="8"/>
  <c r="J538" i="8" s="1"/>
  <c r="L538" i="8" s="1"/>
  <c r="I537" i="8"/>
  <c r="J537" i="8" s="1"/>
  <c r="L537" i="8" s="1"/>
  <c r="I157" i="8"/>
  <c r="J157" i="8" s="1"/>
  <c r="L157" i="8" s="1"/>
  <c r="I156" i="8"/>
  <c r="J156" i="8" s="1"/>
  <c r="L156" i="8" s="1"/>
  <c r="I155" i="8"/>
  <c r="J155" i="8" s="1"/>
  <c r="L155" i="8" s="1"/>
  <c r="I154" i="8"/>
  <c r="J154" i="8" s="1"/>
  <c r="L154" i="8" s="1"/>
  <c r="I153" i="8"/>
  <c r="J153" i="8" s="1"/>
  <c r="L153" i="8" s="1"/>
  <c r="I152" i="8"/>
  <c r="J152" i="8" s="1"/>
  <c r="L152" i="8" s="1"/>
  <c r="I151" i="8"/>
  <c r="J151" i="8" s="1"/>
  <c r="L151" i="8" s="1"/>
  <c r="I150" i="8"/>
  <c r="J150" i="8" s="1"/>
  <c r="L150" i="8" s="1"/>
  <c r="I984" i="8"/>
  <c r="J984" i="8" s="1"/>
  <c r="L984" i="8" s="1"/>
  <c r="I983" i="8"/>
  <c r="J983" i="8" s="1"/>
  <c r="L983" i="8" s="1"/>
  <c r="I535" i="8"/>
  <c r="J535" i="8" s="1"/>
  <c r="L535" i="8" s="1"/>
  <c r="I534" i="8"/>
  <c r="J534" i="8" s="1"/>
  <c r="L534" i="8" s="1"/>
  <c r="I533" i="8"/>
  <c r="J533" i="8" s="1"/>
  <c r="L533" i="8" s="1"/>
  <c r="I532" i="8"/>
  <c r="J532" i="8" s="1"/>
  <c r="L532" i="8" s="1"/>
  <c r="I531" i="8"/>
  <c r="J531" i="8" s="1"/>
  <c r="L531" i="8" s="1"/>
  <c r="I530" i="8"/>
  <c r="J530" i="8" s="1"/>
  <c r="L530" i="8" s="1"/>
  <c r="I529" i="8"/>
  <c r="J529" i="8" s="1"/>
  <c r="L529" i="8" s="1"/>
  <c r="I528" i="8"/>
  <c r="J528" i="8" s="1"/>
  <c r="L528" i="8" s="1"/>
  <c r="I527" i="8"/>
  <c r="J527" i="8" s="1"/>
  <c r="L527" i="8" s="1"/>
  <c r="I526" i="8"/>
  <c r="J526" i="8" s="1"/>
  <c r="L526" i="8" s="1"/>
  <c r="I525" i="8"/>
  <c r="J525" i="8" s="1"/>
  <c r="L525" i="8" s="1"/>
  <c r="I524" i="8"/>
  <c r="J524" i="8" s="1"/>
  <c r="L524" i="8" s="1"/>
  <c r="I523" i="8"/>
  <c r="J523" i="8" s="1"/>
  <c r="L523" i="8" s="1"/>
  <c r="I522" i="8"/>
  <c r="J522" i="8" s="1"/>
  <c r="L522" i="8" s="1"/>
  <c r="I520" i="8"/>
  <c r="J520" i="8" s="1"/>
  <c r="L520" i="8" s="1"/>
  <c r="I519" i="8"/>
  <c r="J519" i="8" s="1"/>
  <c r="L519" i="8" s="1"/>
  <c r="I518" i="8"/>
  <c r="J518" i="8" s="1"/>
  <c r="L518" i="8" s="1"/>
  <c r="I517" i="8"/>
  <c r="J517" i="8" s="1"/>
  <c r="L517" i="8" s="1"/>
  <c r="I516" i="8"/>
  <c r="J516" i="8" s="1"/>
  <c r="L516" i="8" s="1"/>
  <c r="I515" i="8"/>
  <c r="J515" i="8" s="1"/>
  <c r="L515" i="8" s="1"/>
  <c r="I514" i="8"/>
  <c r="J514" i="8" s="1"/>
  <c r="L514" i="8" s="1"/>
  <c r="I513" i="8"/>
  <c r="J513" i="8" s="1"/>
  <c r="L513" i="8" s="1"/>
  <c r="I512" i="8"/>
  <c r="J512" i="8" s="1"/>
  <c r="L512" i="8" s="1"/>
  <c r="I511" i="8"/>
  <c r="J511" i="8" s="1"/>
  <c r="L511" i="8" s="1"/>
  <c r="I510" i="8"/>
  <c r="J510" i="8" s="1"/>
  <c r="L510" i="8" s="1"/>
  <c r="I509" i="8"/>
  <c r="J509" i="8" s="1"/>
  <c r="L509" i="8" s="1"/>
  <c r="I508" i="8"/>
  <c r="J508" i="8" s="1"/>
  <c r="L508" i="8" s="1"/>
  <c r="I507" i="8"/>
  <c r="J507" i="8" s="1"/>
  <c r="L507" i="8" s="1"/>
  <c r="I506" i="8"/>
  <c r="J506" i="8" s="1"/>
  <c r="L506" i="8" s="1"/>
  <c r="I505" i="8"/>
  <c r="J505" i="8" s="1"/>
  <c r="L505" i="8" s="1"/>
  <c r="I504" i="8"/>
  <c r="J504" i="8" s="1"/>
  <c r="L504" i="8" s="1"/>
  <c r="I503" i="8"/>
  <c r="J503" i="8" s="1"/>
  <c r="L503" i="8" s="1"/>
  <c r="I502" i="8"/>
  <c r="J502" i="8" s="1"/>
  <c r="L502" i="8" s="1"/>
  <c r="I501" i="8"/>
  <c r="J501" i="8" s="1"/>
  <c r="L501" i="8" s="1"/>
  <c r="I500" i="8"/>
  <c r="J500" i="8" s="1"/>
  <c r="L500" i="8" s="1"/>
  <c r="I499" i="8"/>
  <c r="J499" i="8" s="1"/>
  <c r="L499" i="8" s="1"/>
  <c r="I498" i="8"/>
  <c r="J498" i="8" s="1"/>
  <c r="L498" i="8" s="1"/>
  <c r="I496" i="8"/>
  <c r="J496" i="8" s="1"/>
  <c r="L496" i="8" s="1"/>
  <c r="I495" i="8"/>
  <c r="J495" i="8" s="1"/>
  <c r="L495" i="8" s="1"/>
  <c r="I494" i="8"/>
  <c r="J494" i="8" s="1"/>
  <c r="L494" i="8" s="1"/>
  <c r="I493" i="8"/>
  <c r="J493" i="8" s="1"/>
  <c r="L493" i="8" s="1"/>
  <c r="I492" i="8"/>
  <c r="J492" i="8" s="1"/>
  <c r="L492" i="8" s="1"/>
  <c r="I491" i="8"/>
  <c r="J491" i="8" s="1"/>
  <c r="L491" i="8" s="1"/>
  <c r="I490" i="8"/>
  <c r="J490" i="8" s="1"/>
  <c r="L490" i="8" s="1"/>
  <c r="I489" i="8"/>
  <c r="J489" i="8" s="1"/>
  <c r="L489" i="8" s="1"/>
  <c r="I488" i="8"/>
  <c r="J488" i="8" s="1"/>
  <c r="L488" i="8" s="1"/>
  <c r="I487" i="8"/>
  <c r="J487" i="8" s="1"/>
  <c r="L487" i="8" s="1"/>
  <c r="I486" i="8"/>
  <c r="J486" i="8" s="1"/>
  <c r="L486" i="8" s="1"/>
  <c r="I1637" i="8"/>
  <c r="J1637" i="8" s="1"/>
  <c r="L1637" i="8" s="1"/>
  <c r="I1636" i="8"/>
  <c r="J1636" i="8" s="1"/>
  <c r="L1636" i="8" s="1"/>
  <c r="I1635" i="8"/>
  <c r="J1635" i="8" s="1"/>
  <c r="L1635" i="8" s="1"/>
  <c r="I1634" i="8"/>
  <c r="J1634" i="8" s="1"/>
  <c r="L1634" i="8" s="1"/>
  <c r="I1633" i="8"/>
  <c r="J1633" i="8" s="1"/>
  <c r="L1633" i="8" s="1"/>
  <c r="I1632" i="8"/>
  <c r="J1632" i="8" s="1"/>
  <c r="L1632" i="8" s="1"/>
  <c r="I1631" i="8"/>
  <c r="J1631" i="8" s="1"/>
  <c r="L1631" i="8" s="1"/>
  <c r="I1097" i="8"/>
  <c r="J1097" i="8" s="1"/>
  <c r="L1097" i="8" s="1"/>
  <c r="I1096" i="8"/>
  <c r="J1096" i="8" s="1"/>
  <c r="L1096" i="8" s="1"/>
  <c r="I1095" i="8"/>
  <c r="J1095" i="8" s="1"/>
  <c r="L1095" i="8" s="1"/>
  <c r="I1094" i="8"/>
  <c r="J1094" i="8" s="1"/>
  <c r="L1094" i="8" s="1"/>
  <c r="I1093" i="8"/>
  <c r="J1093" i="8" s="1"/>
  <c r="L1093" i="8" s="1"/>
  <c r="I1092" i="8"/>
  <c r="J1092" i="8" s="1"/>
  <c r="L1092" i="8" s="1"/>
  <c r="I1091" i="8"/>
  <c r="J1091" i="8" s="1"/>
  <c r="L1091" i="8" s="1"/>
  <c r="I1090" i="8"/>
  <c r="J1090" i="8" s="1"/>
  <c r="L1090" i="8" s="1"/>
  <c r="I1089" i="8"/>
  <c r="J1089" i="8" s="1"/>
  <c r="L1089" i="8" s="1"/>
  <c r="I1088" i="8"/>
  <c r="J1088" i="8" s="1"/>
  <c r="L1088" i="8" s="1"/>
  <c r="I1087" i="8"/>
  <c r="J1087" i="8" s="1"/>
  <c r="L1087" i="8" s="1"/>
  <c r="I1086" i="8"/>
  <c r="J1086" i="8" s="1"/>
  <c r="L1086" i="8" s="1"/>
  <c r="I1084" i="8"/>
  <c r="J1084" i="8" s="1"/>
  <c r="L1084" i="8" s="1"/>
  <c r="I1083" i="8"/>
  <c r="J1083" i="8" s="1"/>
  <c r="L1083" i="8" s="1"/>
  <c r="I1082" i="8"/>
  <c r="J1082" i="8" s="1"/>
  <c r="L1082" i="8" s="1"/>
  <c r="I1081" i="8"/>
  <c r="J1081" i="8" s="1"/>
  <c r="L1081" i="8" s="1"/>
  <c r="I1080" i="8"/>
  <c r="J1080" i="8" s="1"/>
  <c r="L1080" i="8" s="1"/>
  <c r="I1079" i="8"/>
  <c r="J1079" i="8" s="1"/>
  <c r="L1079" i="8" s="1"/>
  <c r="I1078" i="8"/>
  <c r="J1078" i="8" s="1"/>
  <c r="L1078" i="8" s="1"/>
  <c r="I1077" i="8"/>
  <c r="J1077" i="8" s="1"/>
  <c r="L1077" i="8" s="1"/>
  <c r="C473" i="17" l="1"/>
  <c r="B462" i="17"/>
  <c r="B466" i="17"/>
  <c r="D457" i="17"/>
  <c r="D455" i="17"/>
  <c r="B455" i="17"/>
  <c r="B456" i="17"/>
  <c r="B473" i="17" l="1"/>
  <c r="D473" i="17"/>
  <c r="M37" i="2"/>
  <c r="M39" i="2" s="1"/>
  <c r="F39" i="2"/>
  <c r="G39" i="2"/>
  <c r="K39" i="2"/>
  <c r="O39" i="2"/>
  <c r="E39" i="2"/>
  <c r="S41" i="2" l="1"/>
  <c r="T41" i="2" s="1"/>
  <c r="L37" i="2"/>
  <c r="I37" i="2"/>
  <c r="I39" i="2" s="1"/>
  <c r="N37" i="2"/>
  <c r="N39" i="2" s="1"/>
  <c r="R37" i="2" l="1"/>
  <c r="Q37" i="2"/>
  <c r="P38" i="2"/>
  <c r="P39" i="2" s="1"/>
  <c r="L38" i="2"/>
  <c r="L39" i="2" s="1"/>
  <c r="J38" i="2"/>
  <c r="J37" i="2"/>
  <c r="H38" i="2"/>
  <c r="H37" i="2"/>
  <c r="J39" i="2" l="1"/>
  <c r="S37" i="2"/>
  <c r="H39" i="2"/>
  <c r="S38" i="2"/>
  <c r="T38" i="2" s="1"/>
  <c r="T37" i="2" l="1"/>
  <c r="T39" i="2" s="1"/>
  <c r="S39" i="2"/>
  <c r="I345" i="14" l="1"/>
  <c r="E336" i="14"/>
  <c r="L332" i="14"/>
  <c r="L331" i="14"/>
  <c r="I336" i="14" l="1"/>
  <c r="L334" i="14"/>
  <c r="B441" i="17" l="1"/>
  <c r="H485" i="8" l="1"/>
  <c r="I485" i="8" s="1"/>
  <c r="J485" i="8" s="1"/>
  <c r="L485" i="8" s="1"/>
  <c r="H484" i="8"/>
  <c r="I484" i="8" s="1"/>
  <c r="J484" i="8" s="1"/>
  <c r="L484" i="8" s="1"/>
  <c r="B437" i="17" l="1"/>
  <c r="E308" i="14" l="1"/>
  <c r="E312" i="14" s="1"/>
  <c r="C423" i="17" l="1"/>
  <c r="B407" i="17"/>
  <c r="E287" i="14" l="1"/>
  <c r="D407" i="17" l="1"/>
  <c r="C407" i="17"/>
  <c r="H482" i="8" l="1"/>
  <c r="I482" i="8" s="1"/>
  <c r="J482" i="8" s="1"/>
  <c r="L482" i="8" s="1"/>
  <c r="H148" i="8" l="1"/>
  <c r="I148" i="8" s="1"/>
  <c r="J148" i="8" s="1"/>
  <c r="L148" i="8" s="1"/>
  <c r="H147" i="8"/>
  <c r="I147" i="8" s="1"/>
  <c r="J147" i="8" s="1"/>
  <c r="L147" i="8" s="1"/>
  <c r="E407" i="17" l="1"/>
  <c r="C405" i="17"/>
  <c r="D405" i="17"/>
  <c r="E405" i="17"/>
  <c r="F405" i="17"/>
  <c r="B405" i="17"/>
  <c r="R1466" i="8" l="1"/>
  <c r="E324" i="14" l="1"/>
  <c r="C422" i="17" l="1"/>
  <c r="C424" i="17" s="1"/>
  <c r="D422" i="17"/>
  <c r="D424" i="17" s="1"/>
  <c r="E422" i="17"/>
  <c r="E424" i="17" s="1"/>
  <c r="F422" i="17"/>
  <c r="F424" i="17" s="1"/>
  <c r="B422" i="17"/>
  <c r="B424" i="17" s="1"/>
  <c r="B406" i="17"/>
  <c r="C397" i="17"/>
  <c r="C404" i="17" s="1"/>
  <c r="C415" i="17" s="1"/>
  <c r="D397" i="17"/>
  <c r="D404" i="17" s="1"/>
  <c r="D415" i="17" s="1"/>
  <c r="E397" i="17"/>
  <c r="E404" i="17" s="1"/>
  <c r="E415" i="17" s="1"/>
  <c r="F397" i="17"/>
  <c r="F404" i="17" s="1"/>
  <c r="F415" i="17" s="1"/>
  <c r="B397" i="17"/>
  <c r="B404" i="17" l="1"/>
  <c r="B415" i="17" s="1"/>
  <c r="B417" i="17" s="1"/>
  <c r="F417" i="17"/>
  <c r="G424" i="17"/>
  <c r="B392" i="17"/>
  <c r="D417" i="17"/>
  <c r="C417" i="17"/>
  <c r="E417" i="17"/>
  <c r="E427" i="17" l="1"/>
  <c r="B426" i="17"/>
  <c r="B428" i="17" s="1"/>
  <c r="R443" i="8" l="1"/>
  <c r="E329" i="14" l="1"/>
  <c r="I329" i="14" s="1"/>
  <c r="I1676" i="8" l="1"/>
  <c r="J1676" i="8" s="1"/>
  <c r="L1676" i="8" s="1"/>
  <c r="I1675" i="8"/>
  <c r="J1675" i="8" s="1"/>
  <c r="L1675" i="8" s="1"/>
  <c r="I1674" i="8"/>
  <c r="J1674" i="8" s="1"/>
  <c r="L1674" i="8" s="1"/>
  <c r="I1673" i="8"/>
  <c r="J1673" i="8" s="1"/>
  <c r="L1673" i="8" s="1"/>
  <c r="I1672" i="8"/>
  <c r="J1672" i="8" s="1"/>
  <c r="L1672" i="8" s="1"/>
  <c r="I1671" i="8"/>
  <c r="J1671" i="8" s="1"/>
  <c r="L1671" i="8" s="1"/>
  <c r="I1744" i="8"/>
  <c r="J1744" i="8" s="1"/>
  <c r="L1744" i="8" s="1"/>
  <c r="I1743" i="8"/>
  <c r="J1743" i="8" s="1"/>
  <c r="L1743" i="8" s="1"/>
  <c r="I1742" i="8"/>
  <c r="J1742" i="8" s="1"/>
  <c r="L1742" i="8" s="1"/>
  <c r="I1741" i="8"/>
  <c r="J1741" i="8" s="1"/>
  <c r="L1741" i="8" s="1"/>
  <c r="I1740" i="8"/>
  <c r="J1740" i="8" s="1"/>
  <c r="L1740" i="8" s="1"/>
  <c r="I1739" i="8"/>
  <c r="J1739" i="8" s="1"/>
  <c r="L1739" i="8" s="1"/>
  <c r="I1358" i="8"/>
  <c r="J1358" i="8" s="1"/>
  <c r="L1358" i="8" s="1"/>
  <c r="I1357" i="8"/>
  <c r="J1357" i="8" s="1"/>
  <c r="L1357" i="8" s="1"/>
  <c r="I1356" i="8"/>
  <c r="J1356" i="8" s="1"/>
  <c r="L1356" i="8" s="1"/>
  <c r="I1355" i="8"/>
  <c r="J1355" i="8" s="1"/>
  <c r="L1355" i="8" s="1"/>
  <c r="I1354" i="8"/>
  <c r="J1354" i="8" s="1"/>
  <c r="L1354" i="8" s="1"/>
  <c r="I1448" i="8"/>
  <c r="J1448" i="8" s="1"/>
  <c r="L1448" i="8" s="1"/>
  <c r="I60" i="8"/>
  <c r="J60" i="8" s="1"/>
  <c r="L60" i="8" s="1"/>
  <c r="I59" i="8"/>
  <c r="J59" i="8" s="1"/>
  <c r="L59" i="8" s="1"/>
  <c r="I58" i="8"/>
  <c r="J58" i="8" s="1"/>
  <c r="L58" i="8" s="1"/>
  <c r="I57" i="8"/>
  <c r="J57" i="8" s="1"/>
  <c r="L57" i="8" s="1"/>
  <c r="I862" i="8"/>
  <c r="J862" i="8" s="1"/>
  <c r="L862" i="8" s="1"/>
  <c r="I861" i="8"/>
  <c r="J861" i="8" s="1"/>
  <c r="L861" i="8" s="1"/>
  <c r="I860" i="8"/>
  <c r="J860" i="8" s="1"/>
  <c r="L860" i="8" s="1"/>
  <c r="I859" i="8"/>
  <c r="J859" i="8" s="1"/>
  <c r="L859" i="8" s="1"/>
  <c r="I858" i="8"/>
  <c r="J858" i="8" s="1"/>
  <c r="L858" i="8" s="1"/>
  <c r="I857" i="8"/>
  <c r="J857" i="8" s="1"/>
  <c r="L857" i="8" s="1"/>
  <c r="I856" i="8"/>
  <c r="J856" i="8" s="1"/>
  <c r="L856" i="8" s="1"/>
  <c r="I855" i="8"/>
  <c r="J855" i="8" s="1"/>
  <c r="L855" i="8" s="1"/>
  <c r="I854" i="8"/>
  <c r="J854" i="8" s="1"/>
  <c r="L854" i="8" s="1"/>
  <c r="I480" i="8"/>
  <c r="J480" i="8" s="1"/>
  <c r="L480" i="8" s="1"/>
  <c r="I479" i="8"/>
  <c r="J479" i="8" s="1"/>
  <c r="L479" i="8" s="1"/>
  <c r="I478" i="8"/>
  <c r="J478" i="8" s="1"/>
  <c r="L478" i="8" s="1"/>
  <c r="I477" i="8"/>
  <c r="J477" i="8" s="1"/>
  <c r="L477" i="8" s="1"/>
  <c r="I476" i="8"/>
  <c r="J476" i="8" s="1"/>
  <c r="L476" i="8" s="1"/>
  <c r="I475" i="8"/>
  <c r="J475" i="8" s="1"/>
  <c r="L475" i="8" s="1"/>
  <c r="I474" i="8"/>
  <c r="J474" i="8" s="1"/>
  <c r="L474" i="8" s="1"/>
  <c r="I473" i="8"/>
  <c r="J473" i="8" s="1"/>
  <c r="L473" i="8" s="1"/>
  <c r="I472" i="8"/>
  <c r="J472" i="8" s="1"/>
  <c r="L472" i="8" s="1"/>
  <c r="I471" i="8"/>
  <c r="J471" i="8" s="1"/>
  <c r="L471" i="8" s="1"/>
  <c r="I470" i="8"/>
  <c r="J470" i="8" s="1"/>
  <c r="L470" i="8" s="1"/>
  <c r="I469" i="8"/>
  <c r="J469" i="8" s="1"/>
  <c r="L469" i="8" s="1"/>
  <c r="I468" i="8"/>
  <c r="J468" i="8" s="1"/>
  <c r="L468" i="8" s="1"/>
  <c r="I467" i="8"/>
  <c r="J467" i="8" s="1"/>
  <c r="L467" i="8" s="1"/>
  <c r="I466" i="8"/>
  <c r="J466" i="8" s="1"/>
  <c r="L466" i="8" s="1"/>
  <c r="I465" i="8"/>
  <c r="J465" i="8" s="1"/>
  <c r="L465" i="8" s="1"/>
  <c r="I464" i="8"/>
  <c r="J464" i="8" s="1"/>
  <c r="L464" i="8" s="1"/>
  <c r="I463" i="8"/>
  <c r="J463" i="8" s="1"/>
  <c r="L463" i="8" s="1"/>
  <c r="I462" i="8"/>
  <c r="J462" i="8" s="1"/>
  <c r="L462" i="8" s="1"/>
  <c r="I461" i="8"/>
  <c r="J461" i="8" s="1"/>
  <c r="L461" i="8" s="1"/>
  <c r="I460" i="8"/>
  <c r="J460" i="8" s="1"/>
  <c r="L460" i="8" s="1"/>
  <c r="I459" i="8"/>
  <c r="J459" i="8" s="1"/>
  <c r="L459" i="8" s="1"/>
  <c r="I458" i="8"/>
  <c r="J458" i="8" s="1"/>
  <c r="L458" i="8" s="1"/>
  <c r="I457" i="8"/>
  <c r="J457" i="8" s="1"/>
  <c r="L457" i="8" s="1"/>
  <c r="I456" i="8"/>
  <c r="J456" i="8" s="1"/>
  <c r="L456" i="8" s="1"/>
  <c r="I455" i="8"/>
  <c r="J455" i="8" s="1"/>
  <c r="L455" i="8" s="1"/>
  <c r="I454" i="8"/>
  <c r="J454" i="8" s="1"/>
  <c r="L454" i="8" s="1"/>
  <c r="I453" i="8"/>
  <c r="J453" i="8" s="1"/>
  <c r="L453" i="8" s="1"/>
  <c r="I452" i="8"/>
  <c r="J452" i="8" s="1"/>
  <c r="L452" i="8" s="1"/>
  <c r="I451" i="8"/>
  <c r="J451" i="8" s="1"/>
  <c r="L451" i="8" s="1"/>
  <c r="I450" i="8"/>
  <c r="J450" i="8" s="1"/>
  <c r="L450" i="8" s="1"/>
  <c r="E320" i="14" l="1"/>
  <c r="I320" i="14" l="1"/>
  <c r="R34" i="2" l="1"/>
  <c r="Q34" i="2"/>
  <c r="J34" i="2"/>
  <c r="M34" i="2"/>
  <c r="L34" i="2"/>
  <c r="S34" i="2" l="1"/>
  <c r="T34" i="2" s="1"/>
  <c r="J335" i="17" l="1"/>
  <c r="J337" i="17" s="1"/>
  <c r="D319" i="17"/>
  <c r="K338" i="17" l="1"/>
  <c r="B381" i="17" l="1"/>
  <c r="B388" i="17" s="1"/>
  <c r="B379" i="17"/>
  <c r="B387" i="17" s="1"/>
  <c r="B376" i="17"/>
  <c r="B375" i="17"/>
  <c r="B372" i="17"/>
  <c r="B371" i="17"/>
  <c r="B370" i="17"/>
  <c r="B368" i="17"/>
  <c r="B365" i="17"/>
  <c r="B364" i="17"/>
  <c r="B363" i="17"/>
  <c r="B362" i="17"/>
  <c r="B361" i="17"/>
  <c r="B360" i="17"/>
  <c r="B359" i="17"/>
  <c r="B358" i="17"/>
  <c r="B357" i="17"/>
  <c r="B356" i="17"/>
  <c r="B355" i="17"/>
  <c r="B354" i="17"/>
  <c r="B353" i="17"/>
  <c r="B352" i="17"/>
  <c r="B351" i="17"/>
  <c r="B350" i="17"/>
  <c r="B348" i="17"/>
  <c r="B349" i="17" s="1"/>
  <c r="B347" i="17"/>
  <c r="B377" i="17" l="1"/>
  <c r="B386" i="17" s="1"/>
  <c r="B373" i="17"/>
  <c r="B366" i="17"/>
  <c r="B384" i="17" s="1"/>
  <c r="I312" i="14"/>
  <c r="R420" i="8" l="1"/>
  <c r="C325" i="17" l="1"/>
  <c r="E227" i="14" l="1"/>
  <c r="E242" i="14" s="1"/>
  <c r="E255" i="14"/>
  <c r="E267" i="14" s="1"/>
  <c r="C342" i="17" l="1"/>
  <c r="C330" i="17"/>
  <c r="B319" i="17"/>
  <c r="I1994" i="8" l="1"/>
  <c r="J1994" i="8" s="1"/>
  <c r="L1994" i="8" s="1"/>
  <c r="I1993" i="8"/>
  <c r="J1993" i="8" s="1"/>
  <c r="L1993" i="8" s="1"/>
  <c r="I1992" i="8"/>
  <c r="J1992" i="8" s="1"/>
  <c r="L1992" i="8" s="1"/>
  <c r="I1991" i="8"/>
  <c r="J1991" i="8" s="1"/>
  <c r="L1991" i="8" s="1"/>
  <c r="I1990" i="8"/>
  <c r="J1990" i="8" s="1"/>
  <c r="L1990" i="8" s="1"/>
  <c r="I1989" i="8"/>
  <c r="J1989" i="8" s="1"/>
  <c r="L1989" i="8" s="1"/>
  <c r="I1988" i="8"/>
  <c r="J1988" i="8" s="1"/>
  <c r="L1988" i="8" s="1"/>
  <c r="I1987" i="8"/>
  <c r="J1987" i="8" s="1"/>
  <c r="L1987" i="8" s="1"/>
  <c r="I1986" i="8"/>
  <c r="J1986" i="8" s="1"/>
  <c r="L1986" i="8" s="1"/>
  <c r="I1834" i="8"/>
  <c r="J1834" i="8" s="1"/>
  <c r="L1834" i="8" s="1"/>
  <c r="I1833" i="8"/>
  <c r="J1833" i="8" s="1"/>
  <c r="L1833" i="8" s="1"/>
  <c r="I1832" i="8"/>
  <c r="J1832" i="8" s="1"/>
  <c r="L1832" i="8" s="1"/>
  <c r="I1831" i="8"/>
  <c r="J1831" i="8" s="1"/>
  <c r="L1831" i="8" s="1"/>
  <c r="I1830" i="8"/>
  <c r="J1830" i="8" s="1"/>
  <c r="L1830" i="8" s="1"/>
  <c r="I1829" i="8"/>
  <c r="J1829" i="8" s="1"/>
  <c r="L1829" i="8" s="1"/>
  <c r="I1828" i="8"/>
  <c r="J1828" i="8" s="1"/>
  <c r="L1828" i="8" s="1"/>
  <c r="I1827" i="8"/>
  <c r="J1827" i="8" s="1"/>
  <c r="L1827" i="8" s="1"/>
  <c r="I1826" i="8"/>
  <c r="J1826" i="8" s="1"/>
  <c r="L1826" i="8" s="1"/>
  <c r="I1825" i="8"/>
  <c r="J1825" i="8" s="1"/>
  <c r="L1825" i="8" s="1"/>
  <c r="I1824" i="8"/>
  <c r="J1824" i="8" s="1"/>
  <c r="L1824" i="8" s="1"/>
  <c r="I1823" i="8"/>
  <c r="J1823" i="8" s="1"/>
  <c r="L1823" i="8" s="1"/>
  <c r="I1822" i="8"/>
  <c r="J1822" i="8" s="1"/>
  <c r="L1822" i="8" s="1"/>
  <c r="I1821" i="8"/>
  <c r="J1821" i="8" s="1"/>
  <c r="L1821" i="8" s="1"/>
  <c r="I1820" i="8"/>
  <c r="J1820" i="8" s="1"/>
  <c r="L1820" i="8" s="1"/>
  <c r="I1819" i="8"/>
  <c r="J1819" i="8" s="1"/>
  <c r="L1819" i="8" s="1"/>
  <c r="I1818" i="8"/>
  <c r="J1818" i="8" s="1"/>
  <c r="L1818" i="8" s="1"/>
  <c r="I1817" i="8"/>
  <c r="J1817" i="8" s="1"/>
  <c r="L1817" i="8" s="1"/>
  <c r="I1816" i="8"/>
  <c r="J1816" i="8" s="1"/>
  <c r="L1816" i="8" s="1"/>
  <c r="I1815" i="8"/>
  <c r="J1815" i="8" s="1"/>
  <c r="L1815" i="8" s="1"/>
  <c r="I1814" i="8"/>
  <c r="J1814" i="8" s="1"/>
  <c r="L1814" i="8" s="1"/>
  <c r="I1813" i="8"/>
  <c r="J1813" i="8" s="1"/>
  <c r="L1813" i="8" s="1"/>
  <c r="I1812" i="8"/>
  <c r="J1812" i="8" s="1"/>
  <c r="L1812" i="8" s="1"/>
  <c r="I1811" i="8"/>
  <c r="J1811" i="8" s="1"/>
  <c r="L1811" i="8" s="1"/>
  <c r="I1810" i="8"/>
  <c r="J1810" i="8" s="1"/>
  <c r="L1810" i="8" s="1"/>
  <c r="I1809" i="8"/>
  <c r="J1809" i="8" s="1"/>
  <c r="L1809" i="8" s="1"/>
  <c r="I1808" i="8"/>
  <c r="J1808" i="8" s="1"/>
  <c r="L1808" i="8" s="1"/>
  <c r="I1807" i="8"/>
  <c r="J1807" i="8" s="1"/>
  <c r="L1807" i="8" s="1"/>
  <c r="I1806" i="8"/>
  <c r="J1806" i="8" s="1"/>
  <c r="L1806" i="8" s="1"/>
  <c r="I1805" i="8"/>
  <c r="J1805" i="8" s="1"/>
  <c r="L1805" i="8" s="1"/>
  <c r="I1724" i="8"/>
  <c r="J1724" i="8" s="1"/>
  <c r="L1724" i="8" s="1"/>
  <c r="I1723" i="8"/>
  <c r="J1723" i="8" s="1"/>
  <c r="L1723" i="8" s="1"/>
  <c r="I1722" i="8"/>
  <c r="J1722" i="8" s="1"/>
  <c r="L1722" i="8" s="1"/>
  <c r="I1721" i="8"/>
  <c r="J1721" i="8" s="1"/>
  <c r="L1721" i="8" s="1"/>
  <c r="I1720" i="8"/>
  <c r="J1720" i="8" s="1"/>
  <c r="L1720" i="8" s="1"/>
  <c r="I1719" i="8"/>
  <c r="J1719" i="8" s="1"/>
  <c r="L1719" i="8" s="1"/>
  <c r="I1718" i="8"/>
  <c r="J1718" i="8" s="1"/>
  <c r="L1718" i="8" s="1"/>
  <c r="I1717" i="8"/>
  <c r="J1717" i="8" s="1"/>
  <c r="L1717" i="8" s="1"/>
  <c r="I1716" i="8"/>
  <c r="J1716" i="8" s="1"/>
  <c r="L1716" i="8" s="1"/>
  <c r="I1715" i="8"/>
  <c r="J1715" i="8" s="1"/>
  <c r="L1715" i="8" s="1"/>
  <c r="I1714" i="8"/>
  <c r="J1714" i="8" s="1"/>
  <c r="L1714" i="8" s="1"/>
  <c r="I1713" i="8"/>
  <c r="J1713" i="8" s="1"/>
  <c r="L1713" i="8" s="1"/>
  <c r="I1712" i="8"/>
  <c r="J1712" i="8" s="1"/>
  <c r="L1712" i="8" s="1"/>
  <c r="I1711" i="8"/>
  <c r="J1711" i="8" s="1"/>
  <c r="L1711" i="8" s="1"/>
  <c r="I1710" i="8"/>
  <c r="J1710" i="8" s="1"/>
  <c r="L1710" i="8" s="1"/>
  <c r="I1709" i="8"/>
  <c r="J1709" i="8" s="1"/>
  <c r="L1709" i="8" s="1"/>
  <c r="I1708" i="8"/>
  <c r="J1708" i="8" s="1"/>
  <c r="L1708" i="8" s="1"/>
  <c r="I1737" i="8"/>
  <c r="J1737" i="8" s="1"/>
  <c r="L1737" i="8" s="1"/>
  <c r="I1736" i="8"/>
  <c r="J1736" i="8" s="1"/>
  <c r="L1736" i="8" s="1"/>
  <c r="I1735" i="8"/>
  <c r="J1735" i="8" s="1"/>
  <c r="L1735" i="8" s="1"/>
  <c r="I1734" i="8"/>
  <c r="J1734" i="8" s="1"/>
  <c r="L1734" i="8" s="1"/>
  <c r="J1733" i="8"/>
  <c r="K1733" i="8" s="1"/>
  <c r="M1733" i="8" s="1"/>
  <c r="I1075" i="8"/>
  <c r="J1075" i="8" s="1"/>
  <c r="L1075" i="8" s="1"/>
  <c r="I1074" i="8"/>
  <c r="J1074" i="8" s="1"/>
  <c r="L1074" i="8" s="1"/>
  <c r="I1352" i="8"/>
  <c r="J1352" i="8" s="1"/>
  <c r="L1352" i="8" s="1"/>
  <c r="I1351" i="8"/>
  <c r="J1351" i="8" s="1"/>
  <c r="L1351" i="8" s="1"/>
  <c r="I1220" i="8"/>
  <c r="J1220" i="8" s="1"/>
  <c r="L1220" i="8" s="1"/>
  <c r="I1219" i="8"/>
  <c r="J1219" i="8" s="1"/>
  <c r="L1219" i="8" s="1"/>
  <c r="I1218" i="8"/>
  <c r="J1218" i="8" s="1"/>
  <c r="L1218" i="8" s="1"/>
  <c r="I1217" i="8"/>
  <c r="J1217" i="8" s="1"/>
  <c r="L1217" i="8" s="1"/>
  <c r="I1216" i="8"/>
  <c r="J1216" i="8" s="1"/>
  <c r="L1216" i="8" s="1"/>
  <c r="I1215" i="8"/>
  <c r="J1215" i="8" s="1"/>
  <c r="L1215" i="8" s="1"/>
  <c r="I1214" i="8"/>
  <c r="J1214" i="8" s="1"/>
  <c r="L1214" i="8" s="1"/>
  <c r="I1213" i="8"/>
  <c r="J1213" i="8" s="1"/>
  <c r="L1213" i="8" s="1"/>
  <c r="I1212" i="8"/>
  <c r="J1212" i="8" s="1"/>
  <c r="L1212" i="8" s="1"/>
  <c r="I1211" i="8"/>
  <c r="J1211" i="8" s="1"/>
  <c r="L1211" i="8" s="1"/>
  <c r="I1210" i="8"/>
  <c r="J1210" i="8" s="1"/>
  <c r="L1210" i="8" s="1"/>
  <c r="I1209" i="8"/>
  <c r="J1209" i="8" s="1"/>
  <c r="L1209" i="8" s="1"/>
  <c r="I1208" i="8"/>
  <c r="J1208" i="8" s="1"/>
  <c r="L1208" i="8" s="1"/>
  <c r="I1207" i="8"/>
  <c r="J1207" i="8" s="1"/>
  <c r="L1207" i="8" s="1"/>
  <c r="I1206" i="8"/>
  <c r="J1206" i="8" s="1"/>
  <c r="L1206" i="8" s="1"/>
  <c r="I1205" i="8"/>
  <c r="J1205" i="8" s="1"/>
  <c r="L1205" i="8" s="1"/>
  <c r="I1204" i="8"/>
  <c r="J1204" i="8" s="1"/>
  <c r="L1204" i="8" s="1"/>
  <c r="I1203" i="8"/>
  <c r="J1203" i="8" s="1"/>
  <c r="L1203" i="8" s="1"/>
  <c r="I1202" i="8"/>
  <c r="J1202" i="8" s="1"/>
  <c r="L1202" i="8" s="1"/>
  <c r="I1201" i="8"/>
  <c r="J1201" i="8" s="1"/>
  <c r="L1201" i="8" s="1"/>
  <c r="I1200" i="8"/>
  <c r="J1200" i="8" s="1"/>
  <c r="L1200" i="8" s="1"/>
  <c r="I1199" i="8"/>
  <c r="J1199" i="8" s="1"/>
  <c r="L1199" i="8" s="1"/>
  <c r="I1198" i="8"/>
  <c r="J1198" i="8" s="1"/>
  <c r="L1198" i="8" s="1"/>
  <c r="I1197" i="8"/>
  <c r="J1197" i="8" s="1"/>
  <c r="L1197" i="8" s="1"/>
  <c r="I1196" i="8"/>
  <c r="J1196" i="8" s="1"/>
  <c r="L1196" i="8" s="1"/>
  <c r="I1195" i="8"/>
  <c r="J1195" i="8" s="1"/>
  <c r="L1195" i="8" s="1"/>
  <c r="I1194" i="8"/>
  <c r="J1194" i="8" s="1"/>
  <c r="L1194" i="8" s="1"/>
  <c r="I1193" i="8"/>
  <c r="J1193" i="8" s="1"/>
  <c r="L1193" i="8" s="1"/>
  <c r="I1192" i="8"/>
  <c r="J1192" i="8" s="1"/>
  <c r="L1192" i="8" s="1"/>
  <c r="I1191" i="8"/>
  <c r="J1191" i="8" s="1"/>
  <c r="L1191" i="8" s="1"/>
  <c r="I1190" i="8"/>
  <c r="J1190" i="8" s="1"/>
  <c r="L1190" i="8" s="1"/>
  <c r="I1189" i="8"/>
  <c r="J1189" i="8" s="1"/>
  <c r="L1189" i="8" s="1"/>
  <c r="I1188" i="8"/>
  <c r="J1188" i="8" s="1"/>
  <c r="L1188" i="8" s="1"/>
  <c r="I1187" i="8"/>
  <c r="J1187" i="8" s="1"/>
  <c r="L1187" i="8" s="1"/>
  <c r="I1186" i="8"/>
  <c r="J1186" i="8" s="1"/>
  <c r="L1186" i="8" s="1"/>
  <c r="I1185" i="8"/>
  <c r="J1185" i="8" s="1"/>
  <c r="L1185" i="8" s="1"/>
  <c r="I1184" i="8"/>
  <c r="J1184" i="8" s="1"/>
  <c r="L1184" i="8" s="1"/>
  <c r="I1183" i="8"/>
  <c r="J1183" i="8" s="1"/>
  <c r="L1183" i="8" s="1"/>
  <c r="I1182" i="8"/>
  <c r="J1182" i="8" s="1"/>
  <c r="L1182" i="8" s="1"/>
  <c r="I1181" i="8"/>
  <c r="J1181" i="8" s="1"/>
  <c r="L1181" i="8" s="1"/>
  <c r="I1180" i="8"/>
  <c r="J1180" i="8" s="1"/>
  <c r="L1180" i="8" s="1"/>
  <c r="I1179" i="8"/>
  <c r="J1179" i="8" s="1"/>
  <c r="L1179" i="8" s="1"/>
  <c r="I1178" i="8"/>
  <c r="J1178" i="8" s="1"/>
  <c r="L1178" i="8" s="1"/>
  <c r="I1177" i="8"/>
  <c r="J1177" i="8" s="1"/>
  <c r="L1177" i="8" s="1"/>
  <c r="I1176" i="8"/>
  <c r="J1176" i="8" s="1"/>
  <c r="L1176" i="8" s="1"/>
  <c r="I2011" i="8"/>
  <c r="J2011" i="8" s="1"/>
  <c r="L2011" i="8" s="1"/>
  <c r="I2010" i="8"/>
  <c r="J2010" i="8" s="1"/>
  <c r="L2010" i="8" s="1"/>
  <c r="I2009" i="8"/>
  <c r="J2009" i="8" s="1"/>
  <c r="L2009" i="8" s="1"/>
  <c r="I2008" i="8"/>
  <c r="J2008" i="8" s="1"/>
  <c r="L2008" i="8" s="1"/>
  <c r="I2007" i="8"/>
  <c r="J2007" i="8" s="1"/>
  <c r="L2007" i="8" s="1"/>
  <c r="I1446" i="8"/>
  <c r="J1446" i="8" s="1"/>
  <c r="L1446" i="8" s="1"/>
  <c r="I1271" i="8"/>
  <c r="J1271" i="8" s="1"/>
  <c r="L1271" i="8" s="1"/>
  <c r="I1270" i="8"/>
  <c r="J1270" i="8" s="1"/>
  <c r="L1270" i="8" s="1"/>
  <c r="I1269" i="8"/>
  <c r="J1269" i="8" s="1"/>
  <c r="L1269" i="8" s="1"/>
  <c r="I1268" i="8"/>
  <c r="J1268" i="8" s="1"/>
  <c r="L1268" i="8" s="1"/>
  <c r="I1267" i="8"/>
  <c r="J1267" i="8" s="1"/>
  <c r="L1267" i="8" s="1"/>
  <c r="I1266" i="8"/>
  <c r="J1266" i="8" s="1"/>
  <c r="L1266" i="8" s="1"/>
  <c r="I1265" i="8"/>
  <c r="J1265" i="8" s="1"/>
  <c r="L1265" i="8" s="1"/>
  <c r="I1264" i="8"/>
  <c r="J1264" i="8" s="1"/>
  <c r="L1264" i="8" s="1"/>
  <c r="I1263" i="8"/>
  <c r="J1263" i="8" s="1"/>
  <c r="L1263" i="8" s="1"/>
  <c r="I1262" i="8"/>
  <c r="J1262" i="8" s="1"/>
  <c r="L1262" i="8" s="1"/>
  <c r="I1261" i="8"/>
  <c r="J1261" i="8" s="1"/>
  <c r="L1261" i="8" s="1"/>
  <c r="I1260" i="8"/>
  <c r="J1260" i="8" s="1"/>
  <c r="L1260" i="8" s="1"/>
  <c r="I1259" i="8"/>
  <c r="J1259" i="8" s="1"/>
  <c r="L1259" i="8" s="1"/>
  <c r="I1258" i="8"/>
  <c r="J1258" i="8" s="1"/>
  <c r="L1258" i="8" s="1"/>
  <c r="I1257" i="8"/>
  <c r="J1257" i="8" s="1"/>
  <c r="L1257" i="8" s="1"/>
  <c r="I1256" i="8"/>
  <c r="J1256" i="8" s="1"/>
  <c r="L1256" i="8" s="1"/>
  <c r="I1255" i="8"/>
  <c r="J1255" i="8" s="1"/>
  <c r="L1255" i="8" s="1"/>
  <c r="I1254" i="8"/>
  <c r="J1254" i="8" s="1"/>
  <c r="L1254" i="8" s="1"/>
  <c r="I1253" i="8"/>
  <c r="J1253" i="8" s="1"/>
  <c r="L1253" i="8" s="1"/>
  <c r="I55" i="8"/>
  <c r="J55" i="8" s="1"/>
  <c r="L55" i="8" s="1"/>
  <c r="I54" i="8"/>
  <c r="J54" i="8" s="1"/>
  <c r="L54" i="8" s="1"/>
  <c r="I53" i="8"/>
  <c r="J53" i="8" s="1"/>
  <c r="L53" i="8" s="1"/>
  <c r="I52" i="8"/>
  <c r="J52" i="8" s="1"/>
  <c r="L52" i="8" s="1"/>
  <c r="I51" i="8"/>
  <c r="J51" i="8" s="1"/>
  <c r="L51" i="8" s="1"/>
  <c r="I50" i="8"/>
  <c r="J50" i="8" s="1"/>
  <c r="L50" i="8" s="1"/>
  <c r="I448" i="8"/>
  <c r="J448" i="8" s="1"/>
  <c r="L448" i="8" s="1"/>
  <c r="I447" i="8"/>
  <c r="J447" i="8" s="1"/>
  <c r="L447" i="8" s="1"/>
  <c r="I446" i="8"/>
  <c r="J446" i="8" s="1"/>
  <c r="L446" i="8" s="1"/>
  <c r="I445" i="8"/>
  <c r="J445" i="8" s="1"/>
  <c r="L445" i="8" s="1"/>
  <c r="I444" i="8"/>
  <c r="J444" i="8" s="1"/>
  <c r="L444" i="8" s="1"/>
  <c r="I443" i="8"/>
  <c r="J443" i="8" s="1"/>
  <c r="L443" i="8" s="1"/>
  <c r="I442" i="8"/>
  <c r="J442" i="8" s="1"/>
  <c r="L442" i="8" s="1"/>
  <c r="I441" i="8"/>
  <c r="J441" i="8" s="1"/>
  <c r="L441" i="8" s="1"/>
  <c r="I440" i="8"/>
  <c r="J440" i="8" s="1"/>
  <c r="L440" i="8" s="1"/>
  <c r="I439" i="8"/>
  <c r="J439" i="8" s="1"/>
  <c r="L439" i="8" s="1"/>
  <c r="I438" i="8"/>
  <c r="J438" i="8" s="1"/>
  <c r="L438" i="8" s="1"/>
  <c r="I437" i="8"/>
  <c r="J437" i="8" s="1"/>
  <c r="L437" i="8" s="1"/>
  <c r="I436" i="8"/>
  <c r="J436" i="8" s="1"/>
  <c r="L436" i="8" s="1"/>
  <c r="I435" i="8"/>
  <c r="J435" i="8" s="1"/>
  <c r="L435" i="8" s="1"/>
  <c r="I434" i="8"/>
  <c r="J434" i="8" s="1"/>
  <c r="L434" i="8" s="1"/>
  <c r="I433" i="8"/>
  <c r="J433" i="8" s="1"/>
  <c r="L433" i="8" s="1"/>
  <c r="I432" i="8"/>
  <c r="J432" i="8" s="1"/>
  <c r="L432" i="8" s="1"/>
  <c r="I852" i="8"/>
  <c r="J852" i="8" s="1"/>
  <c r="L852" i="8" s="1"/>
  <c r="I851" i="8"/>
  <c r="J851" i="8" s="1"/>
  <c r="L851" i="8" s="1"/>
  <c r="I849" i="8"/>
  <c r="J849" i="8" s="1"/>
  <c r="L849" i="8" s="1"/>
  <c r="I848" i="8"/>
  <c r="J848" i="8" s="1"/>
  <c r="L848" i="8" s="1"/>
  <c r="I847" i="8"/>
  <c r="J847" i="8" s="1"/>
  <c r="L847" i="8" s="1"/>
  <c r="I846" i="8"/>
  <c r="J846" i="8" s="1"/>
  <c r="L846" i="8" s="1"/>
  <c r="I845" i="8"/>
  <c r="J845" i="8" s="1"/>
  <c r="L845" i="8" s="1"/>
  <c r="I844" i="8"/>
  <c r="J844" i="8" s="1"/>
  <c r="L844" i="8" s="1"/>
  <c r="I843" i="8"/>
  <c r="J843" i="8" s="1"/>
  <c r="L843" i="8" s="1"/>
  <c r="I842" i="8"/>
  <c r="J842" i="8" s="1"/>
  <c r="L842" i="8" s="1"/>
  <c r="I841" i="8"/>
  <c r="J841" i="8" s="1"/>
  <c r="L841" i="8" s="1"/>
  <c r="I840" i="8"/>
  <c r="J840" i="8" s="1"/>
  <c r="L840" i="8" s="1"/>
  <c r="I839" i="8"/>
  <c r="J839" i="8" s="1"/>
  <c r="L839" i="8" s="1"/>
  <c r="I974" i="8"/>
  <c r="J974" i="8" s="1"/>
  <c r="L974" i="8" s="1"/>
  <c r="I973" i="8"/>
  <c r="J973" i="8" s="1"/>
  <c r="L973" i="8" s="1"/>
  <c r="I972" i="8"/>
  <c r="J972" i="8" s="1"/>
  <c r="L972" i="8" s="1"/>
  <c r="I971" i="8"/>
  <c r="J971" i="8" s="1"/>
  <c r="L971" i="8" s="1"/>
  <c r="I970" i="8"/>
  <c r="J970" i="8" s="1"/>
  <c r="L970" i="8" s="1"/>
  <c r="I969" i="8"/>
  <c r="J969" i="8" s="1"/>
  <c r="L969" i="8" s="1"/>
  <c r="I968" i="8"/>
  <c r="J968" i="8" s="1"/>
  <c r="L968" i="8" s="1"/>
  <c r="I967" i="8"/>
  <c r="J967" i="8" s="1"/>
  <c r="L967" i="8" s="1"/>
  <c r="I966" i="8"/>
  <c r="J966" i="8" s="1"/>
  <c r="L966" i="8" s="1"/>
  <c r="I965" i="8"/>
  <c r="J965" i="8" s="1"/>
  <c r="L965" i="8" s="1"/>
  <c r="I964" i="8"/>
  <c r="J964" i="8" s="1"/>
  <c r="L964" i="8" s="1"/>
  <c r="I963" i="8"/>
  <c r="J963" i="8" s="1"/>
  <c r="L963" i="8" s="1"/>
  <c r="I962" i="8"/>
  <c r="J962" i="8" s="1"/>
  <c r="L962" i="8" s="1"/>
  <c r="I961" i="8"/>
  <c r="J961" i="8" s="1"/>
  <c r="L961" i="8" s="1"/>
  <c r="I960" i="8"/>
  <c r="J960" i="8" s="1"/>
  <c r="L960" i="8" s="1"/>
  <c r="I959" i="8"/>
  <c r="J959" i="8" s="1"/>
  <c r="L959" i="8" s="1"/>
  <c r="I958" i="8"/>
  <c r="J958" i="8" s="1"/>
  <c r="L958" i="8" s="1"/>
  <c r="I957" i="8"/>
  <c r="J957" i="8" s="1"/>
  <c r="L957" i="8" s="1"/>
  <c r="I956" i="8"/>
  <c r="J956" i="8" s="1"/>
  <c r="L956" i="8" s="1"/>
  <c r="I955" i="8"/>
  <c r="J955" i="8" s="1"/>
  <c r="L955" i="8" s="1"/>
  <c r="I954" i="8"/>
  <c r="J954" i="8" s="1"/>
  <c r="L954" i="8" s="1"/>
  <c r="I953" i="8"/>
  <c r="J953" i="8" s="1"/>
  <c r="L953" i="8" s="1"/>
  <c r="I952" i="8"/>
  <c r="J952" i="8" s="1"/>
  <c r="L952" i="8" s="1"/>
  <c r="F977" i="8"/>
  <c r="M977" i="8"/>
  <c r="R977" i="8"/>
  <c r="D978" i="8"/>
  <c r="L978" i="8"/>
  <c r="L987" i="8"/>
  <c r="L988" i="8"/>
  <c r="I989" i="8"/>
  <c r="J989" i="8" s="1"/>
  <c r="L989" i="8" s="1"/>
  <c r="L991" i="8"/>
  <c r="I992" i="8"/>
  <c r="J992" i="8" s="1"/>
  <c r="L992" i="8" s="1"/>
  <c r="I993" i="8"/>
  <c r="J993" i="8" s="1"/>
  <c r="L993" i="8" s="1"/>
  <c r="L994" i="8"/>
  <c r="I995" i="8"/>
  <c r="J995" i="8" s="1"/>
  <c r="L995" i="8" s="1"/>
  <c r="I996" i="8"/>
  <c r="J996" i="8" s="1"/>
  <c r="L996" i="8" s="1"/>
  <c r="I997" i="8"/>
  <c r="J997" i="8" s="1"/>
  <c r="L997" i="8" s="1"/>
  <c r="I998" i="8"/>
  <c r="J998" i="8" s="1"/>
  <c r="L998" i="8" s="1"/>
  <c r="I999" i="8"/>
  <c r="J999" i="8" s="1"/>
  <c r="L999" i="8" s="1"/>
  <c r="I1073" i="8"/>
  <c r="J1073" i="8" s="1"/>
  <c r="L1073" i="8" s="1"/>
  <c r="I1072" i="8"/>
  <c r="J1072" i="8" s="1"/>
  <c r="L1072" i="8" s="1"/>
  <c r="I1071" i="8"/>
  <c r="J1071" i="8" s="1"/>
  <c r="L1071" i="8" s="1"/>
  <c r="I1070" i="8"/>
  <c r="J1070" i="8" s="1"/>
  <c r="L1070" i="8" s="1"/>
  <c r="I1069" i="8"/>
  <c r="J1069" i="8" s="1"/>
  <c r="L1069" i="8" s="1"/>
  <c r="I48" i="8"/>
  <c r="J48" i="8" s="1"/>
  <c r="L48" i="8" s="1"/>
  <c r="I47" i="8"/>
  <c r="J47" i="8" s="1"/>
  <c r="L47" i="8" s="1"/>
  <c r="I46" i="8"/>
  <c r="J46" i="8" s="1"/>
  <c r="L46" i="8" s="1"/>
  <c r="R145" i="8"/>
  <c r="I145" i="8"/>
  <c r="J145" i="8" s="1"/>
  <c r="L145" i="8" s="1"/>
  <c r="I144" i="8"/>
  <c r="J144" i="8" s="1"/>
  <c r="L144" i="8" s="1"/>
  <c r="I143" i="8"/>
  <c r="J143" i="8" s="1"/>
  <c r="L143" i="8" s="1"/>
  <c r="I142" i="8"/>
  <c r="J142" i="8" s="1"/>
  <c r="L142" i="8" s="1"/>
  <c r="M978" i="8" l="1"/>
  <c r="E302" i="14"/>
  <c r="I302" i="14" l="1"/>
  <c r="B339" i="17" l="1"/>
  <c r="B336" i="17" l="1"/>
  <c r="B335" i="17" s="1"/>
  <c r="B342" i="17" s="1"/>
  <c r="B330" i="17"/>
  <c r="R1627" i="8" l="1"/>
  <c r="B344" i="17" l="1"/>
  <c r="R26" i="2" l="1"/>
  <c r="Q26" i="2"/>
  <c r="N26" i="2"/>
  <c r="K26" i="2"/>
  <c r="J26" i="2"/>
  <c r="N28" i="2" l="1"/>
  <c r="L26" i="2"/>
  <c r="S26" i="2" s="1"/>
  <c r="T26" i="2" s="1"/>
  <c r="M28" i="2" l="1"/>
  <c r="N29" i="2" s="1"/>
  <c r="L28" i="2"/>
  <c r="L29" i="2" s="1"/>
  <c r="J1627" i="8" l="1"/>
  <c r="L1627" i="8" s="1"/>
  <c r="R891" i="8"/>
  <c r="G247" i="17" l="1"/>
  <c r="G249" i="17" s="1"/>
  <c r="E232" i="17"/>
  <c r="E250" i="17"/>
  <c r="F278" i="14" l="1"/>
  <c r="F293" i="14" s="1"/>
  <c r="G1625" i="8"/>
  <c r="I1625" i="8" s="1"/>
  <c r="J1625" i="8" s="1"/>
  <c r="L1625" i="8" s="1"/>
  <c r="G430" i="8"/>
  <c r="I430" i="8" s="1"/>
  <c r="J430" i="8" s="1"/>
  <c r="L430" i="8" s="1"/>
  <c r="G429" i="8"/>
  <c r="I429" i="8" s="1"/>
  <c r="J429" i="8" s="1"/>
  <c r="L429" i="8" s="1"/>
  <c r="G428" i="8"/>
  <c r="I428" i="8" s="1"/>
  <c r="J428" i="8" s="1"/>
  <c r="L428" i="8" s="1"/>
  <c r="G427" i="8"/>
  <c r="I427" i="8" s="1"/>
  <c r="J427" i="8" s="1"/>
  <c r="L427" i="8" s="1"/>
  <c r="G426" i="8"/>
  <c r="I426" i="8" s="1"/>
  <c r="J426" i="8" s="1"/>
  <c r="L426" i="8" s="1"/>
  <c r="G425" i="8"/>
  <c r="I425" i="8" s="1"/>
  <c r="J425" i="8" s="1"/>
  <c r="L425" i="8" s="1"/>
  <c r="G424" i="8"/>
  <c r="I424" i="8" s="1"/>
  <c r="J424" i="8" s="1"/>
  <c r="L424" i="8" s="1"/>
  <c r="G44" i="8"/>
  <c r="I44" i="8" s="1"/>
  <c r="J44" i="8" s="1"/>
  <c r="L44" i="8" s="1"/>
  <c r="G43" i="8"/>
  <c r="I43" i="8" s="1"/>
  <c r="J43" i="8" s="1"/>
  <c r="L43" i="8" s="1"/>
  <c r="G42" i="8"/>
  <c r="I42" i="8" s="1"/>
  <c r="J42" i="8" s="1"/>
  <c r="L42" i="8" s="1"/>
  <c r="G41" i="8"/>
  <c r="I41" i="8" s="1"/>
  <c r="J41" i="8" s="1"/>
  <c r="L41" i="8" s="1"/>
  <c r="G40" i="8"/>
  <c r="I40" i="8" s="1"/>
  <c r="J40" i="8" s="1"/>
  <c r="L40" i="8" s="1"/>
  <c r="G39" i="8"/>
  <c r="I39" i="8" s="1"/>
  <c r="J39" i="8" s="1"/>
  <c r="L39" i="8" s="1"/>
  <c r="G949" i="8"/>
  <c r="I949" i="8" s="1"/>
  <c r="J949" i="8" s="1"/>
  <c r="L949" i="8" s="1"/>
  <c r="G948" i="8"/>
  <c r="I948" i="8" s="1"/>
  <c r="J948" i="8" s="1"/>
  <c r="L948" i="8" s="1"/>
  <c r="G947" i="8"/>
  <c r="I947" i="8" s="1"/>
  <c r="J947" i="8" s="1"/>
  <c r="L947" i="8" s="1"/>
  <c r="G946" i="8"/>
  <c r="I946" i="8" s="1"/>
  <c r="J946" i="8" s="1"/>
  <c r="L946" i="8" s="1"/>
  <c r="G945" i="8"/>
  <c r="I945" i="8" s="1"/>
  <c r="J945" i="8" s="1"/>
  <c r="L945" i="8" s="1"/>
  <c r="G944" i="8"/>
  <c r="I944" i="8" s="1"/>
  <c r="J944" i="8" s="1"/>
  <c r="L944" i="8" s="1"/>
  <c r="G938" i="8"/>
  <c r="I938" i="8" s="1"/>
  <c r="J938" i="8" s="1"/>
  <c r="L938" i="8" s="1"/>
  <c r="G937" i="8"/>
  <c r="I937" i="8" s="1"/>
  <c r="J937" i="8" s="1"/>
  <c r="L937" i="8" s="1"/>
  <c r="G936" i="8"/>
  <c r="I936" i="8" s="1"/>
  <c r="J936" i="8" s="1"/>
  <c r="L936" i="8" s="1"/>
  <c r="G935" i="8"/>
  <c r="I935" i="8" s="1"/>
  <c r="J935" i="8" s="1"/>
  <c r="L935" i="8" s="1"/>
  <c r="G934" i="8"/>
  <c r="I934" i="8" s="1"/>
  <c r="J934" i="8" s="1"/>
  <c r="L934" i="8" s="1"/>
  <c r="E249" i="17"/>
  <c r="E277" i="14" l="1"/>
  <c r="E293" i="14" s="1"/>
  <c r="E1945" i="8" l="1"/>
  <c r="M1234" i="8"/>
  <c r="R1971" i="8"/>
  <c r="I1623" i="8"/>
  <c r="J1623" i="8" s="1"/>
  <c r="L1623" i="8" s="1"/>
  <c r="I2005" i="8"/>
  <c r="J2005" i="8" s="1"/>
  <c r="L2005" i="8" s="1"/>
  <c r="I837" i="8"/>
  <c r="J837" i="8" s="1"/>
  <c r="L837" i="8" s="1"/>
  <c r="I927" i="8"/>
  <c r="J927" i="8" s="1"/>
  <c r="L927" i="8" s="1"/>
  <c r="I926" i="8"/>
  <c r="J926" i="8" s="1"/>
  <c r="L926" i="8" s="1"/>
  <c r="I925" i="8"/>
  <c r="J925" i="8" s="1"/>
  <c r="L925" i="8" s="1"/>
  <c r="I924" i="8"/>
  <c r="J924" i="8" s="1"/>
  <c r="L924" i="8" s="1"/>
  <c r="I922" i="8"/>
  <c r="J922" i="8" s="1"/>
  <c r="L922" i="8" s="1"/>
  <c r="I921" i="8"/>
  <c r="J921" i="8" s="1"/>
  <c r="L921" i="8" s="1"/>
  <c r="I920" i="8"/>
  <c r="J920" i="8" s="1"/>
  <c r="L920" i="8" s="1"/>
  <c r="I919" i="8"/>
  <c r="J919" i="8" s="1"/>
  <c r="L919" i="8" s="1"/>
  <c r="I918" i="8"/>
  <c r="J918" i="8" s="1"/>
  <c r="L918" i="8" s="1"/>
  <c r="I917" i="8"/>
  <c r="J917" i="8" s="1"/>
  <c r="L917" i="8" s="1"/>
  <c r="I916" i="8"/>
  <c r="J916" i="8" s="1"/>
  <c r="L916" i="8" s="1"/>
  <c r="I915" i="8"/>
  <c r="J915" i="8" s="1"/>
  <c r="L915" i="8" s="1"/>
  <c r="I1803" i="8"/>
  <c r="J1803" i="8" s="1"/>
  <c r="L1803" i="8" s="1"/>
  <c r="I1802" i="8"/>
  <c r="J1802" i="8" s="1"/>
  <c r="L1802" i="8" s="1"/>
  <c r="I1801" i="8"/>
  <c r="J1801" i="8" s="1"/>
  <c r="L1801" i="8" s="1"/>
  <c r="I1800" i="8"/>
  <c r="J1800" i="8" s="1"/>
  <c r="L1800" i="8" s="1"/>
  <c r="I1799" i="8"/>
  <c r="J1799" i="8" s="1"/>
  <c r="L1799" i="8" s="1"/>
  <c r="I1798" i="8"/>
  <c r="J1798" i="8" s="1"/>
  <c r="L1798" i="8" s="1"/>
  <c r="I1797" i="8"/>
  <c r="J1797" i="8" s="1"/>
  <c r="L1797" i="8" s="1"/>
  <c r="I1796" i="8"/>
  <c r="J1796" i="8" s="1"/>
  <c r="L1796" i="8" s="1"/>
  <c r="I1795" i="8"/>
  <c r="J1795" i="8" s="1"/>
  <c r="L1795" i="8" s="1"/>
  <c r="I1794" i="8"/>
  <c r="J1794" i="8" s="1"/>
  <c r="L1794" i="8" s="1"/>
  <c r="I1793" i="8"/>
  <c r="J1793" i="8" s="1"/>
  <c r="L1793" i="8" s="1"/>
  <c r="I1792" i="8"/>
  <c r="J1792" i="8" s="1"/>
  <c r="L1792" i="8" s="1"/>
  <c r="I1791" i="8"/>
  <c r="J1791" i="8" s="1"/>
  <c r="L1791" i="8" s="1"/>
  <c r="I1790" i="8"/>
  <c r="J1790" i="8" s="1"/>
  <c r="L1790" i="8" s="1"/>
  <c r="I1789" i="8"/>
  <c r="J1789" i="8" s="1"/>
  <c r="L1789" i="8" s="1"/>
  <c r="I1788" i="8"/>
  <c r="J1788" i="8" s="1"/>
  <c r="L1788" i="8" s="1"/>
  <c r="I1787" i="8"/>
  <c r="J1787" i="8" s="1"/>
  <c r="L1787" i="8" s="1"/>
  <c r="I1786" i="8"/>
  <c r="J1786" i="8" s="1"/>
  <c r="L1786" i="8" s="1"/>
  <c r="I1785" i="8"/>
  <c r="J1785" i="8" s="1"/>
  <c r="L1785" i="8" s="1"/>
  <c r="I1784" i="8"/>
  <c r="J1784" i="8" s="1"/>
  <c r="L1784" i="8" s="1"/>
  <c r="I1783" i="8"/>
  <c r="J1783" i="8" s="1"/>
  <c r="L1783" i="8" s="1"/>
  <c r="I1782" i="8"/>
  <c r="J1782" i="8" s="1"/>
  <c r="L1782" i="8" s="1"/>
  <c r="I1781" i="8"/>
  <c r="J1781" i="8" s="1"/>
  <c r="L1781" i="8" s="1"/>
  <c r="I1984" i="8"/>
  <c r="J1984" i="8" s="1"/>
  <c r="L1984" i="8" s="1"/>
  <c r="I1983" i="8"/>
  <c r="J1983" i="8" s="1"/>
  <c r="L1983" i="8" s="1"/>
  <c r="I1700" i="8"/>
  <c r="J1700" i="8" s="1"/>
  <c r="L1700" i="8" s="1"/>
  <c r="I1699" i="8"/>
  <c r="J1699" i="8" s="1"/>
  <c r="L1699" i="8" s="1"/>
  <c r="I1698" i="8"/>
  <c r="J1698" i="8" s="1"/>
  <c r="L1698" i="8" s="1"/>
  <c r="I1697" i="8"/>
  <c r="J1697" i="8" s="1"/>
  <c r="L1697" i="8" s="1"/>
  <c r="I1696" i="8"/>
  <c r="J1696" i="8" s="1"/>
  <c r="L1696" i="8" s="1"/>
  <c r="I1695" i="8"/>
  <c r="J1695" i="8" s="1"/>
  <c r="L1695" i="8" s="1"/>
  <c r="I1706" i="8"/>
  <c r="J1706" i="8" s="1"/>
  <c r="L1706" i="8" s="1"/>
  <c r="I1068" i="8"/>
  <c r="J1068" i="8" s="1"/>
  <c r="L1068" i="8" s="1"/>
  <c r="I1067" i="8"/>
  <c r="J1067" i="8" s="1"/>
  <c r="L1067" i="8" s="1"/>
  <c r="I1066" i="8"/>
  <c r="J1066" i="8" s="1"/>
  <c r="L1066" i="8" s="1"/>
  <c r="I1065" i="8"/>
  <c r="J1065" i="8" s="1"/>
  <c r="L1065" i="8" s="1"/>
  <c r="I1064" i="8"/>
  <c r="J1064" i="8" s="1"/>
  <c r="L1064" i="8" s="1"/>
  <c r="I1063" i="8"/>
  <c r="J1063" i="8" s="1"/>
  <c r="L1063" i="8" s="1"/>
  <c r="I1062" i="8"/>
  <c r="J1062" i="8" s="1"/>
  <c r="L1062" i="8" s="1"/>
  <c r="I1061" i="8"/>
  <c r="J1061" i="8" s="1"/>
  <c r="L1061" i="8" s="1"/>
  <c r="I1060" i="8"/>
  <c r="J1060" i="8" s="1"/>
  <c r="L1060" i="8" s="1"/>
  <c r="I1059" i="8"/>
  <c r="J1059" i="8" s="1"/>
  <c r="L1059" i="8" s="1"/>
  <c r="I1058" i="8"/>
  <c r="J1058" i="8" s="1"/>
  <c r="L1058" i="8" s="1"/>
  <c r="I1057" i="8"/>
  <c r="J1057" i="8" s="1"/>
  <c r="L1057" i="8" s="1"/>
  <c r="I37" i="8"/>
  <c r="J37" i="8" s="1"/>
  <c r="L37" i="8" s="1"/>
  <c r="I36" i="8"/>
  <c r="J36" i="8" s="1"/>
  <c r="L36" i="8" s="1"/>
  <c r="I35" i="8"/>
  <c r="J35" i="8" s="1"/>
  <c r="L35" i="8" s="1"/>
  <c r="I34" i="8"/>
  <c r="J34" i="8" s="1"/>
  <c r="L34" i="8" s="1"/>
  <c r="I422" i="8"/>
  <c r="J422" i="8" s="1"/>
  <c r="L422" i="8" s="1"/>
  <c r="I421" i="8"/>
  <c r="J421" i="8" s="1"/>
  <c r="L421" i="8" s="1"/>
  <c r="I420" i="8"/>
  <c r="J420" i="8" s="1"/>
  <c r="L420" i="8" s="1"/>
  <c r="I419" i="8"/>
  <c r="J419" i="8" s="1"/>
  <c r="L419" i="8" s="1"/>
  <c r="I418" i="8"/>
  <c r="J418" i="8" s="1"/>
  <c r="L418" i="8" s="1"/>
  <c r="I417" i="8"/>
  <c r="J417" i="8" s="1"/>
  <c r="L417" i="8" s="1"/>
  <c r="I416" i="8"/>
  <c r="J416" i="8" s="1"/>
  <c r="L416" i="8" s="1"/>
  <c r="I415" i="8"/>
  <c r="J415" i="8" s="1"/>
  <c r="L415" i="8" s="1"/>
  <c r="I414" i="8"/>
  <c r="J414" i="8" s="1"/>
  <c r="L414" i="8" s="1"/>
  <c r="I413" i="8"/>
  <c r="J413" i="8" s="1"/>
  <c r="L413" i="8" s="1"/>
  <c r="I412" i="8"/>
  <c r="J412" i="8" s="1"/>
  <c r="L412" i="8" s="1"/>
  <c r="I411" i="8"/>
  <c r="J411" i="8" s="1"/>
  <c r="L411" i="8" s="1"/>
  <c r="I410" i="8"/>
  <c r="J410" i="8" s="1"/>
  <c r="L410" i="8" s="1"/>
  <c r="I409" i="8"/>
  <c r="J409" i="8" s="1"/>
  <c r="L409" i="8" s="1"/>
  <c r="I408" i="8"/>
  <c r="J408" i="8" s="1"/>
  <c r="L408" i="8" s="1"/>
  <c r="I407" i="8"/>
  <c r="J407" i="8" s="1"/>
  <c r="L407" i="8" s="1"/>
  <c r="I406" i="8"/>
  <c r="J406" i="8" s="1"/>
  <c r="L406" i="8" s="1"/>
  <c r="I405" i="8"/>
  <c r="J405" i="8" s="1"/>
  <c r="L405" i="8" s="1"/>
  <c r="I404" i="8"/>
  <c r="J404" i="8" s="1"/>
  <c r="L404" i="8" s="1"/>
  <c r="I403" i="8"/>
  <c r="J403" i="8" s="1"/>
  <c r="L403" i="8" s="1"/>
  <c r="I402" i="8"/>
  <c r="J402" i="8" s="1"/>
  <c r="L402" i="8" s="1"/>
  <c r="I401" i="8"/>
  <c r="J401" i="8" s="1"/>
  <c r="L401" i="8" s="1"/>
  <c r="I400" i="8"/>
  <c r="J400" i="8" s="1"/>
  <c r="L400" i="8" s="1"/>
  <c r="I399" i="8"/>
  <c r="J399" i="8" s="1"/>
  <c r="L399" i="8" s="1"/>
  <c r="I378" i="8" l="1"/>
  <c r="J378" i="8" s="1"/>
  <c r="L378" i="8" s="1"/>
  <c r="G286" i="17" l="1"/>
  <c r="G296" i="17"/>
  <c r="H272" i="17"/>
  <c r="H282" i="17"/>
  <c r="H278" i="17"/>
  <c r="H277" i="17"/>
  <c r="H275" i="17"/>
  <c r="H274" i="17"/>
  <c r="H279" i="17" l="1"/>
  <c r="H280" i="17"/>
  <c r="H286" i="17" l="1"/>
  <c r="H288" i="17" s="1"/>
  <c r="H292" i="17" s="1"/>
  <c r="G297" i="17" s="1"/>
  <c r="G299" i="17" s="1"/>
  <c r="G303" i="17" s="1"/>
  <c r="B289" i="17"/>
  <c r="B280" i="17"/>
  <c r="C244" i="17"/>
  <c r="L255" i="17"/>
  <c r="L256" i="17"/>
  <c r="L252" i="17"/>
  <c r="L253" i="17"/>
  <c r="K257" i="17"/>
  <c r="J257" i="17"/>
  <c r="L254" i="17"/>
  <c r="L257" i="17" l="1"/>
  <c r="S24" i="2" l="1"/>
  <c r="T24" i="2" s="1"/>
  <c r="Q23" i="2"/>
  <c r="L23" i="2"/>
  <c r="S23" i="2" s="1"/>
  <c r="T23" i="2" s="1"/>
  <c r="T25" i="2" s="1"/>
  <c r="K235" i="17" l="1"/>
  <c r="K230" i="17"/>
  <c r="K245" i="17" s="1"/>
  <c r="E222" i="17"/>
  <c r="M1761" i="8"/>
  <c r="C259" i="17" l="1"/>
  <c r="D259" i="17"/>
  <c r="B259" i="17"/>
  <c r="E221" i="17"/>
  <c r="D225" i="17" l="1"/>
  <c r="C225" i="17" l="1"/>
  <c r="C80" i="5"/>
  <c r="C75" i="5"/>
  <c r="C61" i="5"/>
  <c r="C59" i="5" s="1"/>
  <c r="C30" i="5"/>
  <c r="C22" i="5" s="1"/>
  <c r="E189" i="14" l="1"/>
  <c r="E198" i="14" s="1"/>
  <c r="B225" i="17" l="1"/>
  <c r="F252" i="17" l="1"/>
  <c r="E252" i="17"/>
  <c r="D252" i="17"/>
  <c r="C252" i="17"/>
  <c r="B252" i="17"/>
  <c r="C227" i="17"/>
  <c r="D227" i="17"/>
  <c r="E227" i="17"/>
  <c r="F227" i="17"/>
  <c r="B227" i="17"/>
  <c r="K22" i="18"/>
  <c r="C20" i="5" l="1"/>
  <c r="C87" i="5" s="1"/>
  <c r="C91" i="5" s="1"/>
  <c r="E56" i="22" l="1"/>
  <c r="F56" i="22" s="1"/>
  <c r="E43" i="22"/>
  <c r="F43" i="22" s="1"/>
  <c r="E50" i="22"/>
  <c r="F50" i="22" s="1"/>
  <c r="E57" i="22"/>
  <c r="F57" i="22" s="1"/>
  <c r="E48" i="22"/>
  <c r="F48" i="22" s="1"/>
  <c r="E54" i="22"/>
  <c r="F54" i="22" s="1"/>
  <c r="E46" i="22"/>
  <c r="F46" i="22" s="1"/>
  <c r="E41" i="22"/>
  <c r="F41" i="22" s="1"/>
  <c r="E51" i="22"/>
  <c r="F51" i="22" s="1"/>
  <c r="E55" i="22"/>
  <c r="F55" i="22" s="1"/>
  <c r="E52" i="22"/>
  <c r="F52" i="22" s="1"/>
  <c r="E40" i="22"/>
  <c r="F40" i="22" s="1"/>
  <c r="E45" i="22"/>
  <c r="F45" i="22" s="1"/>
  <c r="E44" i="22"/>
  <c r="F44" i="22" s="1"/>
  <c r="E39" i="22"/>
  <c r="F39" i="22" s="1"/>
  <c r="E47" i="22"/>
  <c r="F47" i="22" s="1"/>
  <c r="E53" i="22"/>
  <c r="F53" i="22" s="1"/>
  <c r="E58" i="22"/>
  <c r="F58" i="22" s="1"/>
  <c r="E38" i="22"/>
  <c r="F38" i="22" s="1"/>
  <c r="E42" i="22"/>
  <c r="F42" i="22" s="1"/>
  <c r="E49" i="22"/>
  <c r="F49" i="22" s="1"/>
  <c r="C4" i="5" l="1"/>
  <c r="C6" i="5" s="1"/>
  <c r="C17" i="5" s="1"/>
  <c r="C90" i="5" s="1"/>
  <c r="C93" i="5" s="1"/>
  <c r="E1762" i="8"/>
  <c r="E1726" i="8"/>
  <c r="E1690" i="8"/>
  <c r="E1649" i="8"/>
  <c r="E1453" i="8"/>
  <c r="E1415" i="8"/>
  <c r="E1388" i="8"/>
  <c r="E1318" i="8"/>
  <c r="E1235" i="8"/>
  <c r="E1115" i="8"/>
  <c r="D769" i="8"/>
  <c r="D194" i="8"/>
  <c r="D101" i="8"/>
  <c r="K21" i="18" l="1"/>
  <c r="F1761" i="8" l="1"/>
  <c r="H913" i="8"/>
  <c r="I913" i="8" s="1"/>
  <c r="J913" i="8" s="1"/>
  <c r="L913" i="8" s="1"/>
  <c r="H912" i="8"/>
  <c r="I912" i="8" s="1"/>
  <c r="J912" i="8" s="1"/>
  <c r="L912" i="8" s="1"/>
  <c r="H911" i="8"/>
  <c r="I911" i="8" s="1"/>
  <c r="J911" i="8" s="1"/>
  <c r="L911" i="8" s="1"/>
  <c r="H910" i="8"/>
  <c r="I910" i="8" s="1"/>
  <c r="J910" i="8" s="1"/>
  <c r="L910" i="8" s="1"/>
  <c r="M868" i="8"/>
  <c r="F868" i="8"/>
  <c r="H836" i="8"/>
  <c r="I836" i="8" s="1"/>
  <c r="J836" i="8" s="1"/>
  <c r="L836" i="8" s="1"/>
  <c r="H835" i="8"/>
  <c r="I835" i="8" s="1"/>
  <c r="J835" i="8" s="1"/>
  <c r="L835" i="8" s="1"/>
  <c r="H834" i="8"/>
  <c r="I834" i="8" s="1"/>
  <c r="J834" i="8" s="1"/>
  <c r="L834" i="8" s="1"/>
  <c r="M1647" i="8"/>
  <c r="H1617" i="8"/>
  <c r="I1617" i="8" s="1"/>
  <c r="J1617" i="8" s="1"/>
  <c r="L1617" i="8" s="1"/>
  <c r="H1616" i="8"/>
  <c r="I1616" i="8" s="1"/>
  <c r="J1616" i="8" s="1"/>
  <c r="L1616" i="8" s="1"/>
  <c r="H1615" i="8"/>
  <c r="I1615" i="8" s="1"/>
  <c r="J1615" i="8" s="1"/>
  <c r="L1615" i="8" s="1"/>
  <c r="H1614" i="8"/>
  <c r="I1614" i="8" s="1"/>
  <c r="J1614" i="8" s="1"/>
  <c r="L1614" i="8" s="1"/>
  <c r="H1613" i="8"/>
  <c r="I1613" i="8" s="1"/>
  <c r="J1613" i="8" s="1"/>
  <c r="L1613" i="8" s="1"/>
  <c r="H1612" i="8"/>
  <c r="I1612" i="8" s="1"/>
  <c r="J1612" i="8" s="1"/>
  <c r="L1612" i="8" s="1"/>
  <c r="H1611" i="8"/>
  <c r="I1611" i="8" s="1"/>
  <c r="J1611" i="8" s="1"/>
  <c r="L1611" i="8" s="1"/>
  <c r="H1610" i="8"/>
  <c r="I1610" i="8" s="1"/>
  <c r="J1610" i="8" s="1"/>
  <c r="L1610" i="8" s="1"/>
  <c r="H1704" i="8"/>
  <c r="I1704" i="8" s="1"/>
  <c r="J1704" i="8" s="1"/>
  <c r="L1704" i="8" s="1"/>
  <c r="H1703" i="8"/>
  <c r="I1703" i="8" s="1"/>
  <c r="J1703" i="8" s="1"/>
  <c r="L1703" i="8" s="1"/>
  <c r="H1702" i="8"/>
  <c r="I1702" i="8" s="1"/>
  <c r="J1702" i="8" s="1"/>
  <c r="L1702" i="8" s="1"/>
  <c r="M1113" i="8"/>
  <c r="H1055" i="8"/>
  <c r="I1055" i="8" s="1"/>
  <c r="J1055" i="8" s="1"/>
  <c r="L1055" i="8" s="1"/>
  <c r="H1054" i="8"/>
  <c r="I1054" i="8" s="1"/>
  <c r="J1054" i="8" s="1"/>
  <c r="L1054" i="8" s="1"/>
  <c r="H1053" i="8"/>
  <c r="I1053" i="8" s="1"/>
  <c r="J1053" i="8" s="1"/>
  <c r="L1053" i="8" s="1"/>
  <c r="H1052" i="8"/>
  <c r="I1052" i="8" s="1"/>
  <c r="J1052" i="8" s="1"/>
  <c r="L1052" i="8" s="1"/>
  <c r="H1051" i="8"/>
  <c r="I1051" i="8" s="1"/>
  <c r="J1051" i="8" s="1"/>
  <c r="L1051" i="8" s="1"/>
  <c r="H1050" i="8"/>
  <c r="I1050" i="8" s="1"/>
  <c r="J1050" i="8" s="1"/>
  <c r="L1050" i="8" s="1"/>
  <c r="H1048" i="8"/>
  <c r="I1048" i="8" s="1"/>
  <c r="J1048" i="8" s="1"/>
  <c r="L1048" i="8" s="1"/>
  <c r="H1047" i="8"/>
  <c r="I1047" i="8" s="1"/>
  <c r="J1047" i="8" s="1"/>
  <c r="L1047" i="8" s="1"/>
  <c r="H1046" i="8"/>
  <c r="I1046" i="8" s="1"/>
  <c r="J1046" i="8" s="1"/>
  <c r="L1046" i="8" s="1"/>
  <c r="H1045" i="8"/>
  <c r="I1045" i="8" s="1"/>
  <c r="J1045" i="8" s="1"/>
  <c r="L1045" i="8" s="1"/>
  <c r="H1044" i="8"/>
  <c r="I1044" i="8" s="1"/>
  <c r="J1044" i="8" s="1"/>
  <c r="L1044" i="8" s="1"/>
  <c r="H1043" i="8"/>
  <c r="I1043" i="8" s="1"/>
  <c r="J1043" i="8" s="1"/>
  <c r="L1043" i="8" s="1"/>
  <c r="H1042" i="8"/>
  <c r="I1042" i="8" s="1"/>
  <c r="J1042" i="8" s="1"/>
  <c r="L1042" i="8" s="1"/>
  <c r="H1041" i="8"/>
  <c r="I1041" i="8" s="1"/>
  <c r="J1041" i="8" s="1"/>
  <c r="L1041" i="8" s="1"/>
  <c r="H1040" i="8"/>
  <c r="I1040" i="8" s="1"/>
  <c r="J1040" i="8" s="1"/>
  <c r="L1040" i="8" s="1"/>
  <c r="H1039" i="8"/>
  <c r="I1039" i="8" s="1"/>
  <c r="J1039" i="8" s="1"/>
  <c r="L1039" i="8" s="1"/>
  <c r="H1038" i="8"/>
  <c r="I1038" i="8" s="1"/>
  <c r="J1038" i="8" s="1"/>
  <c r="L1038" i="8" s="1"/>
  <c r="H397" i="8"/>
  <c r="I397" i="8" s="1"/>
  <c r="J397" i="8" s="1"/>
  <c r="L397" i="8" s="1"/>
  <c r="H396" i="8"/>
  <c r="I396" i="8" s="1"/>
  <c r="J396" i="8" s="1"/>
  <c r="L396" i="8" s="1"/>
  <c r="H395" i="8"/>
  <c r="I395" i="8" s="1"/>
  <c r="J395" i="8" s="1"/>
  <c r="L395" i="8" s="1"/>
  <c r="H394" i="8"/>
  <c r="I394" i="8" s="1"/>
  <c r="J394" i="8" s="1"/>
  <c r="L394" i="8" s="1"/>
  <c r="H393" i="8"/>
  <c r="I393" i="8" s="1"/>
  <c r="J393" i="8" s="1"/>
  <c r="L393" i="8" s="1"/>
  <c r="H392" i="8"/>
  <c r="I392" i="8" s="1"/>
  <c r="J392" i="8" s="1"/>
  <c r="L392" i="8" s="1"/>
  <c r="H391" i="8"/>
  <c r="I391" i="8" s="1"/>
  <c r="J391" i="8" s="1"/>
  <c r="L391" i="8" s="1"/>
  <c r="H390" i="8"/>
  <c r="I390" i="8" s="1"/>
  <c r="J390" i="8" s="1"/>
  <c r="L390" i="8" s="1"/>
  <c r="H389" i="8"/>
  <c r="I389" i="8" s="1"/>
  <c r="J389" i="8" s="1"/>
  <c r="L389" i="8" s="1"/>
  <c r="H388" i="8"/>
  <c r="I388" i="8" s="1"/>
  <c r="J388" i="8" s="1"/>
  <c r="L388" i="8" s="1"/>
  <c r="H387" i="8"/>
  <c r="I387" i="8" s="1"/>
  <c r="J387" i="8" s="1"/>
  <c r="L387" i="8" s="1"/>
  <c r="H386" i="8"/>
  <c r="I386" i="8" s="1"/>
  <c r="J386" i="8" s="1"/>
  <c r="L386" i="8" s="1"/>
  <c r="H385" i="8"/>
  <c r="I385" i="8" s="1"/>
  <c r="J385" i="8" s="1"/>
  <c r="L385" i="8" s="1"/>
  <c r="H384" i="8"/>
  <c r="I384" i="8" s="1"/>
  <c r="J384" i="8" s="1"/>
  <c r="L384" i="8" s="1"/>
  <c r="H383" i="8"/>
  <c r="I383" i="8" s="1"/>
  <c r="J383" i="8" s="1"/>
  <c r="L383" i="8" s="1"/>
  <c r="H382" i="8"/>
  <c r="I382" i="8" s="1"/>
  <c r="J382" i="8" s="1"/>
  <c r="L382" i="8" s="1"/>
  <c r="H381" i="8"/>
  <c r="I381" i="8" s="1"/>
  <c r="J381" i="8" s="1"/>
  <c r="L381" i="8" s="1"/>
  <c r="H380" i="8"/>
  <c r="I380" i="8" s="1"/>
  <c r="J380" i="8" s="1"/>
  <c r="L380" i="8" s="1"/>
  <c r="H119" i="8"/>
  <c r="H118" i="8"/>
  <c r="H117" i="8"/>
  <c r="J120" i="8"/>
  <c r="M193" i="8"/>
  <c r="F193" i="8"/>
  <c r="H140" i="8"/>
  <c r="I140" i="8" s="1"/>
  <c r="J140" i="8" s="1"/>
  <c r="L140" i="8" s="1"/>
  <c r="H139" i="8"/>
  <c r="I139" i="8" s="1"/>
  <c r="J139" i="8" s="1"/>
  <c r="L139" i="8" s="1"/>
  <c r="I293" i="14" l="1"/>
  <c r="V19" i="2" l="1"/>
  <c r="S19" i="2" l="1"/>
  <c r="T19" i="2" l="1"/>
  <c r="W19" i="2"/>
  <c r="U19" i="2"/>
  <c r="I1413" i="8" l="1"/>
  <c r="J1413" i="8" s="1"/>
  <c r="L1413" i="8" s="1"/>
  <c r="I288" i="8" l="1"/>
  <c r="J288" i="8" s="1"/>
  <c r="G2012" i="8" l="1"/>
  <c r="H2012" i="8"/>
  <c r="K2012" i="8"/>
  <c r="M2012" i="8"/>
  <c r="F2012" i="8"/>
  <c r="G1956" i="8"/>
  <c r="H1956" i="8"/>
  <c r="K1956" i="8"/>
  <c r="M1956" i="8"/>
  <c r="F1956" i="8"/>
  <c r="G1944" i="8"/>
  <c r="H1944" i="8"/>
  <c r="K1944" i="8"/>
  <c r="M1944" i="8"/>
  <c r="F1944" i="8"/>
  <c r="G1725" i="8"/>
  <c r="H1725" i="8"/>
  <c r="K1725" i="8"/>
  <c r="M1725" i="8"/>
  <c r="F1725" i="8"/>
  <c r="G1689" i="8"/>
  <c r="K1689" i="8"/>
  <c r="M1689" i="8"/>
  <c r="F1689" i="8"/>
  <c r="G1451" i="8"/>
  <c r="K1451" i="8"/>
  <c r="M1451" i="8"/>
  <c r="F1451" i="8"/>
  <c r="G1414" i="8"/>
  <c r="K1414" i="8"/>
  <c r="M1414" i="8"/>
  <c r="F1414" i="8"/>
  <c r="G1386" i="8"/>
  <c r="K1386" i="8"/>
  <c r="M1386" i="8"/>
  <c r="F1386" i="8"/>
  <c r="G1317" i="8"/>
  <c r="K1317" i="8"/>
  <c r="M1317" i="8"/>
  <c r="F1317" i="8"/>
  <c r="G1234" i="8"/>
  <c r="K1234" i="8"/>
  <c r="F1234" i="8"/>
  <c r="M100" i="8"/>
  <c r="F100" i="8"/>
  <c r="I377" i="8" l="1"/>
  <c r="J377" i="8" s="1"/>
  <c r="L377" i="8" s="1"/>
  <c r="I376" i="8"/>
  <c r="J376" i="8" s="1"/>
  <c r="L376" i="8" s="1"/>
  <c r="I375" i="8"/>
  <c r="J375" i="8" s="1"/>
  <c r="L375" i="8" s="1"/>
  <c r="I1608" i="8"/>
  <c r="J1608" i="8" s="1"/>
  <c r="L1608" i="8" s="1"/>
  <c r="I1607" i="8"/>
  <c r="J1607" i="8" s="1"/>
  <c r="L1607" i="8" s="1"/>
  <c r="I1606" i="8"/>
  <c r="J1606" i="8" s="1"/>
  <c r="L1606" i="8" s="1"/>
  <c r="I1669" i="8"/>
  <c r="J1669" i="8" s="1"/>
  <c r="L1669" i="8" s="1"/>
  <c r="I1668" i="8"/>
  <c r="J1668" i="8" s="1"/>
  <c r="L1668" i="8" s="1"/>
  <c r="I1667" i="8"/>
  <c r="J1667" i="8" s="1"/>
  <c r="L1667" i="8" s="1"/>
  <c r="I1666" i="8"/>
  <c r="J1666" i="8" s="1"/>
  <c r="L1666" i="8" s="1"/>
  <c r="I1665" i="8"/>
  <c r="J1665" i="8" s="1"/>
  <c r="L1665" i="8" s="1"/>
  <c r="I1604" i="8"/>
  <c r="J1604" i="8" s="1"/>
  <c r="L1604" i="8" s="1"/>
  <c r="I1603" i="8"/>
  <c r="J1603" i="8" s="1"/>
  <c r="L1603" i="8" s="1"/>
  <c r="I1602" i="8"/>
  <c r="J1602" i="8" s="1"/>
  <c r="L1602" i="8" s="1"/>
  <c r="F1113" i="8"/>
  <c r="I1036" i="8"/>
  <c r="J1036" i="8" s="1"/>
  <c r="L1036" i="8" s="1"/>
  <c r="I1035" i="8"/>
  <c r="J1035" i="8" s="1"/>
  <c r="L1035" i="8" s="1"/>
  <c r="I1034" i="8"/>
  <c r="J1034" i="8" s="1"/>
  <c r="L1034" i="8" s="1"/>
  <c r="I1033" i="8"/>
  <c r="J1033" i="8" s="1"/>
  <c r="L1033" i="8" s="1"/>
  <c r="I1032" i="8"/>
  <c r="J1032" i="8" s="1"/>
  <c r="L1032" i="8" s="1"/>
  <c r="I1031" i="8"/>
  <c r="J1031" i="8" s="1"/>
  <c r="L1031" i="8" s="1"/>
  <c r="I1030" i="8"/>
  <c r="J1030" i="8" s="1"/>
  <c r="L1030" i="8" s="1"/>
  <c r="I1029" i="8"/>
  <c r="J1029" i="8" s="1"/>
  <c r="L1029" i="8" s="1"/>
  <c r="I1028" i="8"/>
  <c r="J1028" i="8" s="1"/>
  <c r="L1028" i="8" s="1"/>
  <c r="I1027" i="8"/>
  <c r="J1027" i="8" s="1"/>
  <c r="L1027" i="8" s="1"/>
  <c r="I1026" i="8"/>
  <c r="J1026" i="8" s="1"/>
  <c r="L1026" i="8" s="1"/>
  <c r="I832" i="8"/>
  <c r="J832" i="8" s="1"/>
  <c r="L832" i="8" s="1"/>
  <c r="I831" i="8"/>
  <c r="J831" i="8" s="1"/>
  <c r="L831" i="8" s="1"/>
  <c r="I830" i="8"/>
  <c r="J830" i="8" s="1"/>
  <c r="L830" i="8" s="1"/>
  <c r="I829" i="8"/>
  <c r="J829" i="8" s="1"/>
  <c r="L829" i="8" s="1"/>
  <c r="I828" i="8"/>
  <c r="J828" i="8" s="1"/>
  <c r="L828" i="8" s="1"/>
  <c r="I826" i="8"/>
  <c r="J826" i="8" s="1"/>
  <c r="L826" i="8" s="1"/>
  <c r="I825" i="8"/>
  <c r="J825" i="8" s="1"/>
  <c r="L825" i="8" s="1"/>
  <c r="I824" i="8"/>
  <c r="J824" i="8" s="1"/>
  <c r="L824" i="8" s="1"/>
  <c r="I823" i="8"/>
  <c r="J823" i="8" s="1"/>
  <c r="L823" i="8" s="1"/>
  <c r="I373" i="8"/>
  <c r="J373" i="8" s="1"/>
  <c r="L373" i="8" s="1"/>
  <c r="I372" i="8"/>
  <c r="J372" i="8" s="1"/>
  <c r="L372" i="8" s="1"/>
  <c r="I371" i="8"/>
  <c r="J371" i="8" s="1"/>
  <c r="L371" i="8" s="1"/>
  <c r="I370" i="8"/>
  <c r="J370" i="8" s="1"/>
  <c r="L370" i="8" s="1"/>
  <c r="I369" i="8"/>
  <c r="J369" i="8" s="1"/>
  <c r="L369" i="8" s="1"/>
  <c r="I368" i="8"/>
  <c r="J368" i="8" s="1"/>
  <c r="L368" i="8" s="1"/>
  <c r="I367" i="8"/>
  <c r="J367" i="8" s="1"/>
  <c r="L367" i="8" s="1"/>
  <c r="I366" i="8"/>
  <c r="J366" i="8" s="1"/>
  <c r="L366" i="8" s="1"/>
  <c r="I365" i="8"/>
  <c r="J365" i="8" s="1"/>
  <c r="L365" i="8" s="1"/>
  <c r="I364" i="8"/>
  <c r="J364" i="8" s="1"/>
  <c r="L364" i="8" s="1"/>
  <c r="I363" i="8"/>
  <c r="J363" i="8" s="1"/>
  <c r="L363" i="8" s="1"/>
  <c r="I362" i="8"/>
  <c r="J362" i="8" s="1"/>
  <c r="L362" i="8" s="1"/>
  <c r="I361" i="8"/>
  <c r="J361" i="8" s="1"/>
  <c r="L361" i="8" s="1"/>
  <c r="I360" i="8"/>
  <c r="J360" i="8" s="1"/>
  <c r="L360" i="8" s="1"/>
  <c r="I359" i="8"/>
  <c r="J359" i="8" s="1"/>
  <c r="L359" i="8" s="1"/>
  <c r="I358" i="8"/>
  <c r="J358" i="8" s="1"/>
  <c r="L358" i="8" s="1"/>
  <c r="I357" i="8"/>
  <c r="J357" i="8" s="1"/>
  <c r="L357" i="8" s="1"/>
  <c r="I356" i="8"/>
  <c r="J356" i="8" s="1"/>
  <c r="L356" i="8" s="1"/>
  <c r="I355" i="8"/>
  <c r="J355" i="8" s="1"/>
  <c r="L355" i="8" s="1"/>
  <c r="I137" i="8"/>
  <c r="J137" i="8" s="1"/>
  <c r="L137" i="8" s="1"/>
  <c r="I136" i="8"/>
  <c r="J136" i="8" s="1"/>
  <c r="L136" i="8" s="1"/>
  <c r="I135" i="8"/>
  <c r="J135" i="8" s="1"/>
  <c r="L135" i="8" s="1"/>
  <c r="I134" i="8"/>
  <c r="J134" i="8" s="1"/>
  <c r="L134" i="8" s="1"/>
  <c r="I133" i="8"/>
  <c r="J133" i="8" s="1"/>
  <c r="L133" i="8" s="1"/>
  <c r="I132" i="8"/>
  <c r="J132" i="8" s="1"/>
  <c r="L132" i="8" s="1"/>
  <c r="I131" i="8"/>
  <c r="J131" i="8" s="1"/>
  <c r="L131" i="8" s="1"/>
  <c r="I130" i="8"/>
  <c r="J130" i="8" s="1"/>
  <c r="L130" i="8" s="1"/>
  <c r="I129" i="8"/>
  <c r="J129" i="8" s="1"/>
  <c r="L129" i="8" s="1"/>
  <c r="I128" i="8"/>
  <c r="J128" i="8" s="1"/>
  <c r="L128" i="8" s="1"/>
  <c r="I127" i="8"/>
  <c r="J127" i="8" s="1"/>
  <c r="L127" i="8" s="1"/>
  <c r="I126" i="8"/>
  <c r="J126" i="8" s="1"/>
  <c r="L126" i="8" s="1"/>
  <c r="I125" i="8"/>
  <c r="J125" i="8" s="1"/>
  <c r="L125" i="8" s="1"/>
  <c r="I124" i="8"/>
  <c r="J124" i="8" s="1"/>
  <c r="L124" i="8" s="1"/>
  <c r="I123" i="8"/>
  <c r="J123" i="8" s="1"/>
  <c r="L123" i="8" s="1"/>
  <c r="I122" i="8"/>
  <c r="J122" i="8" s="1"/>
  <c r="L122" i="8" s="1"/>
  <c r="I121" i="8"/>
  <c r="J121" i="8" s="1"/>
  <c r="L121" i="8" s="1"/>
  <c r="J1598" i="8" l="1"/>
  <c r="L1598" i="8" s="1"/>
  <c r="J1597" i="8"/>
  <c r="L1597" i="8" s="1"/>
  <c r="J1596" i="8"/>
  <c r="L1596" i="8" s="1"/>
  <c r="J1595" i="8"/>
  <c r="L1595" i="8" s="1"/>
  <c r="J1594" i="8"/>
  <c r="L1594" i="8" s="1"/>
  <c r="J1593" i="8"/>
  <c r="L1593" i="8" s="1"/>
  <c r="J1592" i="8"/>
  <c r="L1592" i="8" s="1"/>
  <c r="J1591" i="8"/>
  <c r="L1591" i="8" s="1"/>
  <c r="J1589" i="8"/>
  <c r="L1589" i="8" s="1"/>
  <c r="P16" i="2" l="1"/>
  <c r="N16" i="2"/>
  <c r="L16" i="2"/>
  <c r="H16" i="2"/>
  <c r="G16" i="2"/>
  <c r="E16" i="2"/>
  <c r="T16" i="2" l="1"/>
  <c r="S16" i="2"/>
  <c r="I267" i="14"/>
  <c r="I353" i="8" l="1"/>
  <c r="I352" i="8"/>
  <c r="I351" i="8" l="1"/>
  <c r="I350" i="8"/>
  <c r="I349" i="8"/>
  <c r="I119" i="8"/>
  <c r="J119" i="8" s="1"/>
  <c r="L119" i="8" s="1"/>
  <c r="I118" i="8"/>
  <c r="J118" i="8" s="1"/>
  <c r="L118" i="8" s="1"/>
  <c r="I117" i="8"/>
  <c r="F1587" i="8"/>
  <c r="F1647" i="8" l="1"/>
  <c r="J117" i="8"/>
  <c r="L117" i="8" s="1"/>
  <c r="I779" i="8" l="1"/>
  <c r="J779" i="8" s="1"/>
  <c r="L779" i="8" s="1"/>
  <c r="I778" i="8"/>
  <c r="J778" i="8" s="1"/>
  <c r="L778" i="8" s="1"/>
  <c r="I776" i="8"/>
  <c r="J776" i="8" s="1"/>
  <c r="L776" i="8" s="1"/>
  <c r="I775" i="8"/>
  <c r="J775" i="8" s="1"/>
  <c r="L775" i="8" s="1"/>
  <c r="I774" i="8"/>
  <c r="J774" i="8" s="1"/>
  <c r="L774" i="8" s="1"/>
  <c r="I781" i="8" l="1"/>
  <c r="J781" i="8" s="1"/>
  <c r="L781" i="8" s="1"/>
  <c r="I782" i="8"/>
  <c r="J782" i="8" s="1"/>
  <c r="L782" i="8" s="1"/>
  <c r="I783" i="8"/>
  <c r="J783" i="8" s="1"/>
  <c r="L783" i="8" s="1"/>
  <c r="L784" i="8"/>
  <c r="I785" i="8"/>
  <c r="J785" i="8" s="1"/>
  <c r="L785" i="8" s="1"/>
  <c r="I786" i="8"/>
  <c r="J786" i="8" s="1"/>
  <c r="L786" i="8" s="1"/>
  <c r="I787" i="8"/>
  <c r="J787" i="8" s="1"/>
  <c r="L787" i="8" s="1"/>
  <c r="I788" i="8"/>
  <c r="J788" i="8" s="1"/>
  <c r="L788" i="8" s="1"/>
  <c r="I789" i="8"/>
  <c r="J789" i="8" s="1"/>
  <c r="L789" i="8" s="1"/>
  <c r="L790" i="8"/>
  <c r="I791" i="8"/>
  <c r="J791" i="8" s="1"/>
  <c r="L791" i="8" s="1"/>
  <c r="I792" i="8"/>
  <c r="J792" i="8" s="1"/>
  <c r="L792" i="8" s="1"/>
  <c r="I793" i="8"/>
  <c r="J793" i="8" s="1"/>
  <c r="L793" i="8" s="1"/>
  <c r="I242" i="14" l="1"/>
  <c r="I115" i="8" l="1"/>
  <c r="J115" i="8" s="1"/>
  <c r="L115" i="8" s="1"/>
  <c r="I114" i="8"/>
  <c r="J114" i="8" s="1"/>
  <c r="L114" i="8" s="1"/>
  <c r="I113" i="8"/>
  <c r="J113" i="8" s="1"/>
  <c r="L113" i="8" s="1"/>
  <c r="I112" i="8"/>
  <c r="J112" i="8" s="1"/>
  <c r="L112" i="8" s="1"/>
  <c r="I111" i="8"/>
  <c r="J111" i="8" s="1"/>
  <c r="L111" i="8" s="1"/>
  <c r="I110" i="8"/>
  <c r="J110" i="8" s="1"/>
  <c r="L110" i="8" s="1"/>
  <c r="I109" i="8"/>
  <c r="J109" i="8" s="1"/>
  <c r="L109" i="8" s="1"/>
  <c r="I108" i="8"/>
  <c r="J108" i="8" s="1"/>
  <c r="L108" i="8" s="1"/>
  <c r="I347" i="8"/>
  <c r="J347" i="8" s="1"/>
  <c r="L347" i="8" s="1"/>
  <c r="I346" i="8"/>
  <c r="J346" i="8" s="1"/>
  <c r="L346" i="8" s="1"/>
  <c r="I345" i="8"/>
  <c r="J345" i="8" s="1"/>
  <c r="L345" i="8" s="1"/>
  <c r="I344" i="8"/>
  <c r="J344" i="8" s="1"/>
  <c r="L344" i="8" s="1"/>
  <c r="I343" i="8"/>
  <c r="J343" i="8" s="1"/>
  <c r="L343" i="8" s="1"/>
  <c r="I198" i="14" l="1"/>
  <c r="I620" i="14" s="1"/>
  <c r="H1174" i="8" l="1"/>
  <c r="I1174" i="8" s="1"/>
  <c r="J1174" i="8" s="1"/>
  <c r="L1174" i="8" s="1"/>
  <c r="H1173" i="8"/>
  <c r="I1173" i="8" s="1"/>
  <c r="J1173" i="8" s="1"/>
  <c r="L1173" i="8" s="1"/>
  <c r="H1172" i="8"/>
  <c r="I1172" i="8" s="1"/>
  <c r="J1172" i="8" s="1"/>
  <c r="L1172" i="8" s="1"/>
  <c r="H1171" i="8"/>
  <c r="I1171" i="8" s="1"/>
  <c r="J1171" i="8" s="1"/>
  <c r="L1171" i="8" s="1"/>
  <c r="H1170" i="8"/>
  <c r="I1170" i="8" s="1"/>
  <c r="J1170" i="8" s="1"/>
  <c r="L1170" i="8" s="1"/>
  <c r="H1169" i="8"/>
  <c r="I1169" i="8" s="1"/>
  <c r="J1169" i="8" s="1"/>
  <c r="L1169" i="8" s="1"/>
  <c r="H1168" i="8"/>
  <c r="I1168" i="8" s="1"/>
  <c r="J1168" i="8" s="1"/>
  <c r="L1168" i="8" s="1"/>
  <c r="H1167" i="8"/>
  <c r="I1167" i="8" s="1"/>
  <c r="J1167" i="8" s="1"/>
  <c r="L1167" i="8" s="1"/>
  <c r="H1166" i="8"/>
  <c r="I1166" i="8" s="1"/>
  <c r="J1166" i="8" s="1"/>
  <c r="L1166" i="8" s="1"/>
  <c r="H1165" i="8"/>
  <c r="I1165" i="8" s="1"/>
  <c r="J1165" i="8" s="1"/>
  <c r="L1165" i="8" s="1"/>
  <c r="H1164" i="8"/>
  <c r="I1164" i="8" s="1"/>
  <c r="J1164" i="8" s="1"/>
  <c r="L1164" i="8" s="1"/>
  <c r="H1163" i="8"/>
  <c r="I1163" i="8" s="1"/>
  <c r="J1163" i="8" s="1"/>
  <c r="L1163" i="8" s="1"/>
  <c r="H1162" i="8"/>
  <c r="I1162" i="8" s="1"/>
  <c r="J1162" i="8" s="1"/>
  <c r="L1162" i="8" s="1"/>
  <c r="H1161" i="8"/>
  <c r="I1161" i="8" s="1"/>
  <c r="J1161" i="8" s="1"/>
  <c r="L1161" i="8" s="1"/>
  <c r="H1349" i="8"/>
  <c r="I1349" i="8" s="1"/>
  <c r="J1349" i="8" s="1"/>
  <c r="L1349" i="8" s="1"/>
  <c r="I341" i="8" l="1"/>
  <c r="J341" i="8" s="1"/>
  <c r="L341" i="8" s="1"/>
  <c r="I340" i="8"/>
  <c r="J340" i="8" s="1"/>
  <c r="L340" i="8" s="1"/>
  <c r="E21" i="18" l="1"/>
  <c r="F21" i="18"/>
  <c r="G21" i="18"/>
  <c r="H21" i="18"/>
  <c r="I21" i="18"/>
  <c r="J21" i="18"/>
  <c r="E22" i="18"/>
  <c r="F22" i="18"/>
  <c r="G22" i="18"/>
  <c r="H22" i="18"/>
  <c r="I22" i="18"/>
  <c r="E23" i="18"/>
  <c r="F23" i="18"/>
  <c r="G23" i="18"/>
  <c r="H23" i="18"/>
  <c r="I23" i="18"/>
  <c r="J23" i="18"/>
  <c r="E24" i="18"/>
  <c r="F24" i="18"/>
  <c r="G24" i="18"/>
  <c r="H24" i="18"/>
  <c r="I24" i="18"/>
  <c r="J24" i="18"/>
  <c r="D24" i="18"/>
  <c r="D23" i="18"/>
  <c r="D22" i="18"/>
  <c r="D21" i="18"/>
  <c r="D26" i="18" l="1"/>
  <c r="D28" i="18" s="1"/>
  <c r="G26" i="18"/>
  <c r="G28" i="18" s="1"/>
  <c r="F26" i="18"/>
  <c r="F28" i="18" s="1"/>
  <c r="I26" i="18"/>
  <c r="I28" i="18" s="1"/>
  <c r="E26" i="18"/>
  <c r="E28" i="18" s="1"/>
  <c r="H26" i="18"/>
  <c r="H28" i="18" s="1"/>
  <c r="J22" i="18" l="1"/>
  <c r="J26" i="18" s="1"/>
  <c r="J28" i="18" s="1"/>
  <c r="I106" i="8" l="1"/>
  <c r="J106" i="8" s="1"/>
  <c r="L106" i="8" s="1"/>
  <c r="I1777" i="8"/>
  <c r="J1777" i="8" s="1"/>
  <c r="L1777" i="8" s="1"/>
  <c r="I1776" i="8"/>
  <c r="J1776" i="8" s="1"/>
  <c r="L1776" i="8" s="1"/>
  <c r="I1775" i="8"/>
  <c r="J1775" i="8" s="1"/>
  <c r="L1775" i="8" s="1"/>
  <c r="I1774" i="8"/>
  <c r="J1774" i="8" s="1"/>
  <c r="L1774" i="8" s="1"/>
  <c r="I1773" i="8"/>
  <c r="J1773" i="8" s="1"/>
  <c r="L1773" i="8" s="1"/>
  <c r="I1772" i="8"/>
  <c r="J1772" i="8" s="1"/>
  <c r="L1772" i="8" s="1"/>
  <c r="I1441" i="8"/>
  <c r="J1441" i="8" s="1"/>
  <c r="L1441" i="8" s="1"/>
  <c r="I1440" i="8"/>
  <c r="J1440" i="8" s="1"/>
  <c r="L1440" i="8" s="1"/>
  <c r="I1439" i="8"/>
  <c r="J1439" i="8" s="1"/>
  <c r="L1439" i="8" s="1"/>
  <c r="I1438" i="8"/>
  <c r="J1438" i="8" s="1"/>
  <c r="L1438" i="8" s="1"/>
  <c r="I1437" i="8"/>
  <c r="J1437" i="8" s="1"/>
  <c r="L1437" i="8" s="1"/>
  <c r="I1436" i="8"/>
  <c r="J1436" i="8" s="1"/>
  <c r="L1436" i="8" s="1"/>
  <c r="I1435" i="8"/>
  <c r="J1435" i="8" s="1"/>
  <c r="L1435" i="8" s="1"/>
  <c r="I1434" i="8"/>
  <c r="J1434" i="8" s="1"/>
  <c r="L1434" i="8" s="1"/>
  <c r="I1663" i="8"/>
  <c r="J1663" i="8" s="1"/>
  <c r="L1663" i="8" s="1"/>
  <c r="I1662" i="8"/>
  <c r="J1662" i="8" s="1"/>
  <c r="L1662" i="8" s="1"/>
  <c r="I1661" i="8"/>
  <c r="J1661" i="8" s="1"/>
  <c r="L1661" i="8" s="1"/>
  <c r="I1660" i="8"/>
  <c r="J1660" i="8" s="1"/>
  <c r="L1660" i="8" s="1"/>
  <c r="I1659" i="8"/>
  <c r="J1659" i="8" s="1"/>
  <c r="L1659" i="8" s="1"/>
  <c r="I1658" i="8"/>
  <c r="J1658" i="8" s="1"/>
  <c r="L1658" i="8" s="1"/>
  <c r="I1159" i="8"/>
  <c r="J1159" i="8" s="1"/>
  <c r="L1159" i="8" s="1"/>
  <c r="I1158" i="8"/>
  <c r="J1158" i="8" s="1"/>
  <c r="L1158" i="8" s="1"/>
  <c r="I1157" i="8"/>
  <c r="J1157" i="8" s="1"/>
  <c r="L1157" i="8" s="1"/>
  <c r="I1156" i="8"/>
  <c r="J1156" i="8" s="1"/>
  <c r="L1156" i="8" s="1"/>
  <c r="I1155" i="8"/>
  <c r="J1155" i="8" s="1"/>
  <c r="L1155" i="8" s="1"/>
  <c r="I1154" i="8"/>
  <c r="J1154" i="8" s="1"/>
  <c r="L1154" i="8" s="1"/>
  <c r="I1153" i="8"/>
  <c r="J1153" i="8" s="1"/>
  <c r="L1153" i="8" s="1"/>
  <c r="I1152" i="8"/>
  <c r="J1152" i="8" s="1"/>
  <c r="L1152" i="8" s="1"/>
  <c r="I1148" i="8"/>
  <c r="J1148" i="8" s="1"/>
  <c r="L1148" i="8" s="1"/>
  <c r="I1147" i="8"/>
  <c r="J1147" i="8" s="1"/>
  <c r="L1147" i="8" s="1"/>
  <c r="I1146" i="8"/>
  <c r="J1146" i="8" s="1"/>
  <c r="L1146" i="8" s="1"/>
  <c r="I1145" i="8"/>
  <c r="J1145" i="8" s="1"/>
  <c r="L1145" i="8" s="1"/>
  <c r="I1144" i="8"/>
  <c r="J1144" i="8" s="1"/>
  <c r="L1144" i="8" s="1"/>
  <c r="I1143" i="8"/>
  <c r="J1143" i="8" s="1"/>
  <c r="L1143" i="8" s="1"/>
  <c r="I1142" i="8"/>
  <c r="J1142" i="8" s="1"/>
  <c r="L1142" i="8" s="1"/>
  <c r="I1141" i="8"/>
  <c r="J1141" i="8" s="1"/>
  <c r="L1141" i="8" s="1"/>
  <c r="I1140" i="8"/>
  <c r="J1140" i="8" s="1"/>
  <c r="L1140" i="8" s="1"/>
  <c r="I1347" i="8"/>
  <c r="J1347" i="8" s="1"/>
  <c r="L1347" i="8" s="1"/>
  <c r="I1346" i="8"/>
  <c r="J1346" i="8" s="1"/>
  <c r="L1346" i="8" s="1"/>
  <c r="I1345" i="8"/>
  <c r="J1345" i="8" s="1"/>
  <c r="L1345" i="8" s="1"/>
  <c r="I1344" i="8"/>
  <c r="J1344" i="8" s="1"/>
  <c r="L1344" i="8" s="1"/>
  <c r="I1343" i="8"/>
  <c r="J1343" i="8" s="1"/>
  <c r="L1343" i="8" s="1"/>
  <c r="I1342" i="8"/>
  <c r="J1342" i="8" s="1"/>
  <c r="L1342" i="8" s="1"/>
  <c r="I1341" i="8"/>
  <c r="J1341" i="8" s="1"/>
  <c r="L1341" i="8" s="1"/>
  <c r="I1340" i="8"/>
  <c r="J1340" i="8" s="1"/>
  <c r="L1340" i="8" s="1"/>
  <c r="I1339" i="8"/>
  <c r="J1339" i="8" s="1"/>
  <c r="L1339" i="8" s="1"/>
  <c r="I1338" i="8"/>
  <c r="J1338" i="8" s="1"/>
  <c r="L1338" i="8" s="1"/>
  <c r="I1412" i="8"/>
  <c r="J1412" i="8" s="1"/>
  <c r="L1412" i="8" s="1"/>
  <c r="I1411" i="8"/>
  <c r="J1411" i="8" s="1"/>
  <c r="L1411" i="8" s="1"/>
  <c r="I1410" i="8"/>
  <c r="J1410" i="8" s="1"/>
  <c r="L1410" i="8" s="1"/>
  <c r="I1251" i="8"/>
  <c r="J1251" i="8" s="1"/>
  <c r="L1251" i="8" s="1"/>
  <c r="I908" i="8"/>
  <c r="J908" i="8" s="1"/>
  <c r="L908" i="8" s="1"/>
  <c r="I907" i="8"/>
  <c r="J907" i="8" s="1"/>
  <c r="L907" i="8" s="1"/>
  <c r="I906" i="8"/>
  <c r="J906" i="8" s="1"/>
  <c r="L906" i="8" s="1"/>
  <c r="I905" i="8"/>
  <c r="J905" i="8" s="1"/>
  <c r="L905" i="8" s="1"/>
  <c r="I904" i="8"/>
  <c r="J904" i="8" s="1"/>
  <c r="L904" i="8" s="1"/>
  <c r="I903" i="8"/>
  <c r="J903" i="8" s="1"/>
  <c r="L903" i="8" s="1"/>
  <c r="I902" i="8"/>
  <c r="J902" i="8" s="1"/>
  <c r="L902" i="8" s="1"/>
  <c r="I901" i="8"/>
  <c r="J901" i="8" s="1"/>
  <c r="L901" i="8" s="1"/>
  <c r="I821" i="8"/>
  <c r="J821" i="8" s="1"/>
  <c r="L821" i="8" s="1"/>
  <c r="I820" i="8"/>
  <c r="J820" i="8" s="1"/>
  <c r="L820" i="8" s="1"/>
  <c r="I819" i="8"/>
  <c r="J819" i="8" s="1"/>
  <c r="L819" i="8" s="1"/>
  <c r="I338" i="8"/>
  <c r="J338" i="8" s="1"/>
  <c r="L338" i="8" s="1"/>
  <c r="I337" i="8"/>
  <c r="J337" i="8" s="1"/>
  <c r="L337" i="8" s="1"/>
  <c r="I336" i="8"/>
  <c r="J336" i="8" s="1"/>
  <c r="L336" i="8" s="1"/>
  <c r="I335" i="8"/>
  <c r="J335" i="8" s="1"/>
  <c r="L335" i="8" s="1"/>
  <c r="I333" i="8"/>
  <c r="J333" i="8" s="1"/>
  <c r="L333" i="8" s="1"/>
  <c r="I332" i="8"/>
  <c r="J332" i="8" s="1"/>
  <c r="L332" i="8" s="1"/>
  <c r="I331" i="8"/>
  <c r="J331" i="8" s="1"/>
  <c r="L331" i="8" s="1"/>
  <c r="I330" i="8"/>
  <c r="J330" i="8" s="1"/>
  <c r="L330" i="8" s="1"/>
  <c r="I328" i="8"/>
  <c r="J328" i="8" s="1"/>
  <c r="L328" i="8" s="1"/>
  <c r="I105" i="8"/>
  <c r="J105" i="8" s="1"/>
  <c r="L105" i="8" s="1"/>
  <c r="I326" i="8"/>
  <c r="J326" i="8" s="1"/>
  <c r="L326" i="8" s="1"/>
  <c r="I325" i="8"/>
  <c r="J325" i="8" s="1"/>
  <c r="L325" i="8" s="1"/>
  <c r="I324" i="8"/>
  <c r="J324" i="8" s="1"/>
  <c r="L324" i="8" s="1"/>
  <c r="L193" i="8" l="1"/>
  <c r="P13" i="2" l="1"/>
  <c r="N13" i="2"/>
  <c r="M13" i="2"/>
  <c r="L13" i="2"/>
  <c r="H13" i="2"/>
  <c r="R1577" i="8" l="1"/>
  <c r="O13" i="2" l="1"/>
  <c r="S13" i="2" s="1"/>
  <c r="J16" i="18" l="1"/>
  <c r="J18" i="18" s="1"/>
  <c r="J245" i="19" l="1"/>
  <c r="H1556" i="8" l="1"/>
  <c r="I1556" i="8" s="1"/>
  <c r="J1556" i="8" s="1"/>
  <c r="L1556" i="8" s="1"/>
  <c r="H1555" i="8"/>
  <c r="I1555" i="8" s="1"/>
  <c r="J1555" i="8" s="1"/>
  <c r="L1555" i="8" s="1"/>
  <c r="H1554" i="8"/>
  <c r="I1554" i="8" s="1"/>
  <c r="J1554" i="8" s="1"/>
  <c r="L1554" i="8" s="1"/>
  <c r="H1553" i="8"/>
  <c r="I1553" i="8" s="1"/>
  <c r="J1553" i="8" s="1"/>
  <c r="L1553" i="8" s="1"/>
  <c r="H1552" i="8"/>
  <c r="I1552" i="8" s="1"/>
  <c r="J1552" i="8" s="1"/>
  <c r="L1552" i="8" s="1"/>
  <c r="H1551" i="8"/>
  <c r="I1551" i="8" s="1"/>
  <c r="J1551" i="8" s="1"/>
  <c r="L1551" i="8" s="1"/>
  <c r="H1550" i="8"/>
  <c r="I1550" i="8" s="1"/>
  <c r="J1550" i="8" s="1"/>
  <c r="L1550" i="8" s="1"/>
  <c r="H1549" i="8" l="1"/>
  <c r="I1549" i="8" s="1"/>
  <c r="J1549" i="8" s="1"/>
  <c r="L1549" i="8" s="1"/>
  <c r="I1582" i="8" l="1"/>
  <c r="J1582" i="8" s="1"/>
  <c r="L1582" i="8" s="1"/>
  <c r="I1581" i="8"/>
  <c r="J1581" i="8" s="1"/>
  <c r="L1581" i="8" s="1"/>
  <c r="I1580" i="8"/>
  <c r="J1580" i="8" s="1"/>
  <c r="L1580" i="8" s="1"/>
  <c r="I1579" i="8"/>
  <c r="J1579" i="8" s="1"/>
  <c r="L1579" i="8" s="1"/>
  <c r="I1578" i="8"/>
  <c r="J1578" i="8" s="1"/>
  <c r="L1578" i="8" s="1"/>
  <c r="I1577" i="8"/>
  <c r="J1577" i="8" s="1"/>
  <c r="L1577" i="8" s="1"/>
  <c r="I1576" i="8"/>
  <c r="J1576" i="8" s="1"/>
  <c r="L1576" i="8" s="1"/>
  <c r="I1575" i="8"/>
  <c r="J1575" i="8" s="1"/>
  <c r="L1575" i="8" s="1"/>
  <c r="I1574" i="8"/>
  <c r="J1574" i="8" s="1"/>
  <c r="L1574" i="8" s="1"/>
  <c r="I1573" i="8"/>
  <c r="J1573" i="8" s="1"/>
  <c r="L1573" i="8" s="1"/>
  <c r="I1572" i="8"/>
  <c r="J1572" i="8" s="1"/>
  <c r="L1572" i="8" s="1"/>
  <c r="I1571" i="8"/>
  <c r="J1571" i="8" s="1"/>
  <c r="L1571" i="8" s="1"/>
  <c r="I1570" i="8"/>
  <c r="J1570" i="8" s="1"/>
  <c r="L1570" i="8" s="1"/>
  <c r="I1569" i="8"/>
  <c r="J1569" i="8" s="1"/>
  <c r="L1569" i="8" s="1"/>
  <c r="I1568" i="8"/>
  <c r="J1568" i="8" s="1"/>
  <c r="L1568" i="8" s="1"/>
  <c r="I1567" i="8"/>
  <c r="J1567" i="8" s="1"/>
  <c r="L1567" i="8" s="1"/>
  <c r="I1566" i="8"/>
  <c r="J1566" i="8" s="1"/>
  <c r="L1566" i="8" s="1"/>
  <c r="I1565" i="8"/>
  <c r="J1565" i="8" s="1"/>
  <c r="L1565" i="8" s="1"/>
  <c r="I1564" i="8"/>
  <c r="J1564" i="8" s="1"/>
  <c r="L1564" i="8" s="1"/>
  <c r="I1563" i="8"/>
  <c r="J1563" i="8" s="1"/>
  <c r="L1563" i="8" s="1"/>
  <c r="I1562" i="8"/>
  <c r="J1562" i="8" s="1"/>
  <c r="L1562" i="8" s="1"/>
  <c r="I1561" i="8"/>
  <c r="J1561" i="8" s="1"/>
  <c r="L1561" i="8" s="1"/>
  <c r="I1560" i="8"/>
  <c r="J1560" i="8" s="1"/>
  <c r="L1560" i="8" s="1"/>
  <c r="I1559" i="8"/>
  <c r="J1559" i="8" s="1"/>
  <c r="L1559" i="8" s="1"/>
  <c r="H1558" i="8"/>
  <c r="I1558" i="8" s="1"/>
  <c r="J1558" i="8" s="1"/>
  <c r="L1558" i="8" s="1"/>
  <c r="L877" i="8" l="1"/>
  <c r="L1515" i="8"/>
  <c r="H1509" i="8"/>
  <c r="I1509" i="8" s="1"/>
  <c r="J1509" i="8" s="1"/>
  <c r="L1120" i="8" l="1"/>
  <c r="I9" i="8" l="1"/>
  <c r="J9" i="8" s="1"/>
  <c r="I271" i="8" l="1"/>
  <c r="J271" i="8" s="1"/>
  <c r="L271" i="8" s="1"/>
  <c r="L7" i="8" l="1"/>
  <c r="L8" i="8"/>
  <c r="L10" i="8"/>
  <c r="L13" i="8"/>
  <c r="L19" i="8"/>
  <c r="L21" i="8"/>
  <c r="L26" i="8"/>
  <c r="L100" i="8"/>
  <c r="L196" i="8"/>
  <c r="L197" i="8"/>
  <c r="L198" i="8"/>
  <c r="L199" i="8"/>
  <c r="L203" i="8"/>
  <c r="L207" i="8"/>
  <c r="L222" i="8"/>
  <c r="L229" i="8"/>
  <c r="L238" i="8"/>
  <c r="L243" i="8"/>
  <c r="L245" i="8"/>
  <c r="L248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82" i="8"/>
  <c r="L295" i="8"/>
  <c r="L794" i="8"/>
  <c r="L798" i="8"/>
  <c r="L815" i="8"/>
  <c r="L817" i="8"/>
  <c r="L869" i="8"/>
  <c r="L873" i="8"/>
  <c r="L876" i="8"/>
  <c r="L878" i="8"/>
  <c r="L882" i="8"/>
  <c r="L1000" i="8"/>
  <c r="L1001" i="8"/>
  <c r="L1002" i="8"/>
  <c r="L1003" i="8"/>
  <c r="L1004" i="8"/>
  <c r="L1005" i="8"/>
  <c r="L1021" i="8"/>
  <c r="L1114" i="8"/>
  <c r="L1118" i="8"/>
  <c r="L1125" i="8"/>
  <c r="L1126" i="8"/>
  <c r="L1130" i="8"/>
  <c r="L1131" i="8"/>
  <c r="L1132" i="8"/>
  <c r="L1133" i="8"/>
  <c r="L1139" i="8"/>
  <c r="L1235" i="8"/>
  <c r="L1238" i="8"/>
  <c r="L1241" i="8"/>
  <c r="L1248" i="8"/>
  <c r="L1318" i="8"/>
  <c r="L1320" i="8"/>
  <c r="L1322" i="8"/>
  <c r="L1326" i="8"/>
  <c r="L1331" i="8"/>
  <c r="L1336" i="8"/>
  <c r="L1393" i="8"/>
  <c r="L1418" i="8"/>
  <c r="L1429" i="8"/>
  <c r="L1430" i="8"/>
  <c r="L1431" i="8"/>
  <c r="L1432" i="8"/>
  <c r="L1457" i="8"/>
  <c r="L1513" i="8"/>
  <c r="L1514" i="8"/>
  <c r="L1461" i="8"/>
  <c r="L1463" i="8"/>
  <c r="L1465" i="8"/>
  <c r="L1466" i="8"/>
  <c r="L1467" i="8"/>
  <c r="L1468" i="8"/>
  <c r="L1469" i="8"/>
  <c r="L1470" i="8"/>
  <c r="L1471" i="8"/>
  <c r="L1472" i="8"/>
  <c r="L1475" i="8"/>
  <c r="L1486" i="8"/>
  <c r="L1503" i="8"/>
  <c r="L1516" i="8"/>
  <c r="L1530" i="8"/>
  <c r="L1531" i="8"/>
  <c r="L1532" i="8"/>
  <c r="L1533" i="8"/>
  <c r="L1534" i="8"/>
  <c r="L1535" i="8"/>
  <c r="L1652" i="8"/>
  <c r="L1692" i="8"/>
  <c r="L1693" i="8"/>
  <c r="L1694" i="8"/>
  <c r="L1726" i="8"/>
  <c r="L1727" i="8"/>
  <c r="L1728" i="8"/>
  <c r="L1766" i="8"/>
  <c r="L1767" i="8"/>
  <c r="L1768" i="8"/>
  <c r="L1769" i="8"/>
  <c r="L1770" i="8"/>
  <c r="L1945" i="8"/>
  <c r="L1946" i="8"/>
  <c r="L1947" i="8"/>
  <c r="L1948" i="8"/>
  <c r="L1949" i="8"/>
  <c r="L1950" i="8"/>
  <c r="L1951" i="8"/>
  <c r="L1952" i="8"/>
  <c r="L1953" i="8"/>
  <c r="L1954" i="8"/>
  <c r="L1955" i="8"/>
  <c r="L1957" i="8"/>
  <c r="L1962" i="8"/>
  <c r="L1963" i="8"/>
  <c r="L1978" i="8"/>
  <c r="L1995" i="8"/>
  <c r="L1999" i="8"/>
  <c r="B142" i="3" l="1"/>
  <c r="B143" i="3" s="1"/>
  <c r="B144" i="3" s="1"/>
  <c r="E1648" i="8"/>
  <c r="E1452" i="8"/>
  <c r="E1387" i="8" l="1"/>
  <c r="E1114" i="8"/>
  <c r="M1415" i="8" l="1"/>
  <c r="M1318" i="8"/>
  <c r="I808" i="8"/>
  <c r="J808" i="8" s="1"/>
  <c r="L808" i="8" s="1"/>
  <c r="I809" i="8"/>
  <c r="J809" i="8" s="1"/>
  <c r="L809" i="8" s="1"/>
  <c r="I322" i="8" l="1"/>
  <c r="J322" i="8" s="1"/>
  <c r="L322" i="8" s="1"/>
  <c r="I321" i="8"/>
  <c r="J321" i="8" s="1"/>
  <c r="L321" i="8" s="1"/>
  <c r="I320" i="8"/>
  <c r="J320" i="8" s="1"/>
  <c r="L320" i="8" s="1"/>
  <c r="I319" i="8"/>
  <c r="J319" i="8" s="1"/>
  <c r="L319" i="8" s="1"/>
  <c r="I318" i="8"/>
  <c r="J318" i="8" s="1"/>
  <c r="L318" i="8" s="1"/>
  <c r="I317" i="8"/>
  <c r="J317" i="8" s="1"/>
  <c r="L317" i="8" s="1"/>
  <c r="I316" i="8"/>
  <c r="J316" i="8" s="1"/>
  <c r="L316" i="8" s="1"/>
  <c r="I315" i="8"/>
  <c r="J315" i="8" s="1"/>
  <c r="L315" i="8" s="1"/>
  <c r="I314" i="8"/>
  <c r="J314" i="8" s="1"/>
  <c r="L314" i="8" s="1"/>
  <c r="I313" i="8"/>
  <c r="J313" i="8" s="1"/>
  <c r="L313" i="8" s="1"/>
  <c r="I312" i="8"/>
  <c r="J312" i="8" s="1"/>
  <c r="L312" i="8" s="1"/>
  <c r="I311" i="8"/>
  <c r="J311" i="8" s="1"/>
  <c r="L311" i="8" s="1"/>
  <c r="I310" i="8"/>
  <c r="J310" i="8" s="1"/>
  <c r="L310" i="8" s="1"/>
  <c r="I309" i="8"/>
  <c r="J309" i="8" s="1"/>
  <c r="L309" i="8" s="1"/>
  <c r="I308" i="8"/>
  <c r="J308" i="8" s="1"/>
  <c r="L308" i="8" s="1"/>
  <c r="I307" i="8"/>
  <c r="J307" i="8" s="1"/>
  <c r="L307" i="8" s="1"/>
  <c r="I306" i="8"/>
  <c r="J306" i="8" s="1"/>
  <c r="L306" i="8" s="1"/>
  <c r="I305" i="8"/>
  <c r="J305" i="8" s="1"/>
  <c r="L305" i="8" s="1"/>
  <c r="I304" i="8"/>
  <c r="J304" i="8" s="1"/>
  <c r="L304" i="8" s="1"/>
  <c r="I303" i="8"/>
  <c r="J303" i="8" s="1"/>
  <c r="L303" i="8" s="1"/>
  <c r="I302" i="8"/>
  <c r="J302" i="8" s="1"/>
  <c r="L302" i="8" s="1"/>
  <c r="I301" i="8"/>
  <c r="J301" i="8" s="1"/>
  <c r="L301" i="8" s="1"/>
  <c r="I300" i="8"/>
  <c r="J300" i="8" s="1"/>
  <c r="L300" i="8" s="1"/>
  <c r="I299" i="8"/>
  <c r="J299" i="8" s="1"/>
  <c r="L299" i="8" s="1"/>
  <c r="I298" i="8"/>
  <c r="J298" i="8" s="1"/>
  <c r="L298" i="8" s="1"/>
  <c r="I297" i="8"/>
  <c r="J297" i="8" s="1"/>
  <c r="L297" i="8" s="1"/>
  <c r="I296" i="8"/>
  <c r="J296" i="8" s="1"/>
  <c r="L296" i="8" s="1"/>
  <c r="F170" i="14" l="1"/>
  <c r="I29" i="8" l="1"/>
  <c r="J29" i="8" s="1"/>
  <c r="L29" i="8" s="1"/>
  <c r="I28" i="8"/>
  <c r="J28" i="8" s="1"/>
  <c r="L28" i="8" s="1"/>
  <c r="I27" i="8"/>
  <c r="J27" i="8" s="1"/>
  <c r="L27" i="8" s="1"/>
  <c r="O10" i="2" l="1"/>
  <c r="I10" i="2" s="1"/>
  <c r="M10" i="2"/>
  <c r="S10" i="2" l="1"/>
  <c r="G16" i="18"/>
  <c r="H16" i="18"/>
  <c r="G18" i="18" l="1"/>
  <c r="H18" i="18"/>
  <c r="I1024" i="8" l="1"/>
  <c r="J1024" i="8" s="1"/>
  <c r="L1024" i="8" s="1"/>
  <c r="I1023" i="8"/>
  <c r="J1023" i="8" s="1"/>
  <c r="L1023" i="8" s="1"/>
  <c r="I1547" i="8" l="1"/>
  <c r="J1547" i="8" s="1"/>
  <c r="L1547" i="8" s="1"/>
  <c r="I1546" i="8"/>
  <c r="J1546" i="8" s="1"/>
  <c r="L1546" i="8" s="1"/>
  <c r="I1545" i="8"/>
  <c r="J1545" i="8" s="1"/>
  <c r="L1545" i="8" s="1"/>
  <c r="I1544" i="8"/>
  <c r="J1544" i="8" s="1"/>
  <c r="L1544" i="8" s="1"/>
  <c r="I1543" i="8"/>
  <c r="J1543" i="8" s="1"/>
  <c r="L1543" i="8" s="1"/>
  <c r="I1542" i="8"/>
  <c r="J1542" i="8" s="1"/>
  <c r="L1542" i="8" s="1"/>
  <c r="I1541" i="8"/>
  <c r="J1541" i="8" s="1"/>
  <c r="L1541" i="8" s="1"/>
  <c r="I1540" i="8"/>
  <c r="J1540" i="8" s="1"/>
  <c r="L1540" i="8" s="1"/>
  <c r="I1539" i="8"/>
  <c r="J1539" i="8" s="1"/>
  <c r="L1539" i="8" s="1"/>
  <c r="I1538" i="8"/>
  <c r="J1538" i="8" s="1"/>
  <c r="L1538" i="8" s="1"/>
  <c r="I1537" i="8"/>
  <c r="J1537" i="8" s="1"/>
  <c r="L1537" i="8" s="1"/>
  <c r="I1536" i="8"/>
  <c r="J1536" i="8" s="1"/>
  <c r="L1536" i="8" s="1"/>
  <c r="I2003" i="8"/>
  <c r="J2003" i="8" s="1"/>
  <c r="L2003" i="8" s="1"/>
  <c r="I2002" i="8"/>
  <c r="J2002" i="8" s="1"/>
  <c r="L2002" i="8" s="1"/>
  <c r="I2001" i="8"/>
  <c r="J2001" i="8" s="1"/>
  <c r="L2001" i="8" s="1"/>
  <c r="I2000" i="8"/>
  <c r="J2000" i="8" s="1"/>
  <c r="L2000" i="8" s="1"/>
  <c r="I1729" i="8"/>
  <c r="J1729" i="8" s="1"/>
  <c r="L1729" i="8" s="1"/>
  <c r="I816" i="8"/>
  <c r="J816" i="8" s="1"/>
  <c r="L816" i="8" s="1"/>
  <c r="I1022" i="8"/>
  <c r="J1022" i="8" s="1"/>
  <c r="L1022" i="8" s="1"/>
  <c r="I294" i="8"/>
  <c r="J294" i="8" s="1"/>
  <c r="L294" i="8" s="1"/>
  <c r="I293" i="8"/>
  <c r="J293" i="8" s="1"/>
  <c r="L293" i="8" s="1"/>
  <c r="I292" i="8"/>
  <c r="J292" i="8" s="1"/>
  <c r="L292" i="8" s="1"/>
  <c r="I291" i="8"/>
  <c r="J291" i="8" s="1"/>
  <c r="L291" i="8" s="1"/>
  <c r="I32" i="8"/>
  <c r="J32" i="8" s="1"/>
  <c r="L32" i="8" s="1"/>
  <c r="I31" i="8"/>
  <c r="J31" i="8" s="1"/>
  <c r="L31" i="8" s="1"/>
  <c r="I30" i="8"/>
  <c r="J30" i="8" s="1"/>
  <c r="L30" i="8" s="1"/>
  <c r="I290" i="8"/>
  <c r="J290" i="8" s="1"/>
  <c r="L290" i="8" s="1"/>
  <c r="I289" i="8"/>
  <c r="J289" i="8" s="1"/>
  <c r="L289" i="8" s="1"/>
  <c r="I287" i="8"/>
  <c r="J287" i="8" s="1"/>
  <c r="L287" i="8" s="1"/>
  <c r="I286" i="8"/>
  <c r="J286" i="8" s="1"/>
  <c r="L286" i="8" s="1"/>
  <c r="I285" i="8"/>
  <c r="J285" i="8" s="1"/>
  <c r="L285" i="8" s="1"/>
  <c r="I284" i="8"/>
  <c r="J284" i="8" s="1"/>
  <c r="L284" i="8" s="1"/>
  <c r="I1944" i="8" l="1"/>
  <c r="I283" i="8"/>
  <c r="J283" i="8" s="1"/>
  <c r="L283" i="8" s="1"/>
  <c r="L1944" i="8" l="1"/>
  <c r="J1944" i="8"/>
  <c r="L1761" i="8" l="1"/>
  <c r="L1762" i="8" s="1"/>
  <c r="L2012" i="8" l="1"/>
  <c r="J2012" i="8"/>
  <c r="I2012" i="8"/>
  <c r="G8" i="2"/>
  <c r="I8" i="2" l="1"/>
  <c r="H8" i="2"/>
  <c r="S8" i="2" l="1"/>
  <c r="I1529" i="8"/>
  <c r="J1529" i="8" s="1"/>
  <c r="L1529" i="8" s="1"/>
  <c r="I1528" i="8"/>
  <c r="J1528" i="8" s="1"/>
  <c r="L1528" i="8" s="1"/>
  <c r="I1527" i="8"/>
  <c r="J1527" i="8" s="1"/>
  <c r="L1527" i="8" s="1"/>
  <c r="I1526" i="8"/>
  <c r="J1526" i="8" s="1"/>
  <c r="L1526" i="8" s="1"/>
  <c r="I1525" i="8"/>
  <c r="J1525" i="8" s="1"/>
  <c r="L1525" i="8" s="1"/>
  <c r="I1524" i="8"/>
  <c r="J1524" i="8" s="1"/>
  <c r="L1524" i="8" s="1"/>
  <c r="I1523" i="8"/>
  <c r="J1523" i="8" s="1"/>
  <c r="L1523" i="8" s="1"/>
  <c r="I1522" i="8"/>
  <c r="J1522" i="8" s="1"/>
  <c r="L1522" i="8" s="1"/>
  <c r="I1521" i="8"/>
  <c r="J1521" i="8" s="1"/>
  <c r="L1521" i="8" s="1"/>
  <c r="I1520" i="8"/>
  <c r="J1520" i="8" s="1"/>
  <c r="L1520" i="8" s="1"/>
  <c r="I1519" i="8"/>
  <c r="J1519" i="8" s="1"/>
  <c r="L1519" i="8" s="1"/>
  <c r="I1518" i="8"/>
  <c r="J1518" i="8" s="1"/>
  <c r="L1518" i="8" s="1"/>
  <c r="I1517" i="8"/>
  <c r="J1517" i="8" s="1"/>
  <c r="L1517" i="8" s="1"/>
  <c r="I1124" i="8" l="1"/>
  <c r="J1124" i="8" s="1"/>
  <c r="L1124" i="8" s="1"/>
  <c r="I1123" i="8"/>
  <c r="J1123" i="8" s="1"/>
  <c r="L1123" i="8" s="1"/>
  <c r="I1122" i="8"/>
  <c r="J1122" i="8" s="1"/>
  <c r="L1122" i="8" s="1"/>
  <c r="I1121" i="8"/>
  <c r="J1121" i="8" s="1"/>
  <c r="L1121" i="8" s="1"/>
  <c r="I1119" i="8"/>
  <c r="J1119" i="8" s="1"/>
  <c r="L1119" i="8" s="1"/>
  <c r="I1408" i="8" l="1"/>
  <c r="J1408" i="8" s="1"/>
  <c r="L1408" i="8" s="1"/>
  <c r="I1407" i="8"/>
  <c r="J1407" i="8" s="1"/>
  <c r="L1407" i="8" s="1"/>
  <c r="I1406" i="8"/>
  <c r="J1406" i="8" s="1"/>
  <c r="L1406" i="8" s="1"/>
  <c r="I1405" i="8"/>
  <c r="J1405" i="8" s="1"/>
  <c r="L1405" i="8" s="1"/>
  <c r="I1404" i="8"/>
  <c r="J1404" i="8" s="1"/>
  <c r="L1404" i="8" s="1"/>
  <c r="I1403" i="8"/>
  <c r="J1403" i="8" s="1"/>
  <c r="L1403" i="8" s="1"/>
  <c r="I1402" i="8"/>
  <c r="J1402" i="8" s="1"/>
  <c r="L1402" i="8" s="1"/>
  <c r="I1401" i="8"/>
  <c r="J1401" i="8" s="1"/>
  <c r="L1401" i="8" s="1"/>
  <c r="I1400" i="8"/>
  <c r="J1400" i="8" s="1"/>
  <c r="L1400" i="8" s="1"/>
  <c r="I1399" i="8"/>
  <c r="J1399" i="8" s="1"/>
  <c r="L1399" i="8" s="1"/>
  <c r="I1398" i="8"/>
  <c r="J1398" i="8" s="1"/>
  <c r="L1398" i="8" s="1"/>
  <c r="I1397" i="8"/>
  <c r="J1397" i="8" s="1"/>
  <c r="L1397" i="8" s="1"/>
  <c r="I1396" i="8"/>
  <c r="J1396" i="8" s="1"/>
  <c r="L1396" i="8" s="1"/>
  <c r="I1395" i="8"/>
  <c r="J1395" i="8" s="1"/>
  <c r="L1395" i="8" s="1"/>
  <c r="I1394" i="8"/>
  <c r="J1394" i="8" s="1"/>
  <c r="L1394" i="8" s="1"/>
  <c r="I1335" i="8"/>
  <c r="J1335" i="8" s="1"/>
  <c r="L1335" i="8" s="1"/>
  <c r="I1334" i="8"/>
  <c r="J1334" i="8" s="1"/>
  <c r="L1334" i="8" s="1"/>
  <c r="I1333" i="8"/>
  <c r="J1333" i="8" s="1"/>
  <c r="L1333" i="8" s="1"/>
  <c r="I1332" i="8"/>
  <c r="J1332" i="8" s="1"/>
  <c r="L1332" i="8" s="1"/>
  <c r="I1249" i="8"/>
  <c r="J1249" i="8" s="1"/>
  <c r="L1249" i="8" s="1"/>
  <c r="I1020" i="8"/>
  <c r="J1020" i="8" s="1"/>
  <c r="L1020" i="8" s="1"/>
  <c r="I1019" i="8"/>
  <c r="J1019" i="8" s="1"/>
  <c r="L1019" i="8" s="1"/>
  <c r="I1018" i="8"/>
  <c r="J1018" i="8" s="1"/>
  <c r="L1018" i="8" s="1"/>
  <c r="I1017" i="8"/>
  <c r="J1017" i="8" s="1"/>
  <c r="L1017" i="8" s="1"/>
  <c r="I1016" i="8"/>
  <c r="J1016" i="8" s="1"/>
  <c r="L1016" i="8" s="1"/>
  <c r="I1015" i="8"/>
  <c r="J1015" i="8" s="1"/>
  <c r="L1015" i="8" s="1"/>
  <c r="I1014" i="8"/>
  <c r="J1014" i="8" s="1"/>
  <c r="L1014" i="8" s="1"/>
  <c r="I1013" i="8"/>
  <c r="J1013" i="8" s="1"/>
  <c r="L1013" i="8" s="1"/>
  <c r="I1012" i="8"/>
  <c r="J1012" i="8" s="1"/>
  <c r="L1012" i="8" s="1"/>
  <c r="I1011" i="8"/>
  <c r="J1011" i="8" s="1"/>
  <c r="L1011" i="8" s="1"/>
  <c r="I1010" i="8"/>
  <c r="J1010" i="8" s="1"/>
  <c r="L1010" i="8" s="1"/>
  <c r="I1009" i="8"/>
  <c r="J1009" i="8" s="1"/>
  <c r="L1009" i="8" s="1"/>
  <c r="I1008" i="8"/>
  <c r="J1008" i="8" s="1"/>
  <c r="L1008" i="8" s="1"/>
  <c r="I1007" i="8"/>
  <c r="J1007" i="8" s="1"/>
  <c r="L1007" i="8" s="1"/>
  <c r="I1006" i="8"/>
  <c r="J1006" i="8" s="1"/>
  <c r="L1006" i="8" s="1"/>
  <c r="I281" i="8"/>
  <c r="J281" i="8" s="1"/>
  <c r="L281" i="8" s="1"/>
  <c r="I280" i="8"/>
  <c r="J280" i="8" s="1"/>
  <c r="L280" i="8" s="1"/>
  <c r="I279" i="8"/>
  <c r="J279" i="8" s="1"/>
  <c r="L279" i="8" s="1"/>
  <c r="I278" i="8"/>
  <c r="J278" i="8" s="1"/>
  <c r="L278" i="8" s="1"/>
  <c r="I277" i="8"/>
  <c r="J277" i="8" s="1"/>
  <c r="L277" i="8" s="1"/>
  <c r="I276" i="8"/>
  <c r="J276" i="8" s="1"/>
  <c r="L276" i="8" s="1"/>
  <c r="I275" i="8"/>
  <c r="J275" i="8" s="1"/>
  <c r="L275" i="8" s="1"/>
  <c r="I274" i="8"/>
  <c r="J274" i="8" s="1"/>
  <c r="L274" i="8" s="1"/>
  <c r="I273" i="8"/>
  <c r="J273" i="8" s="1"/>
  <c r="L273" i="8" s="1"/>
  <c r="I272" i="8"/>
  <c r="J272" i="8" s="1"/>
  <c r="L272" i="8" s="1"/>
  <c r="I270" i="8"/>
  <c r="J270" i="8" s="1"/>
  <c r="L270" i="8" s="1"/>
  <c r="I898" i="8"/>
  <c r="J898" i="8" s="1"/>
  <c r="L898" i="8" s="1"/>
  <c r="I897" i="8"/>
  <c r="J897" i="8" s="1"/>
  <c r="L897" i="8" s="1"/>
  <c r="I896" i="8"/>
  <c r="J896" i="8" s="1"/>
  <c r="L896" i="8" s="1"/>
  <c r="I895" i="8"/>
  <c r="J895" i="8" s="1"/>
  <c r="L895" i="8" s="1"/>
  <c r="I894" i="8"/>
  <c r="J894" i="8" s="1"/>
  <c r="L894" i="8" s="1"/>
  <c r="I893" i="8"/>
  <c r="J893" i="8" s="1"/>
  <c r="L893" i="8" s="1"/>
  <c r="I892" i="8"/>
  <c r="J892" i="8" s="1"/>
  <c r="L892" i="8" s="1"/>
  <c r="I891" i="8"/>
  <c r="J891" i="8" s="1"/>
  <c r="L891" i="8" s="1"/>
  <c r="I890" i="8"/>
  <c r="J890" i="8" s="1"/>
  <c r="L890" i="8" s="1"/>
  <c r="I814" i="8"/>
  <c r="J814" i="8" s="1"/>
  <c r="L814" i="8" s="1"/>
  <c r="I813" i="8"/>
  <c r="J813" i="8" s="1"/>
  <c r="L813" i="8" s="1"/>
  <c r="I812" i="8"/>
  <c r="J812" i="8" s="1"/>
  <c r="L812" i="8" s="1"/>
  <c r="I811" i="8"/>
  <c r="J811" i="8" s="1"/>
  <c r="L811" i="8" s="1"/>
  <c r="I810" i="8"/>
  <c r="J810" i="8" s="1"/>
  <c r="L810" i="8" s="1"/>
  <c r="I807" i="8"/>
  <c r="J807" i="8" s="1"/>
  <c r="L807" i="8" s="1"/>
  <c r="I806" i="8"/>
  <c r="J806" i="8" s="1"/>
  <c r="L806" i="8" s="1"/>
  <c r="I805" i="8"/>
  <c r="J805" i="8" s="1"/>
  <c r="L805" i="8" s="1"/>
  <c r="I804" i="8"/>
  <c r="J804" i="8" s="1"/>
  <c r="L804" i="8" s="1"/>
  <c r="I803" i="8"/>
  <c r="J803" i="8" s="1"/>
  <c r="L803" i="8" s="1"/>
  <c r="I802" i="8"/>
  <c r="J802" i="8" s="1"/>
  <c r="L802" i="8" s="1"/>
  <c r="I801" i="8"/>
  <c r="J801" i="8" s="1"/>
  <c r="L801" i="8" s="1"/>
  <c r="I800" i="8"/>
  <c r="J800" i="8" s="1"/>
  <c r="L800" i="8" s="1"/>
  <c r="I799" i="8"/>
  <c r="J799" i="8" s="1"/>
  <c r="L799" i="8" s="1"/>
  <c r="M3" i="2" l="1"/>
  <c r="H1330" i="8" l="1"/>
  <c r="I1330" i="8" s="1"/>
  <c r="J1330" i="8" s="1"/>
  <c r="L1330" i="8" s="1"/>
  <c r="H1329" i="8"/>
  <c r="I1329" i="8" s="1"/>
  <c r="J1329" i="8" s="1"/>
  <c r="L1329" i="8" s="1"/>
  <c r="H1328" i="8"/>
  <c r="I1328" i="8" s="1"/>
  <c r="J1328" i="8" s="1"/>
  <c r="L1328" i="8" s="1"/>
  <c r="H1327" i="8"/>
  <c r="I1327" i="8" s="1"/>
  <c r="J1327" i="8" s="1"/>
  <c r="L1327" i="8" s="1"/>
  <c r="S3" i="2" l="1"/>
  <c r="H1138" i="8" l="1"/>
  <c r="I1138" i="8" s="1"/>
  <c r="J1138" i="8" s="1"/>
  <c r="L1138" i="8" s="1"/>
  <c r="H1137" i="8"/>
  <c r="I1137" i="8" s="1"/>
  <c r="J1137" i="8" s="1"/>
  <c r="L1137" i="8" s="1"/>
  <c r="H1136" i="8"/>
  <c r="I1136" i="8" s="1"/>
  <c r="J1136" i="8" s="1"/>
  <c r="L1136" i="8" s="1"/>
  <c r="H1135" i="8"/>
  <c r="I1135" i="8" s="1"/>
  <c r="J1135" i="8" s="1"/>
  <c r="L1135" i="8" s="1"/>
  <c r="H1134" i="8"/>
  <c r="I1134" i="8" s="1"/>
  <c r="J1134" i="8" s="1"/>
  <c r="L1134" i="8" s="1"/>
  <c r="H1391" i="8"/>
  <c r="I1391" i="8" s="1"/>
  <c r="J1391" i="8" s="1"/>
  <c r="L1391" i="8" s="1"/>
  <c r="H1414" i="8" l="1"/>
  <c r="I1414" i="8" l="1"/>
  <c r="L1414" i="8" l="1"/>
  <c r="J1414" i="8"/>
  <c r="H1247" i="8" l="1"/>
  <c r="I1247" i="8" s="1"/>
  <c r="J1247" i="8" s="1"/>
  <c r="L1247" i="8" s="1"/>
  <c r="H1246" i="8"/>
  <c r="H886" i="8"/>
  <c r="I886" i="8" s="1"/>
  <c r="J886" i="8" s="1"/>
  <c r="L886" i="8" s="1"/>
  <c r="H885" i="8"/>
  <c r="I885" i="8" s="1"/>
  <c r="J885" i="8" s="1"/>
  <c r="L885" i="8" s="1"/>
  <c r="H884" i="8"/>
  <c r="I884" i="8" s="1"/>
  <c r="J884" i="8" s="1"/>
  <c r="L884" i="8" s="1"/>
  <c r="H883" i="8"/>
  <c r="I883" i="8" s="1"/>
  <c r="J883" i="8" s="1"/>
  <c r="L883" i="8" s="1"/>
  <c r="H797" i="8"/>
  <c r="I797" i="8" s="1"/>
  <c r="J797" i="8" s="1"/>
  <c r="L797" i="8" s="1"/>
  <c r="H796" i="8"/>
  <c r="I796" i="8" s="1"/>
  <c r="J796" i="8" s="1"/>
  <c r="L796" i="8" s="1"/>
  <c r="H795" i="8"/>
  <c r="I795" i="8" s="1"/>
  <c r="J795" i="8" s="1"/>
  <c r="L795" i="8" s="1"/>
  <c r="I1246" i="8" l="1"/>
  <c r="J1246" i="8" s="1"/>
  <c r="L1246" i="8" s="1"/>
  <c r="H1317" i="8"/>
  <c r="I150" i="2" l="1"/>
  <c r="E158" i="2"/>
  <c r="H1656" i="8" l="1"/>
  <c r="I1656" i="8" s="1"/>
  <c r="J1656" i="8" s="1"/>
  <c r="L1656" i="8" s="1"/>
  <c r="H1654" i="8"/>
  <c r="I1654" i="8" s="1"/>
  <c r="J1654" i="8" s="1"/>
  <c r="L1654" i="8" s="1"/>
  <c r="H1653" i="8"/>
  <c r="I1653" i="8" s="1"/>
  <c r="J1653" i="8" s="1"/>
  <c r="L1653" i="8" s="1"/>
  <c r="H1512" i="8"/>
  <c r="I1512" i="8" s="1"/>
  <c r="J1512" i="8" s="1"/>
  <c r="L1512" i="8" s="1"/>
  <c r="H1511" i="8"/>
  <c r="I1511" i="8" s="1"/>
  <c r="J1511" i="8" s="1"/>
  <c r="L1511" i="8" s="1"/>
  <c r="H1510" i="8"/>
  <c r="I1510" i="8" s="1"/>
  <c r="J1510" i="8" s="1"/>
  <c r="L1510" i="8" s="1"/>
  <c r="H1508" i="8"/>
  <c r="I1508" i="8" s="1"/>
  <c r="J1508" i="8" s="1"/>
  <c r="L1508" i="8" s="1"/>
  <c r="H1505" i="8"/>
  <c r="I1505" i="8" s="1"/>
  <c r="J1505" i="8" s="1"/>
  <c r="L1505" i="8" s="1"/>
  <c r="H1504" i="8"/>
  <c r="I1504" i="8" s="1"/>
  <c r="J1504" i="8" s="1"/>
  <c r="L1504" i="8" s="1"/>
  <c r="H1502" i="8"/>
  <c r="I1502" i="8" s="1"/>
  <c r="J1502" i="8" s="1"/>
  <c r="L1502" i="8" s="1"/>
  <c r="H1501" i="8"/>
  <c r="I1501" i="8" s="1"/>
  <c r="J1501" i="8" s="1"/>
  <c r="L1501" i="8" s="1"/>
  <c r="H1500" i="8"/>
  <c r="I1500" i="8" s="1"/>
  <c r="J1500" i="8" s="1"/>
  <c r="L1500" i="8" s="1"/>
  <c r="H1499" i="8"/>
  <c r="I1499" i="8" s="1"/>
  <c r="J1499" i="8" s="1"/>
  <c r="L1499" i="8" s="1"/>
  <c r="H1498" i="8"/>
  <c r="I1498" i="8" s="1"/>
  <c r="J1498" i="8" s="1"/>
  <c r="L1498" i="8" s="1"/>
  <c r="H1497" i="8"/>
  <c r="I1497" i="8" s="1"/>
  <c r="J1497" i="8" s="1"/>
  <c r="L1497" i="8" s="1"/>
  <c r="H1496" i="8"/>
  <c r="I1496" i="8" s="1"/>
  <c r="J1496" i="8" s="1"/>
  <c r="L1496" i="8" s="1"/>
  <c r="H1495" i="8"/>
  <c r="I1495" i="8" s="1"/>
  <c r="J1495" i="8" s="1"/>
  <c r="L1495" i="8" s="1"/>
  <c r="H1494" i="8"/>
  <c r="I1494" i="8" s="1"/>
  <c r="J1494" i="8" s="1"/>
  <c r="L1494" i="8" s="1"/>
  <c r="H1493" i="8"/>
  <c r="I1493" i="8" s="1"/>
  <c r="J1493" i="8" s="1"/>
  <c r="L1493" i="8" s="1"/>
  <c r="H1492" i="8"/>
  <c r="I1492" i="8" s="1"/>
  <c r="J1492" i="8" s="1"/>
  <c r="L1492" i="8" s="1"/>
  <c r="H1491" i="8"/>
  <c r="I1491" i="8" s="1"/>
  <c r="J1491" i="8" s="1"/>
  <c r="L1491" i="8" s="1"/>
  <c r="H1490" i="8"/>
  <c r="I1490" i="8" s="1"/>
  <c r="J1490" i="8" s="1"/>
  <c r="L1490" i="8" s="1"/>
  <c r="H1489" i="8"/>
  <c r="I1489" i="8" s="1"/>
  <c r="J1489" i="8" s="1"/>
  <c r="L1489" i="8" s="1"/>
  <c r="H1488" i="8"/>
  <c r="I1488" i="8" s="1"/>
  <c r="J1488" i="8" s="1"/>
  <c r="L1488" i="8" s="1"/>
  <c r="H1487" i="8"/>
  <c r="I1487" i="8" s="1"/>
  <c r="J1487" i="8" s="1"/>
  <c r="L1487" i="8" s="1"/>
  <c r="H1485" i="8"/>
  <c r="I1485" i="8" s="1"/>
  <c r="J1485" i="8" s="1"/>
  <c r="L1485" i="8" s="1"/>
  <c r="H1484" i="8"/>
  <c r="I1484" i="8" s="1"/>
  <c r="J1484" i="8" s="1"/>
  <c r="L1484" i="8" s="1"/>
  <c r="H1483" i="8"/>
  <c r="I1483" i="8" s="1"/>
  <c r="J1483" i="8" s="1"/>
  <c r="L1483" i="8" s="1"/>
  <c r="H1482" i="8"/>
  <c r="I1482" i="8" s="1"/>
  <c r="J1482" i="8" s="1"/>
  <c r="L1482" i="8" s="1"/>
  <c r="H1481" i="8"/>
  <c r="I1481" i="8" s="1"/>
  <c r="J1481" i="8" s="1"/>
  <c r="L1481" i="8" s="1"/>
  <c r="H1480" i="8"/>
  <c r="I1480" i="8" s="1"/>
  <c r="J1480" i="8" s="1"/>
  <c r="L1480" i="8" s="1"/>
  <c r="H1479" i="8"/>
  <c r="I1479" i="8" s="1"/>
  <c r="J1479" i="8" s="1"/>
  <c r="L1479" i="8" s="1"/>
  <c r="H1478" i="8"/>
  <c r="I1478" i="8" s="1"/>
  <c r="J1478" i="8" s="1"/>
  <c r="L1478" i="8" s="1"/>
  <c r="H1477" i="8"/>
  <c r="I1477" i="8" s="1"/>
  <c r="J1477" i="8" s="1"/>
  <c r="L1477" i="8" s="1"/>
  <c r="I1476" i="8"/>
  <c r="J1476" i="8" s="1"/>
  <c r="L1476" i="8" s="1"/>
  <c r="H1689" i="8" l="1"/>
  <c r="M1387" i="8"/>
  <c r="G255" i="8" l="1"/>
  <c r="G254" i="8"/>
  <c r="G253" i="8"/>
  <c r="G252" i="8"/>
  <c r="G251" i="8"/>
  <c r="G250" i="8"/>
  <c r="G249" i="8"/>
  <c r="H254" i="8" l="1"/>
  <c r="I254" i="8" s="1"/>
  <c r="J254" i="8" s="1"/>
  <c r="L254" i="8" s="1"/>
  <c r="H252" i="8"/>
  <c r="I252" i="8" s="1"/>
  <c r="J252" i="8" s="1"/>
  <c r="L252" i="8" s="1"/>
  <c r="H250" i="8"/>
  <c r="I250" i="8" s="1"/>
  <c r="J250" i="8" s="1"/>
  <c r="L250" i="8" s="1"/>
  <c r="H255" i="8"/>
  <c r="I255" i="8" s="1"/>
  <c r="J255" i="8" s="1"/>
  <c r="L255" i="8" s="1"/>
  <c r="H253" i="8"/>
  <c r="I253" i="8" s="1"/>
  <c r="J253" i="8" s="1"/>
  <c r="L253" i="8" s="1"/>
  <c r="H251" i="8"/>
  <c r="I251" i="8" s="1"/>
  <c r="J251" i="8" s="1"/>
  <c r="L251" i="8" s="1"/>
  <c r="H249" i="8"/>
  <c r="I249" i="8" s="1"/>
  <c r="J249" i="8" s="1"/>
  <c r="L249" i="8" s="1"/>
  <c r="E34" i="21" l="1"/>
  <c r="F34" i="21" s="1"/>
  <c r="E33" i="21"/>
  <c r="F33" i="21" s="1"/>
  <c r="E32" i="21"/>
  <c r="F32" i="21" s="1"/>
  <c r="E31" i="21"/>
  <c r="F31" i="21" s="1"/>
  <c r="E30" i="21"/>
  <c r="F30" i="21" s="1"/>
  <c r="E29" i="21"/>
  <c r="F29" i="21" s="1"/>
  <c r="E28" i="21"/>
  <c r="F28" i="21" s="1"/>
  <c r="E27" i="21"/>
  <c r="F27" i="21" s="1"/>
  <c r="E26" i="21"/>
  <c r="F26" i="21" s="1"/>
  <c r="E25" i="21"/>
  <c r="F25" i="21" s="1"/>
  <c r="E23" i="21"/>
  <c r="F23" i="21" s="1"/>
  <c r="E24" i="21"/>
  <c r="F24" i="21" s="1"/>
  <c r="E22" i="21"/>
  <c r="F22" i="21" s="1"/>
  <c r="E21" i="21" l="1"/>
  <c r="F21" i="21" s="1"/>
  <c r="F16" i="14" l="1"/>
  <c r="F71" i="14"/>
  <c r="G71" i="14" l="1"/>
  <c r="E64" i="14"/>
  <c r="E61" i="14"/>
  <c r="E16" i="14"/>
  <c r="E87" i="14"/>
  <c r="E88" i="14"/>
  <c r="E89" i="14"/>
  <c r="E9" i="14"/>
  <c r="E71" i="14" l="1"/>
  <c r="I71" i="14" s="1"/>
  <c r="I9" i="14"/>
  <c r="I16" i="14"/>
  <c r="H25" i="8" l="1"/>
  <c r="I25" i="8" s="1"/>
  <c r="J25" i="8" s="1"/>
  <c r="L25" i="8" s="1"/>
  <c r="H24" i="8"/>
  <c r="I24" i="8" s="1"/>
  <c r="J24" i="8" s="1"/>
  <c r="L24" i="8" s="1"/>
  <c r="H23" i="8"/>
  <c r="I23" i="8" s="1"/>
  <c r="J23" i="8" s="1"/>
  <c r="L23" i="8" s="1"/>
  <c r="H22" i="8"/>
  <c r="I22" i="8" s="1"/>
  <c r="J22" i="8" s="1"/>
  <c r="L22" i="8" s="1"/>
  <c r="G247" i="8" l="1"/>
  <c r="H247" i="8" s="1"/>
  <c r="G246" i="8"/>
  <c r="H246" i="8" s="1"/>
  <c r="H244" i="8"/>
  <c r="F244" i="8"/>
  <c r="I247" i="8" l="1"/>
  <c r="J247" i="8" s="1"/>
  <c r="L247" i="8" s="1"/>
  <c r="I244" i="8"/>
  <c r="J244" i="8" s="1"/>
  <c r="L244" i="8" s="1"/>
  <c r="I246" i="8"/>
  <c r="J246" i="8" s="1"/>
  <c r="L246" i="8" s="1"/>
  <c r="D12" i="21" l="1"/>
  <c r="H1474" i="8" l="1"/>
  <c r="G1474" i="8"/>
  <c r="H1473" i="8"/>
  <c r="G1473" i="8"/>
  <c r="I1473" i="8" l="1"/>
  <c r="J1473" i="8" s="1"/>
  <c r="L1473" i="8" s="1"/>
  <c r="I1474" i="8"/>
  <c r="J1474" i="8" s="1"/>
  <c r="L1474" i="8" s="1"/>
  <c r="I242" i="8" l="1"/>
  <c r="J242" i="8" s="1"/>
  <c r="L242" i="8" s="1"/>
  <c r="I241" i="8"/>
  <c r="J241" i="8" s="1"/>
  <c r="L241" i="8" s="1"/>
  <c r="I240" i="8"/>
  <c r="J240" i="8" s="1"/>
  <c r="L240" i="8" s="1"/>
  <c r="I239" i="8"/>
  <c r="J239" i="8" s="1"/>
  <c r="L239" i="8" s="1"/>
  <c r="H1428" i="8" l="1"/>
  <c r="I1428" i="8" s="1"/>
  <c r="J1428" i="8" s="1"/>
  <c r="L1428" i="8" s="1"/>
  <c r="H1427" i="8"/>
  <c r="I1427" i="8" s="1"/>
  <c r="J1427" i="8" s="1"/>
  <c r="L1427" i="8" s="1"/>
  <c r="H1426" i="8"/>
  <c r="I1426" i="8" s="1"/>
  <c r="J1426" i="8" s="1"/>
  <c r="L1426" i="8" s="1"/>
  <c r="H1425" i="8"/>
  <c r="I1425" i="8" s="1"/>
  <c r="J1425" i="8" s="1"/>
  <c r="L1425" i="8" s="1"/>
  <c r="H1424" i="8"/>
  <c r="I1424" i="8" s="1"/>
  <c r="J1424" i="8" s="1"/>
  <c r="L1424" i="8" s="1"/>
  <c r="H1423" i="8"/>
  <c r="I1423" i="8" s="1"/>
  <c r="J1423" i="8" s="1"/>
  <c r="L1423" i="8" s="1"/>
  <c r="H1422" i="8"/>
  <c r="I1422" i="8" s="1"/>
  <c r="J1422" i="8" s="1"/>
  <c r="L1422" i="8" s="1"/>
  <c r="H1421" i="8"/>
  <c r="I1421" i="8" s="1"/>
  <c r="J1421" i="8" s="1"/>
  <c r="L1421" i="8" s="1"/>
  <c r="H1420" i="8"/>
  <c r="I1420" i="8" s="1"/>
  <c r="J1420" i="8" s="1"/>
  <c r="L1420" i="8" s="1"/>
  <c r="H1419" i="8"/>
  <c r="I1419" i="8" s="1"/>
  <c r="J1419" i="8" s="1"/>
  <c r="L1419" i="8" s="1"/>
  <c r="H20" i="8"/>
  <c r="I20" i="8" s="1"/>
  <c r="J20" i="8" s="1"/>
  <c r="L20" i="8" s="1"/>
  <c r="H1451" i="8" l="1"/>
  <c r="H1128" i="8"/>
  <c r="I1128" i="8" s="1"/>
  <c r="J1128" i="8" s="1"/>
  <c r="L1128" i="8" s="1"/>
  <c r="H1127" i="8"/>
  <c r="I1127" i="8" s="1"/>
  <c r="J1127" i="8" s="1"/>
  <c r="L1127" i="8" s="1"/>
  <c r="H1325" i="8"/>
  <c r="I1325" i="8" s="1"/>
  <c r="J1325" i="8" s="1"/>
  <c r="L1325" i="8" s="1"/>
  <c r="H1324" i="8"/>
  <c r="I1324" i="8" s="1"/>
  <c r="J1324" i="8" s="1"/>
  <c r="L1324" i="8" s="1"/>
  <c r="H1323" i="8"/>
  <c r="I1323" i="8" l="1"/>
  <c r="J1323" i="8" s="1"/>
  <c r="L1323" i="8" s="1"/>
  <c r="H1386" i="8"/>
  <c r="H1234" i="8"/>
  <c r="G79" i="14"/>
  <c r="E76" i="14"/>
  <c r="E79" i="14" s="1"/>
  <c r="E51" i="14"/>
  <c r="I1234" i="8" l="1"/>
  <c r="L1234" i="8" l="1"/>
  <c r="J1234" i="8"/>
  <c r="G52" i="14"/>
  <c r="E52" i="14"/>
  <c r="I52" i="14" l="1"/>
  <c r="I79" i="14"/>
  <c r="I237" i="8" l="1"/>
  <c r="J237" i="8" s="1"/>
  <c r="L237" i="8" s="1"/>
  <c r="I236" i="8"/>
  <c r="J236" i="8" s="1"/>
  <c r="L236" i="8" s="1"/>
  <c r="I235" i="8"/>
  <c r="J235" i="8" s="1"/>
  <c r="L235" i="8" s="1"/>
  <c r="I234" i="8"/>
  <c r="J234" i="8" s="1"/>
  <c r="L234" i="8" s="1"/>
  <c r="I233" i="8"/>
  <c r="J233" i="8" s="1"/>
  <c r="L233" i="8" s="1"/>
  <c r="I232" i="8"/>
  <c r="J232" i="8" s="1"/>
  <c r="L232" i="8" s="1"/>
  <c r="I231" i="8"/>
  <c r="J231" i="8" s="1"/>
  <c r="L231" i="8" s="1"/>
  <c r="I230" i="8"/>
  <c r="J230" i="8" s="1"/>
  <c r="L230" i="8" s="1"/>
  <c r="I18" i="8"/>
  <c r="J18" i="8" s="1"/>
  <c r="L18" i="8" s="1"/>
  <c r="I17" i="8"/>
  <c r="J17" i="8" s="1"/>
  <c r="L17" i="8" s="1"/>
  <c r="I16" i="8"/>
  <c r="J16" i="8" s="1"/>
  <c r="L16" i="8" s="1"/>
  <c r="I15" i="8"/>
  <c r="J15" i="8" s="1"/>
  <c r="L15" i="8" s="1"/>
  <c r="I14" i="8"/>
  <c r="J14" i="8" s="1"/>
  <c r="L14" i="8" s="1"/>
  <c r="L868" i="8" l="1"/>
  <c r="M1996" i="8" l="1"/>
  <c r="I228" i="8" l="1"/>
  <c r="J228" i="8" s="1"/>
  <c r="L228" i="8" s="1"/>
  <c r="I227" i="8"/>
  <c r="J227" i="8" s="1"/>
  <c r="L227" i="8" s="1"/>
  <c r="I225" i="8"/>
  <c r="J225" i="8" s="1"/>
  <c r="L225" i="8" s="1"/>
  <c r="I224" i="8"/>
  <c r="J224" i="8" s="1"/>
  <c r="L224" i="8" s="1"/>
  <c r="I223" i="8"/>
  <c r="J223" i="8" s="1"/>
  <c r="L223" i="8" s="1"/>
  <c r="I221" i="8"/>
  <c r="J221" i="8" s="1"/>
  <c r="L221" i="8" s="1"/>
  <c r="I220" i="8"/>
  <c r="J220" i="8" s="1"/>
  <c r="L220" i="8" s="1"/>
  <c r="I219" i="8"/>
  <c r="J219" i="8" s="1"/>
  <c r="L219" i="8" s="1"/>
  <c r="I218" i="8"/>
  <c r="J218" i="8" s="1"/>
  <c r="L218" i="8" s="1"/>
  <c r="I217" i="8"/>
  <c r="J217" i="8" s="1"/>
  <c r="L217" i="8" s="1"/>
  <c r="I216" i="8"/>
  <c r="J216" i="8" s="1"/>
  <c r="L216" i="8" s="1"/>
  <c r="I215" i="8"/>
  <c r="J215" i="8" s="1"/>
  <c r="L215" i="8" s="1"/>
  <c r="I214" i="8"/>
  <c r="J214" i="8" s="1"/>
  <c r="L214" i="8" s="1"/>
  <c r="I213" i="8"/>
  <c r="J213" i="8" s="1"/>
  <c r="L213" i="8" s="1"/>
  <c r="I212" i="8"/>
  <c r="J212" i="8" s="1"/>
  <c r="L212" i="8" s="1"/>
  <c r="I211" i="8"/>
  <c r="J211" i="8" s="1"/>
  <c r="L211" i="8" s="1"/>
  <c r="I210" i="8"/>
  <c r="J210" i="8" s="1"/>
  <c r="L210" i="8" s="1"/>
  <c r="I209" i="8"/>
  <c r="J209" i="8" s="1"/>
  <c r="L209" i="8" s="1"/>
  <c r="I208" i="8"/>
  <c r="J208" i="8" s="1"/>
  <c r="L208" i="8" s="1"/>
  <c r="E95" i="14"/>
  <c r="E119" i="14" s="1"/>
  <c r="I206" i="8" l="1"/>
  <c r="J206" i="8" s="1"/>
  <c r="L206" i="8" s="1"/>
  <c r="I205" i="8"/>
  <c r="J205" i="8" s="1"/>
  <c r="L205" i="8" s="1"/>
  <c r="I204" i="8"/>
  <c r="J204" i="8" s="1"/>
  <c r="L204" i="8" s="1"/>
  <c r="I1464" i="8" l="1"/>
  <c r="J1464" i="8" l="1"/>
  <c r="L1464" i="8" s="1"/>
  <c r="I202" i="8" l="1"/>
  <c r="J202" i="8" s="1"/>
  <c r="L202" i="8" s="1"/>
  <c r="I1321" i="8" l="1"/>
  <c r="I1245" i="8"/>
  <c r="J1245" i="8" s="1"/>
  <c r="L1245" i="8" s="1"/>
  <c r="I1244" i="8"/>
  <c r="J1244" i="8" s="1"/>
  <c r="L1244" i="8" s="1"/>
  <c r="I1243" i="8"/>
  <c r="J1243" i="8" s="1"/>
  <c r="L1243" i="8" s="1"/>
  <c r="I1242" i="8"/>
  <c r="J1242" i="8" s="1"/>
  <c r="L1242" i="8" s="1"/>
  <c r="I881" i="8"/>
  <c r="J881" i="8" s="1"/>
  <c r="L881" i="8" s="1"/>
  <c r="I880" i="8"/>
  <c r="J880" i="8" s="1"/>
  <c r="L880" i="8" s="1"/>
  <c r="I879" i="8"/>
  <c r="J879" i="8" s="1"/>
  <c r="L879" i="8" s="1"/>
  <c r="L1317" i="8" l="1"/>
  <c r="J1321" i="8"/>
  <c r="I1386" i="8"/>
  <c r="I1451" i="8"/>
  <c r="I201" i="8"/>
  <c r="J201" i="8" s="1"/>
  <c r="L201" i="8" s="1"/>
  <c r="I200" i="8"/>
  <c r="J200" i="8" s="1"/>
  <c r="L200" i="8" s="1"/>
  <c r="L1321" i="8" l="1"/>
  <c r="L1386" i="8" s="1"/>
  <c r="J1386" i="8"/>
  <c r="L1451" i="8" l="1"/>
  <c r="J1451" i="8"/>
  <c r="I174" i="14" l="1"/>
  <c r="E25" i="14" l="1"/>
  <c r="E24" i="14"/>
  <c r="I1462" i="8" l="1"/>
  <c r="J1462" i="8" s="1"/>
  <c r="L1462" i="8" s="1"/>
  <c r="I12" i="8"/>
  <c r="J12" i="8" s="1"/>
  <c r="L12" i="8" s="1"/>
  <c r="I11" i="8"/>
  <c r="J11" i="8" s="1"/>
  <c r="L11" i="8" s="1"/>
  <c r="E123" i="14" l="1"/>
  <c r="E20" i="14" l="1"/>
  <c r="E47" i="14" s="1"/>
  <c r="E122" i="14" l="1"/>
  <c r="E170" i="14" s="1"/>
  <c r="I170" i="14" l="1"/>
  <c r="I119" i="14"/>
  <c r="I1979" i="8" l="1"/>
  <c r="I1980" i="8"/>
  <c r="I1981" i="8"/>
  <c r="F1996" i="8"/>
  <c r="G1996" i="8"/>
  <c r="K1996" i="8"/>
  <c r="L1996" i="8" s="1"/>
  <c r="J1981" i="8" l="1"/>
  <c r="J1980" i="8"/>
  <c r="J1979" i="8"/>
  <c r="E5" i="14"/>
  <c r="F5" i="14" s="1"/>
  <c r="G5" i="14" l="1"/>
  <c r="L1689" i="8" l="1"/>
  <c r="J1689" i="8"/>
  <c r="I1689" i="8"/>
  <c r="I1460" i="8"/>
  <c r="J1460" i="8" s="1"/>
  <c r="L1460" i="8" s="1"/>
  <c r="S36" i="5" l="1"/>
  <c r="F33" i="17" l="1"/>
  <c r="F59" i="17" s="1"/>
  <c r="I1240" i="8" l="1"/>
  <c r="I1239" i="8"/>
  <c r="I1317" i="8" s="1"/>
  <c r="J1239" i="8" l="1"/>
  <c r="J1317" i="8" s="1"/>
  <c r="J1240" i="8"/>
  <c r="I1955" i="8" l="1"/>
  <c r="I1954" i="8"/>
  <c r="I1953" i="8"/>
  <c r="I8" i="8"/>
  <c r="E3" i="17" l="1"/>
  <c r="E6" i="17" s="1"/>
  <c r="D59" i="17"/>
  <c r="E15" i="17"/>
  <c r="E59" i="17" s="1"/>
  <c r="R40" i="5" l="1"/>
  <c r="I1996" i="8" l="1"/>
  <c r="I1964" i="8"/>
  <c r="J1964" i="8" s="1"/>
  <c r="L1964" i="8" s="1"/>
  <c r="I1459" i="8"/>
  <c r="J1459" i="8" s="1"/>
  <c r="L1459" i="8" s="1"/>
  <c r="I875" i="8"/>
  <c r="J875" i="8" s="1"/>
  <c r="L875" i="8" s="1"/>
  <c r="L1113" i="8" l="1"/>
  <c r="I1956" i="8"/>
  <c r="J1956" i="8"/>
  <c r="C59" i="17"/>
  <c r="B49" i="17"/>
  <c r="B59" i="17" s="1"/>
  <c r="D16" i="18" l="1"/>
  <c r="D18" i="18" s="1"/>
  <c r="E16" i="18"/>
  <c r="E18" i="18" s="1"/>
  <c r="F16" i="18"/>
  <c r="F18" i="18" s="1"/>
  <c r="C16" i="18"/>
  <c r="C18" i="18" s="1"/>
  <c r="A29" i="17" l="1"/>
  <c r="A59" i="17" l="1"/>
  <c r="A3" i="17" l="1"/>
  <c r="A6" i="17" s="1"/>
  <c r="A62" i="17" s="1"/>
  <c r="I1458" i="8" l="1"/>
  <c r="I874" i="8"/>
  <c r="J874" i="8" s="1"/>
  <c r="L874" i="8" s="1"/>
  <c r="L977" i="8" s="1"/>
  <c r="I1961" i="8"/>
  <c r="I1960" i="8"/>
  <c r="I1959" i="8"/>
  <c r="J1458" i="8" l="1"/>
  <c r="I1725" i="8"/>
  <c r="J1959" i="8"/>
  <c r="L1959" i="8" s="1"/>
  <c r="J1960" i="8"/>
  <c r="L1960" i="8" s="1"/>
  <c r="J1961" i="8"/>
  <c r="L1961" i="8" s="1"/>
  <c r="L1725" i="8" l="1"/>
  <c r="J1725" i="8"/>
  <c r="L1458" i="8"/>
  <c r="L1647" i="8" s="1"/>
  <c r="I6" i="8"/>
  <c r="J6" i="8" s="1"/>
  <c r="L6" i="8" s="1"/>
  <c r="I5" i="8"/>
  <c r="J5" i="8" s="1"/>
  <c r="L5" i="8" s="1"/>
  <c r="I4" i="8"/>
  <c r="J4" i="8" s="1"/>
  <c r="L4" i="8" s="1"/>
  <c r="D141" i="2" l="1"/>
  <c r="I16" i="18" l="1"/>
  <c r="I18" i="18" s="1"/>
  <c r="M1114" i="8" l="1"/>
  <c r="K23" i="18" l="1"/>
  <c r="I625" i="14" l="1"/>
  <c r="K24" i="18" l="1"/>
  <c r="K26" i="18" s="1"/>
  <c r="K16" i="18" l="1"/>
  <c r="K18" i="18" l="1"/>
</calcChain>
</file>

<file path=xl/comments1.xml><?xml version="1.0" encoding="utf-8"?>
<comments xmlns="http://schemas.openxmlformats.org/spreadsheetml/2006/main">
  <authors>
    <author>Administrator</author>
    <author>Mrs Bosha</author>
    <author>Simukai Bosha</author>
    <author>CHIDO</author>
  </authors>
  <commentList>
    <comment ref="I2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western union charges murray modakon</t>
        </r>
      </text>
    </comment>
    <comment ref="I37" authorId="1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purchase of bags suitcases required for the trip</t>
        </r>
      </text>
    </comment>
    <comment ref="I39" authorId="2">
      <text>
        <r>
          <rPr>
            <b/>
            <sz val="9"/>
            <color indexed="81"/>
            <rFont val="Tahoma"/>
            <family val="2"/>
          </rPr>
          <t>Simukai Bosha:</t>
        </r>
        <r>
          <rPr>
            <sz val="9"/>
            <color indexed="81"/>
            <rFont val="Tahoma"/>
            <family val="2"/>
          </rPr>
          <t xml:space="preserve">
kudzai pocket money</t>
        </r>
      </text>
    </comment>
    <comment ref="I53" authorId="3">
      <text>
        <r>
          <rPr>
            <b/>
            <sz val="9"/>
            <color indexed="81"/>
            <rFont val="Tahoma"/>
            <family val="2"/>
          </rPr>
          <t>CHIDO:</t>
        </r>
        <r>
          <rPr>
            <sz val="9"/>
            <color indexed="81"/>
            <rFont val="Tahoma"/>
            <family val="2"/>
          </rPr>
          <t xml:space="preserve">
zimra officer &amp; bags&amp; bag wrap</t>
        </r>
      </text>
    </comment>
  </commentList>
</comments>
</file>

<file path=xl/comments2.xml><?xml version="1.0" encoding="utf-8"?>
<comments xmlns="http://schemas.openxmlformats.org/spreadsheetml/2006/main">
  <authors>
    <author>Simukai Bosha</author>
    <author>Mrs Bosha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Simukai Bosha:</t>
        </r>
        <r>
          <rPr>
            <sz val="9"/>
            <color indexed="81"/>
            <rFont val="Tahoma"/>
            <family val="2"/>
          </rPr>
          <t xml:space="preserve">
fsbs round inflow</t>
        </r>
      </text>
    </comment>
    <comment ref="N43" authorId="1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staff christmas hampers &amp; kids christmas lunch</t>
        </r>
      </text>
    </comment>
    <comment ref="G49" authorId="1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netflix</t>
        </r>
      </text>
    </comment>
    <comment ref="J75" authorId="1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chido ticket fron ukraine</t>
        </r>
      </text>
    </comment>
    <comment ref="K75" authorId="1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ticket top up plus travel allowance
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Mrs Bosha</author>
  </authors>
  <commentList>
    <comment ref="E44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plan approval fees</t>
        </r>
      </text>
    </comment>
    <comment ref="C320" authorId="1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topped up on nyasha fees shortfall </t>
        </r>
      </text>
    </comment>
  </commentList>
</comments>
</file>

<file path=xl/sharedStrings.xml><?xml version="1.0" encoding="utf-8"?>
<sst xmlns="http://schemas.openxmlformats.org/spreadsheetml/2006/main" count="8860" uniqueCount="3088">
  <si>
    <t>label</t>
  </si>
  <si>
    <t>Item</t>
  </si>
  <si>
    <t>purchase price / unit $</t>
  </si>
  <si>
    <t>total purchase price</t>
  </si>
  <si>
    <t>total cost</t>
  </si>
  <si>
    <t>Indirect Cost / unit</t>
  </si>
  <si>
    <t>Total Unit Cost</t>
  </si>
  <si>
    <t>Multiplier</t>
  </si>
  <si>
    <t>Rec Price</t>
  </si>
  <si>
    <t>Actual Price</t>
  </si>
  <si>
    <t>status</t>
  </si>
  <si>
    <t>SKIRTS</t>
  </si>
  <si>
    <t>cash</t>
  </si>
  <si>
    <t>DRESSES</t>
  </si>
  <si>
    <t>verda</t>
  </si>
  <si>
    <t>SHOES</t>
  </si>
  <si>
    <t>brown court shoe with top design</t>
  </si>
  <si>
    <t>other</t>
  </si>
  <si>
    <t>xmeric</t>
  </si>
  <si>
    <t>lasiea</t>
  </si>
  <si>
    <t>last rose</t>
  </si>
  <si>
    <t>qnty</t>
  </si>
  <si>
    <t>sales</t>
  </si>
  <si>
    <t>date</t>
  </si>
  <si>
    <t>layby</t>
  </si>
  <si>
    <t>credit sale</t>
  </si>
  <si>
    <t>total cash daily received</t>
  </si>
  <si>
    <t>total daily sales</t>
  </si>
  <si>
    <t>amount</t>
  </si>
  <si>
    <t>expenditure</t>
  </si>
  <si>
    <t>total</t>
  </si>
  <si>
    <t>TOTAL</t>
  </si>
  <si>
    <t>reduced 4 sale</t>
  </si>
  <si>
    <t>fuel</t>
  </si>
  <si>
    <t>trip</t>
  </si>
  <si>
    <t>destination</t>
  </si>
  <si>
    <t>ticket</t>
  </si>
  <si>
    <t>visa</t>
  </si>
  <si>
    <t>accomodation</t>
  </si>
  <si>
    <t>misc</t>
  </si>
  <si>
    <t>transport</t>
  </si>
  <si>
    <t>food</t>
  </si>
  <si>
    <t>extra kg</t>
  </si>
  <si>
    <t>cargo</t>
  </si>
  <si>
    <t>duty</t>
  </si>
  <si>
    <t>stock</t>
  </si>
  <si>
    <t>personal</t>
  </si>
  <si>
    <t>2 MONTHS RENTAL</t>
  </si>
  <si>
    <t>2 MONTHS SALARIES</t>
  </si>
  <si>
    <t xml:space="preserve">date - </t>
  </si>
  <si>
    <t>SALES</t>
  </si>
  <si>
    <t>Cash sales</t>
  </si>
  <si>
    <t>LOANS</t>
  </si>
  <si>
    <t>loan sharewealth</t>
  </si>
  <si>
    <t>loan ruwa ladies</t>
  </si>
  <si>
    <t>Total</t>
  </si>
  <si>
    <t>MONTHLY EXPENSES</t>
  </si>
  <si>
    <t>rentals</t>
  </si>
  <si>
    <t>electricity</t>
  </si>
  <si>
    <t>miscellaneous</t>
  </si>
  <si>
    <t>Business refreshments</t>
  </si>
  <si>
    <t>INVESTMENTS</t>
  </si>
  <si>
    <t>TOTAL INCOME</t>
  </si>
  <si>
    <t>TOTAL EXPENSES</t>
  </si>
  <si>
    <t>SURPLUS/DEFICIT</t>
  </si>
  <si>
    <t>NOTES</t>
  </si>
  <si>
    <t xml:space="preserve"> </t>
  </si>
  <si>
    <t>disc</t>
  </si>
  <si>
    <t>name</t>
  </si>
  <si>
    <t>consignment comm</t>
  </si>
  <si>
    <t>TOTAL COST</t>
  </si>
  <si>
    <t>acc</t>
  </si>
  <si>
    <t>PANTIES</t>
  </si>
  <si>
    <t>GYPSY SOCKS</t>
  </si>
  <si>
    <t xml:space="preserve">MARCH TRIP  - </t>
  </si>
  <si>
    <t>FIND MANY CLEARANCE SALES, good opportunity for big margins</t>
  </si>
  <si>
    <t>buy outfits &amp; dresses for occassions then</t>
  </si>
  <si>
    <t>buy winter items and leave for may, can also do kapura</t>
  </si>
  <si>
    <t>if i buy winter things on layby i should not do a trip in June coz this coincides with layby final payments, cargo costs and duty.</t>
  </si>
  <si>
    <t>unless the trip is for going to collect the items on layby</t>
  </si>
  <si>
    <t>JACKETS ARE NOT PROFITABLE IF BOUGHT FOR MORE THAN $15 EACH</t>
  </si>
  <si>
    <t>sales graph since inception</t>
  </si>
  <si>
    <t>month</t>
  </si>
  <si>
    <t>expenses</t>
  </si>
  <si>
    <t>sept</t>
  </si>
  <si>
    <t>oct</t>
  </si>
  <si>
    <t>nov</t>
  </si>
  <si>
    <t>dec</t>
  </si>
  <si>
    <t>total recommende sales value</t>
  </si>
  <si>
    <t>total actual sales value</t>
  </si>
  <si>
    <t>profit</t>
  </si>
  <si>
    <t>DEBIT CARD</t>
  </si>
  <si>
    <t>total debit received</t>
  </si>
  <si>
    <t>winter items are bulky and heavy. Resulting in high cargo charges. Better to buy winter items all through out the year.</t>
  </si>
  <si>
    <t>debit card</t>
  </si>
  <si>
    <t>layby deposit  DEBIT</t>
  </si>
  <si>
    <t>layby inst/     final pmnt CASH</t>
  </si>
  <si>
    <t>layby inst/     final pmnt DEBIT</t>
  </si>
  <si>
    <t>credit sale payment CASH</t>
  </si>
  <si>
    <t>credit sale payment DEBIT</t>
  </si>
  <si>
    <t>fascino</t>
  </si>
  <si>
    <t>beige</t>
  </si>
  <si>
    <t>airtime</t>
  </si>
  <si>
    <t>liz clairebourne</t>
  </si>
  <si>
    <t>INFLOWS</t>
  </si>
  <si>
    <t>pos purchases</t>
  </si>
  <si>
    <t>stock purchases</t>
  </si>
  <si>
    <t>stock procurement costs</t>
  </si>
  <si>
    <t>refunds</t>
  </si>
  <si>
    <t>pos bank comission 2.5%</t>
  </si>
  <si>
    <t>allowance self</t>
  </si>
  <si>
    <t>formanta</t>
  </si>
  <si>
    <t>JC PENNY</t>
  </si>
  <si>
    <t>parking</t>
  </si>
  <si>
    <t>car running expenses</t>
  </si>
  <si>
    <t xml:space="preserve">LOAN REPAYMENT: </t>
  </si>
  <si>
    <t>black knee high low wedge boot</t>
  </si>
  <si>
    <t>jan</t>
  </si>
  <si>
    <t>feb</t>
  </si>
  <si>
    <t>mar</t>
  </si>
  <si>
    <t>apr</t>
  </si>
  <si>
    <t>may</t>
  </si>
  <si>
    <t>jun</t>
  </si>
  <si>
    <t>jul</t>
  </si>
  <si>
    <t>aug</t>
  </si>
  <si>
    <t>shop licence</t>
  </si>
  <si>
    <t>all layby &amp; credit sales instalments to be updated on invoice for audit purposes</t>
  </si>
  <si>
    <t>daily analysis to be completed daily &amp; check all transactions against receipts, invoices, pos &amp; zimra machine</t>
  </si>
  <si>
    <t>date of purchase</t>
  </si>
  <si>
    <t>paid to date</t>
  </si>
  <si>
    <t>sales discount</t>
  </si>
  <si>
    <t>JANUARY</t>
  </si>
  <si>
    <t>Winnie</t>
  </si>
  <si>
    <t>Nyasha Mashingaidz</t>
  </si>
  <si>
    <t>zimra QPD</t>
  </si>
  <si>
    <t>stationery</t>
  </si>
  <si>
    <t>DRESS OUTFITS</t>
  </si>
  <si>
    <t>dancing queen</t>
  </si>
  <si>
    <t>silver &amp; black 2 piece</t>
  </si>
  <si>
    <t>femeny</t>
  </si>
  <si>
    <t>white dress &amp; jacket</t>
  </si>
  <si>
    <t>salaries</t>
  </si>
  <si>
    <t>jf lefone</t>
  </si>
  <si>
    <t>airport fees</t>
  </si>
  <si>
    <t>bank fees &amp; charges</t>
  </si>
  <si>
    <t>le mirage</t>
  </si>
  <si>
    <t>TOTAL OUTFITS</t>
  </si>
  <si>
    <t>SHIRTS &amp; TOPS</t>
  </si>
  <si>
    <t>sales schedule</t>
  </si>
  <si>
    <t>marc</t>
  </si>
  <si>
    <t>april</t>
  </si>
  <si>
    <t>june</t>
  </si>
  <si>
    <t>july</t>
  </si>
  <si>
    <t>T &amp; S</t>
  </si>
  <si>
    <t>travel incidentals</t>
  </si>
  <si>
    <t>medical</t>
  </si>
  <si>
    <t>FASCINATORS</t>
  </si>
  <si>
    <t>hatunga</t>
  </si>
  <si>
    <t>blush pink</t>
  </si>
  <si>
    <t>TOTAL SKIRTS</t>
  </si>
  <si>
    <t>TOTAL TROUSERS &amp; JEGGINS</t>
  </si>
  <si>
    <t>COSERTS</t>
  </si>
  <si>
    <t>majasi</t>
  </si>
  <si>
    <t>STOCK 2018</t>
  </si>
  <si>
    <t>loss on change of ticket</t>
  </si>
  <si>
    <t>staff transport allowance</t>
  </si>
  <si>
    <t>transportation charge for goods from a/port</t>
  </si>
  <si>
    <t>loans other</t>
  </si>
  <si>
    <t>other loans</t>
  </si>
  <si>
    <t>company fees</t>
  </si>
  <si>
    <t>membership fees</t>
  </si>
  <si>
    <t>ASHLEY STEWART</t>
  </si>
  <si>
    <t>white lace</t>
  </si>
  <si>
    <t>textport</t>
  </si>
  <si>
    <t>donations</t>
  </si>
  <si>
    <t>TOTAL SHOES</t>
  </si>
  <si>
    <t>TOTAL CLUTCHES</t>
  </si>
  <si>
    <t>total panties</t>
  </si>
  <si>
    <t>TOTAL HANDBAGS</t>
  </si>
  <si>
    <t>TOTAL COSERTS</t>
  </si>
  <si>
    <t>CASHFLOW -2018</t>
  </si>
  <si>
    <t>stanbic bank loan</t>
  </si>
  <si>
    <t>stanbic business loan</t>
  </si>
  <si>
    <t>rates</t>
  </si>
  <si>
    <t>jan-dec 208m</t>
  </si>
  <si>
    <t>year 1 (sept-dec) 2015</t>
  </si>
  <si>
    <t>year 4 (2018)</t>
  </si>
  <si>
    <t>year 3 ( 2017)</t>
  </si>
  <si>
    <t>year 2 ( 2016)</t>
  </si>
  <si>
    <t xml:space="preserve">   </t>
  </si>
  <si>
    <t>currency commission</t>
  </si>
  <si>
    <t>Allan Gray</t>
  </si>
  <si>
    <t>men</t>
  </si>
  <si>
    <t>occassions</t>
  </si>
  <si>
    <t>pajamas</t>
  </si>
  <si>
    <t>TROUSERS</t>
  </si>
  <si>
    <t>devatex</t>
  </si>
  <si>
    <t>navy trousers</t>
  </si>
  <si>
    <t>sharewealth bricks loan to be classsified as home improvements</t>
  </si>
  <si>
    <t>gym subs &amp; training</t>
  </si>
  <si>
    <t>fascino cream/gold 2pc</t>
  </si>
  <si>
    <t>murray &amp; co</t>
  </si>
  <si>
    <t>galife</t>
  </si>
  <si>
    <t>oreya</t>
  </si>
  <si>
    <t>coco</t>
  </si>
  <si>
    <t>deposit</t>
  </si>
  <si>
    <t>inst</t>
  </si>
  <si>
    <t>invoice total</t>
  </si>
  <si>
    <t>inst dates</t>
  </si>
  <si>
    <t>inv no</t>
  </si>
  <si>
    <t>galife green sleeveless</t>
  </si>
  <si>
    <t>galife coffee full sleeve</t>
  </si>
  <si>
    <t>BGN</t>
  </si>
  <si>
    <t>OREYA</t>
  </si>
  <si>
    <t>black 2 piece knit top</t>
  </si>
  <si>
    <t>black 2 piece knit top -  light</t>
  </si>
  <si>
    <t xml:space="preserve">profit in USD </t>
  </si>
  <si>
    <t>inv no.</t>
  </si>
  <si>
    <t>escarel</t>
  </si>
  <si>
    <t>CLUTCH PURSES</t>
  </si>
  <si>
    <t>item description</t>
  </si>
  <si>
    <t>small asset procurement</t>
  </si>
  <si>
    <t>licence fees and registrations</t>
  </si>
  <si>
    <t>jupiter</t>
  </si>
  <si>
    <t>sincere</t>
  </si>
  <si>
    <t>ALTIN YAK</t>
  </si>
  <si>
    <t>life stride</t>
  </si>
  <si>
    <t>black sandal low heel</t>
  </si>
  <si>
    <t>elegant line</t>
  </si>
  <si>
    <t>mutlu</t>
  </si>
  <si>
    <t>TOTAL CREDIT BALANCE</t>
  </si>
  <si>
    <t>WOOLEN TOPS</t>
  </si>
  <si>
    <t>TOTAL WOOLEN TOPS</t>
  </si>
  <si>
    <t>pauline gatsi</t>
  </si>
  <si>
    <t>mavis</t>
  </si>
  <si>
    <t>Tatenda</t>
  </si>
  <si>
    <t>pauline</t>
  </si>
  <si>
    <t xml:space="preserve">salaries </t>
  </si>
  <si>
    <t>Pauline</t>
  </si>
  <si>
    <t>staff commission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</si>
  <si>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</si>
  <si>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</si>
  <si>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</si>
  <si>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</si>
  <si>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</si>
  <si>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</si>
  <si>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</si>
  <si>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</si>
  <si>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</si>
  <si>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</si>
  <si>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</si>
  <si>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</si>
  <si>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mai jordan</t>
  </si>
  <si>
    <t>rovigo</t>
  </si>
  <si>
    <t>navy suede half boot</t>
  </si>
  <si>
    <t>IDEAL</t>
  </si>
  <si>
    <t>di mare</t>
  </si>
  <si>
    <t>navy/pink 3 piece</t>
  </si>
  <si>
    <t>gicca</t>
  </si>
  <si>
    <t>ideal</t>
  </si>
  <si>
    <t>HANDBAGS</t>
  </si>
  <si>
    <t>JERSEYS</t>
  </si>
  <si>
    <t>calvin klein</t>
  </si>
  <si>
    <t>march 2019 stock</t>
  </si>
  <si>
    <t>channel</t>
  </si>
  <si>
    <t>TRACK SUITS</t>
  </si>
  <si>
    <t>mai chitindi</t>
  </si>
  <si>
    <t>cash USD</t>
  </si>
  <si>
    <t>Cash bond ecocash</t>
  </si>
  <si>
    <t>cash /DEBIT convert to USD</t>
  </si>
  <si>
    <t>black plain trousers w elastic waist</t>
  </si>
  <si>
    <t>altin yak</t>
  </si>
  <si>
    <t>bongo</t>
  </si>
  <si>
    <t>MAY 2019 STOCK</t>
  </si>
  <si>
    <t>trousers</t>
  </si>
  <si>
    <t>la gazelle</t>
  </si>
  <si>
    <t>JACKETS</t>
  </si>
  <si>
    <t>scotch  w zip design winter jackets</t>
  </si>
  <si>
    <t>scotch w pocket design</t>
  </si>
  <si>
    <t>dimare</t>
  </si>
  <si>
    <t>red dress</t>
  </si>
  <si>
    <t>guzella</t>
  </si>
  <si>
    <t>balerina</t>
  </si>
  <si>
    <t>purple lace stretch dress long</t>
  </si>
  <si>
    <t>denim skirt</t>
  </si>
  <si>
    <t>denim skirt long</t>
  </si>
  <si>
    <t xml:space="preserve">hot pink </t>
  </si>
  <si>
    <t>whip design</t>
  </si>
  <si>
    <t>LV</t>
  </si>
  <si>
    <t>zamba</t>
  </si>
  <si>
    <t>re dona</t>
  </si>
  <si>
    <t>haza</t>
  </si>
  <si>
    <t>ceber</t>
  </si>
  <si>
    <t>layby bal</t>
  </si>
  <si>
    <t>may 2019 stock</t>
  </si>
  <si>
    <t>TOTAL JACKETS</t>
  </si>
  <si>
    <t>PONCHOS</t>
  </si>
  <si>
    <t>marina</t>
  </si>
  <si>
    <t>black block heel</t>
  </si>
  <si>
    <t>miss KG</t>
  </si>
  <si>
    <t>black gloss wedges</t>
  </si>
  <si>
    <t>UK stock aug 2019</t>
  </si>
  <si>
    <t>CMA</t>
  </si>
  <si>
    <t>mustard w chiffon sleeves</t>
  </si>
  <si>
    <t>beethoven</t>
  </si>
  <si>
    <t>denim big size</t>
  </si>
  <si>
    <t>Be &amp; Se</t>
  </si>
  <si>
    <t>white sleeveless top</t>
  </si>
  <si>
    <t>Guzella</t>
  </si>
  <si>
    <t>dans</t>
  </si>
  <si>
    <t>TURKEY SEPT 2019</t>
  </si>
  <si>
    <t xml:space="preserve">gold tafetta &amp; lace long dinner dress   </t>
  </si>
  <si>
    <t>innocent</t>
  </si>
  <si>
    <t>RM Richards</t>
  </si>
  <si>
    <t>royal blue satin gown w chiffon</t>
  </si>
  <si>
    <t>purple stretch/lace gown w side ruffle</t>
  </si>
  <si>
    <t>red dress w chiffon ruched sleeves</t>
  </si>
  <si>
    <t>Maroon lace w frilled hem</t>
  </si>
  <si>
    <t>pink dress w ruched waist</t>
  </si>
  <si>
    <t>catania</t>
  </si>
  <si>
    <t>navy pleat /white scotch</t>
  </si>
  <si>
    <t>blue stretch</t>
  </si>
  <si>
    <t>JM Studio</t>
  </si>
  <si>
    <t>Marina</t>
  </si>
  <si>
    <t>blue sage</t>
  </si>
  <si>
    <t>big size black gown w white beads</t>
  </si>
  <si>
    <t>Jessica Howard</t>
  </si>
  <si>
    <t>NW woman</t>
  </si>
  <si>
    <t>black gown big size</t>
  </si>
  <si>
    <t xml:space="preserve">black gown w white beads </t>
  </si>
  <si>
    <t>lavous</t>
  </si>
  <si>
    <t>white rose</t>
  </si>
  <si>
    <t>black sleeveless w grey satin skirt</t>
  </si>
  <si>
    <t>tights</t>
  </si>
  <si>
    <t>VIETNAM NOV 2019</t>
  </si>
  <si>
    <t>ISTANBUL NOV 2019</t>
  </si>
  <si>
    <t>SLNY</t>
  </si>
  <si>
    <t>pink w flowers</t>
  </si>
  <si>
    <t>red  gown w chiffon</t>
  </si>
  <si>
    <t xml:space="preserve">altin yak </t>
  </si>
  <si>
    <t>gold block heel with bow on top</t>
  </si>
  <si>
    <t>WEEK 1</t>
  </si>
  <si>
    <t>WEEK 2</t>
  </si>
  <si>
    <t xml:space="preserve">DAILY SALES TO BE RECORDED AND RECONCILED   DAILY </t>
  </si>
  <si>
    <t>REGULAR STOCK SPOT CHECK ESP ON NEW STOCK</t>
  </si>
  <si>
    <t>year 5 (2019)</t>
  </si>
  <si>
    <t>lilac pleated skirt</t>
  </si>
  <si>
    <t>TOTAL SOCKS</t>
  </si>
  <si>
    <t>USD SALE</t>
  </si>
  <si>
    <t>PRICE</t>
  </si>
  <si>
    <t>stock taken by clients home for fitting</t>
  </si>
  <si>
    <t>double check labels and quanity when going out</t>
  </si>
  <si>
    <t>double check labels and quanity when returned</t>
  </si>
  <si>
    <t>pauline Gatsi</t>
  </si>
  <si>
    <t>white dress w flowers &amp; shoulder strap</t>
  </si>
  <si>
    <t>brown knit dress</t>
  </si>
  <si>
    <t>NIDA</t>
  </si>
  <si>
    <t>scotch &amp; yellow 2 piece</t>
  </si>
  <si>
    <t>navy 2 pc w printed skirt</t>
  </si>
  <si>
    <t>mavellino</t>
  </si>
  <si>
    <t>striped blue dress suit</t>
  </si>
  <si>
    <t>white/black pleated sleeveless dress</t>
  </si>
  <si>
    <t>black/yellow knit</t>
  </si>
  <si>
    <t>purple w sheer top &amp; sleeves</t>
  </si>
  <si>
    <t>lorient</t>
  </si>
  <si>
    <t>vannes</t>
  </si>
  <si>
    <t>pink stretch dress w different sleeve design</t>
  </si>
  <si>
    <t>pink camisole</t>
  </si>
  <si>
    <t>beige camisole</t>
  </si>
  <si>
    <t>black 2 piece knit</t>
  </si>
  <si>
    <t>saffet</t>
  </si>
  <si>
    <t>setre</t>
  </si>
  <si>
    <t>moda fly</t>
  </si>
  <si>
    <t xml:space="preserve">n &amp; t </t>
  </si>
  <si>
    <t>gaja</t>
  </si>
  <si>
    <t>tessy</t>
  </si>
  <si>
    <t>royal blue knit tops</t>
  </si>
  <si>
    <t>black knit top</t>
  </si>
  <si>
    <t xml:space="preserve"> Bandage skirts various colours</t>
  </si>
  <si>
    <t>stock take 4</t>
  </si>
  <si>
    <t>big asset procurement</t>
  </si>
  <si>
    <t>loans personal</t>
  </si>
  <si>
    <t>loans others</t>
  </si>
  <si>
    <t>FEB 2020 STOCK</t>
  </si>
  <si>
    <t>bonnie musara</t>
  </si>
  <si>
    <t>money transfer charges</t>
  </si>
  <si>
    <t>navy sleeveless long t shirt</t>
  </si>
  <si>
    <t>white sleeveless long t shirt</t>
  </si>
  <si>
    <t>jersey maroon with fur neck &amp; sleeves 2020</t>
  </si>
  <si>
    <t>light throw red with glitter front</t>
  </si>
  <si>
    <t>light throw blue with glitter front</t>
  </si>
  <si>
    <t>crew neck light knit mustard</t>
  </si>
  <si>
    <t>may 2020 stock</t>
  </si>
  <si>
    <t>throws</t>
  </si>
  <si>
    <t>crew neck</t>
  </si>
  <si>
    <t>antonella</t>
  </si>
  <si>
    <t>tariro</t>
  </si>
  <si>
    <t xml:space="preserve">2 piece denim dress </t>
  </si>
  <si>
    <t>versarche grey trouser set</t>
  </si>
  <si>
    <t>versace</t>
  </si>
  <si>
    <t>red 2 piece trouser set</t>
  </si>
  <si>
    <t>JUNE 2020 STOCK</t>
  </si>
  <si>
    <t>gold 2 piece with front glitter</t>
  </si>
  <si>
    <t>from eastgate</t>
  </si>
  <si>
    <t xml:space="preserve">pinema </t>
  </si>
  <si>
    <t>maroon dress w sheer sleeeves</t>
  </si>
  <si>
    <t>green pleated skirt outfit</t>
  </si>
  <si>
    <t>miss diamond</t>
  </si>
  <si>
    <t>maroon wedge</t>
  </si>
  <si>
    <t>black wedge w elastic top</t>
  </si>
  <si>
    <t>F &amp; M</t>
  </si>
  <si>
    <t>green flat sandals w buckle</t>
  </si>
  <si>
    <t>AUG STOCK TURKEY</t>
  </si>
  <si>
    <t>MRP</t>
  </si>
  <si>
    <t>CHINA SHOES SEPT 2020</t>
  </si>
  <si>
    <t>crew neck ligh knit burgundy</t>
  </si>
  <si>
    <t xml:space="preserve">additional </t>
  </si>
  <si>
    <t>navy with front glitter design</t>
  </si>
  <si>
    <t xml:space="preserve">burgundy with white front </t>
  </si>
  <si>
    <t>MISSING STOCK</t>
  </si>
  <si>
    <t>LABEL</t>
  </si>
  <si>
    <t>DESCRIPTION</t>
  </si>
  <si>
    <t>PURCHASE PRICE</t>
  </si>
  <si>
    <t>SALE PRICE</t>
  </si>
  <si>
    <t>STOCK TAKE  OCTOBER 2020</t>
  </si>
  <si>
    <t>burnt orage/white 2 piece</t>
  </si>
  <si>
    <t>Le  mirage</t>
  </si>
  <si>
    <t>almira</t>
  </si>
  <si>
    <t>yuxi fashion</t>
  </si>
  <si>
    <t>eastgate sales</t>
  </si>
  <si>
    <t>red wrap over dress</t>
  </si>
  <si>
    <t>ell shirt dress</t>
  </si>
  <si>
    <t>shirt dress</t>
  </si>
  <si>
    <t>green dress cotton multi colour</t>
  </si>
  <si>
    <t>maroon sude wedge shoe</t>
  </si>
  <si>
    <t xml:space="preserve"> sky blue chiffon dress</t>
  </si>
  <si>
    <t>pinema</t>
  </si>
  <si>
    <t>purple glitter dinner dress</t>
  </si>
  <si>
    <t xml:space="preserve">TURKEY STOCK GRACE october </t>
  </si>
  <si>
    <t>TURKEY STOCK TEMEL OCTOBER</t>
  </si>
  <si>
    <t>home improvement/ construction</t>
  </si>
  <si>
    <t>la Mia fashions</t>
  </si>
  <si>
    <t xml:space="preserve">% </t>
  </si>
  <si>
    <t>operating expenses</t>
  </si>
  <si>
    <t>white trouser set</t>
  </si>
  <si>
    <t>december 2020 stock</t>
  </si>
  <si>
    <t>cleaning &amp; packaging materials &amp; shop utilities</t>
  </si>
  <si>
    <t>major expenditure in 2020 included the construction and roofing of the house extension/cottage. Plumbing works and construction of the storm water drain,</t>
  </si>
  <si>
    <t>record in the stock out diary when stock leaves the shop</t>
  </si>
  <si>
    <t>tick and cancell returned stock</t>
  </si>
  <si>
    <t>record stock taken by client on the daily analysis and cash/credit invoice</t>
  </si>
  <si>
    <t>end of every week cross check if there is stock that went out which has not been returned</t>
  </si>
  <si>
    <t>discounts</t>
  </si>
  <si>
    <t>only given on cash purchases</t>
  </si>
  <si>
    <t>have a cash discount receipt stating discount amount and signed by the client</t>
  </si>
  <si>
    <t>max discount discretion is $5</t>
  </si>
  <si>
    <t>cash received allocation</t>
  </si>
  <si>
    <t>stock procurement</t>
  </si>
  <si>
    <t>weekly $100 savings</t>
  </si>
  <si>
    <t>working capital</t>
  </si>
  <si>
    <t>weekly $ 50 education fund savings</t>
  </si>
  <si>
    <t>balance to</t>
  </si>
  <si>
    <t>home improvement</t>
  </si>
  <si>
    <t>investment</t>
  </si>
  <si>
    <t>year 6 2020</t>
  </si>
  <si>
    <t>Pauline Gatsi</t>
  </si>
  <si>
    <t>TOTAL BAD DEBTS 2020</t>
  </si>
  <si>
    <t>school fees fund</t>
  </si>
  <si>
    <t>EDUCATION</t>
  </si>
  <si>
    <t>school fees.</t>
  </si>
  <si>
    <t>monthly allowance</t>
  </si>
  <si>
    <t>TOTAL EXPENDITURE</t>
  </si>
  <si>
    <t>STOCK</t>
  </si>
  <si>
    <t>2 PIECE OUTFITS</t>
  </si>
  <si>
    <t>SALES QNTY</t>
  </si>
  <si>
    <t>CLOSING  QNTY</t>
  </si>
  <si>
    <t>OPENING QNTY</t>
  </si>
  <si>
    <t>DIMARE</t>
  </si>
  <si>
    <t>TOPS</t>
  </si>
  <si>
    <t>SALES ANALYSIS BY CATGORY</t>
  </si>
  <si>
    <t>% SALE</t>
  </si>
  <si>
    <t>JERSEY</t>
  </si>
  <si>
    <t>CLUTCH</t>
  </si>
  <si>
    <t>COSERT</t>
  </si>
  <si>
    <t>PANTY</t>
  </si>
  <si>
    <t>SALES ANALYSIS 2016-2021</t>
  </si>
  <si>
    <t>musapatika</t>
  </si>
  <si>
    <t>size</t>
  </si>
  <si>
    <t>purple dress w front glitter</t>
  </si>
  <si>
    <t>navy dress w pleated botton and sleeves</t>
  </si>
  <si>
    <t>burgundy dress w decorated sleeves</t>
  </si>
  <si>
    <t>denim/ chiffon maxi dress</t>
  </si>
  <si>
    <t>JAN 2021 STOCK TEMEL CARGO</t>
  </si>
  <si>
    <t>Ms M Cape Town FEB 2021</t>
  </si>
  <si>
    <t>s</t>
  </si>
  <si>
    <t>3xl</t>
  </si>
  <si>
    <t>aleva</t>
  </si>
  <si>
    <t>20w</t>
  </si>
  <si>
    <t>22w</t>
  </si>
  <si>
    <t xml:space="preserve">16w </t>
  </si>
  <si>
    <t xml:space="preserve">18w </t>
  </si>
  <si>
    <t>L</t>
  </si>
  <si>
    <t>S</t>
  </si>
  <si>
    <t>M</t>
  </si>
  <si>
    <t>XL</t>
  </si>
  <si>
    <t>2XL</t>
  </si>
  <si>
    <t>xl</t>
  </si>
  <si>
    <t>XXL</t>
  </si>
  <si>
    <t>other pulling socks</t>
  </si>
  <si>
    <t>aa</t>
  </si>
  <si>
    <t>ladies ankle socks black</t>
  </si>
  <si>
    <t>ankle socks navy</t>
  </si>
  <si>
    <t>ankle socks beige</t>
  </si>
  <si>
    <t>ankle socks cream</t>
  </si>
  <si>
    <t>CHINA STOCK MARCH 2021</t>
  </si>
  <si>
    <t>zara</t>
  </si>
  <si>
    <t>nude heel slip on</t>
  </si>
  <si>
    <t>orange heel slip on</t>
  </si>
  <si>
    <t>white heeled slip on with buckle</t>
  </si>
  <si>
    <t>gold  heel strappy sandal</t>
  </si>
  <si>
    <t>pink heel strappy sandal</t>
  </si>
  <si>
    <t>flat sandal</t>
  </si>
  <si>
    <t>brown  fur flat sandal</t>
  </si>
  <si>
    <t>black   fur flat sandal</t>
  </si>
  <si>
    <t>black plaited flat  sandal</t>
  </si>
  <si>
    <t>gold plaited flat sandal</t>
  </si>
  <si>
    <t>royal blue plaited flat sandal</t>
  </si>
  <si>
    <t>charles &amp; keith</t>
  </si>
  <si>
    <t>white flat sandal</t>
  </si>
  <si>
    <t>BOOTS</t>
  </si>
  <si>
    <t>ZARA T</t>
  </si>
  <si>
    <t>Black high ankle w side mesh</t>
  </si>
  <si>
    <t>comfort view</t>
  </si>
  <si>
    <t>nude ankle boot w side zip</t>
  </si>
  <si>
    <t>coffee heel high ankle boot w back zip</t>
  </si>
  <si>
    <t>new day</t>
  </si>
  <si>
    <t>black heel high ankle boot w back zip</t>
  </si>
  <si>
    <t xml:space="preserve">zara </t>
  </si>
  <si>
    <t>Lucky brand</t>
  </si>
  <si>
    <t>cream high ankle boot w bow tie</t>
  </si>
  <si>
    <t>5M</t>
  </si>
  <si>
    <t>MARCH CASH BUDGET</t>
  </si>
  <si>
    <t>Rent</t>
  </si>
  <si>
    <t>round table</t>
  </si>
  <si>
    <t>visa insurance</t>
  </si>
  <si>
    <t>visa application</t>
  </si>
  <si>
    <t>kudzi refund</t>
  </si>
  <si>
    <t>china dresses</t>
  </si>
  <si>
    <t>turkey cargo</t>
  </si>
  <si>
    <t>carpenter shop shelving</t>
  </si>
  <si>
    <t xml:space="preserve">seke </t>
  </si>
  <si>
    <t>fence</t>
  </si>
  <si>
    <t>poles</t>
  </si>
  <si>
    <t>vida track suit</t>
  </si>
  <si>
    <t>fron daily sales</t>
  </si>
  <si>
    <t>per week for rent</t>
  </si>
  <si>
    <t>per week for client refund</t>
  </si>
  <si>
    <t>per week tete connie</t>
  </si>
  <si>
    <t>per week savings</t>
  </si>
  <si>
    <t>denim skirt  small size 36-42</t>
  </si>
  <si>
    <t>denim trousers</t>
  </si>
  <si>
    <t>denim jacket big size</t>
  </si>
  <si>
    <t>gossi</t>
  </si>
  <si>
    <t>la curuse</t>
  </si>
  <si>
    <t xml:space="preserve">denim skirt side design big size </t>
  </si>
  <si>
    <t>march  2021 turkey stock</t>
  </si>
  <si>
    <t>SA coserts mar 2021</t>
  </si>
  <si>
    <t>CLUTCH BAGS CHINA  mar 2021</t>
  </si>
  <si>
    <t>kambarami</t>
  </si>
  <si>
    <t>polo neck burgundy</t>
  </si>
  <si>
    <t>polo neck purple</t>
  </si>
  <si>
    <t>polo neck pink</t>
  </si>
  <si>
    <t>channel dresses china may 2021</t>
  </si>
  <si>
    <t>maroon</t>
  </si>
  <si>
    <t>navy</t>
  </si>
  <si>
    <t>APRIL 27 2021 STOCK</t>
  </si>
  <si>
    <t>ecocash/ zipit</t>
  </si>
  <si>
    <t>short mustard w slanted buttons</t>
  </si>
  <si>
    <t>short red w slanted buttons</t>
  </si>
  <si>
    <t>long red channel  design w hood</t>
  </si>
  <si>
    <t>FERAT</t>
  </si>
  <si>
    <t>La Gazelle</t>
  </si>
  <si>
    <t>navy scotch medium size</t>
  </si>
  <si>
    <t>black knit dress small size</t>
  </si>
  <si>
    <t>maroon/blue scotch stretch</t>
  </si>
  <si>
    <t>Marifel</t>
  </si>
  <si>
    <t>blue jackets</t>
  </si>
  <si>
    <t>white moon</t>
  </si>
  <si>
    <t>black chiffon w white print 2 pc dress</t>
  </si>
  <si>
    <t>escarell</t>
  </si>
  <si>
    <t>black knit</t>
  </si>
  <si>
    <t>gumanize laleli</t>
  </si>
  <si>
    <t>black/cream w black overlay</t>
  </si>
  <si>
    <t>inc osmanbey</t>
  </si>
  <si>
    <t>lilac 2 piece dress w lace jacket</t>
  </si>
  <si>
    <t>WND</t>
  </si>
  <si>
    <t>istanbul</t>
  </si>
  <si>
    <t>30 may-10 june 2021</t>
  </si>
  <si>
    <t>t shirt long sleeve various colours</t>
  </si>
  <si>
    <t xml:space="preserve">oreya </t>
  </si>
  <si>
    <t>big shawl</t>
  </si>
  <si>
    <t>small shawl</t>
  </si>
  <si>
    <t>scosta</t>
  </si>
  <si>
    <t>red/black /white flared dress</t>
  </si>
  <si>
    <t>black/silver big size</t>
  </si>
  <si>
    <t>pink normal size</t>
  </si>
  <si>
    <t>black small size</t>
  </si>
  <si>
    <t>Ideal</t>
  </si>
  <si>
    <t>light blue pleated  w jacket big size</t>
  </si>
  <si>
    <t>miss rose</t>
  </si>
  <si>
    <t>grey scotch small size</t>
  </si>
  <si>
    <t>beige  scotch</t>
  </si>
  <si>
    <t>navy w front design</t>
  </si>
  <si>
    <t>pardussi</t>
  </si>
  <si>
    <t>black front pleat &amp; belt</t>
  </si>
  <si>
    <t>khakhi with scotch pleat</t>
  </si>
  <si>
    <t>green small size</t>
  </si>
  <si>
    <t>l</t>
  </si>
  <si>
    <t>vida stock june 2021</t>
  </si>
  <si>
    <t>blue/black2 piece w denim jeggins</t>
  </si>
  <si>
    <t>OREYA JERSEYS MAY 2021</t>
  </si>
  <si>
    <t>black long sleeve</t>
  </si>
  <si>
    <t xml:space="preserve">YELLOW/CREAM SKIRT </t>
  </si>
  <si>
    <t>navy w lace hem</t>
  </si>
  <si>
    <t>beige w lace hem</t>
  </si>
  <si>
    <t>vende</t>
  </si>
  <si>
    <t>blue striped</t>
  </si>
  <si>
    <t>jersey  black w leather zip</t>
  </si>
  <si>
    <t>jersey maroon w leather zip</t>
  </si>
  <si>
    <t>JUNE 2021 STOCK</t>
  </si>
  <si>
    <t>STOCK JUNE 2021</t>
  </si>
  <si>
    <t>APRIL 2021 STOCK</t>
  </si>
  <si>
    <t>new feeling SA</t>
  </si>
  <si>
    <t>inc</t>
  </si>
  <si>
    <t>jersey red with leather zip</t>
  </si>
  <si>
    <t>red scotch w  leather patches</t>
  </si>
  <si>
    <t>navy / maroon short jersey</t>
  </si>
  <si>
    <t>live forever</t>
  </si>
  <si>
    <t>navy w bottom lace and pleats</t>
  </si>
  <si>
    <t>mercelli</t>
  </si>
  <si>
    <t>nude block heel</t>
  </si>
  <si>
    <t>burgundy leather tennis</t>
  </si>
  <si>
    <t>black leather tennis</t>
  </si>
  <si>
    <t>sept 2021 stock</t>
  </si>
  <si>
    <t>raviro</t>
  </si>
  <si>
    <t>mutanho</t>
  </si>
  <si>
    <t>red flat strappy sandals</t>
  </si>
  <si>
    <t>black flat strappy sandals</t>
  </si>
  <si>
    <t>UK Theresa</t>
  </si>
  <si>
    <t>black block heel sandals</t>
  </si>
  <si>
    <t>jasper conran</t>
  </si>
  <si>
    <t>blue jersey</t>
  </si>
  <si>
    <t>WHITE PEPPER</t>
  </si>
  <si>
    <t>red dress w chiffon sleeves</t>
  </si>
  <si>
    <t>ginzaro</t>
  </si>
  <si>
    <t>navy/siver ombre</t>
  </si>
  <si>
    <t>black</t>
  </si>
  <si>
    <t>Re donna</t>
  </si>
  <si>
    <t>blue denim</t>
  </si>
  <si>
    <t>scarfs</t>
  </si>
  <si>
    <t>all colours</t>
  </si>
  <si>
    <t>gold dress w belt</t>
  </si>
  <si>
    <t>navy 2 piece w sheer top</t>
  </si>
  <si>
    <t>phudra</t>
  </si>
  <si>
    <t>black/white chiffon dress</t>
  </si>
  <si>
    <t>heresis</t>
  </si>
  <si>
    <t>navy formal dress w back zip</t>
  </si>
  <si>
    <t>cream dress w gold jacket</t>
  </si>
  <si>
    <t>paris</t>
  </si>
  <si>
    <t>black w elastic top</t>
  </si>
  <si>
    <t>red w buckle</t>
  </si>
  <si>
    <t>istanbul november 2021 trip</t>
  </si>
  <si>
    <t>airport duty</t>
  </si>
  <si>
    <t>amored</t>
  </si>
  <si>
    <t xml:space="preserve">orange cotton flared w white rose design </t>
  </si>
  <si>
    <t>nude</t>
  </si>
  <si>
    <t>as life</t>
  </si>
  <si>
    <t>the zeymur</t>
  </si>
  <si>
    <t>estella</t>
  </si>
  <si>
    <t>nivola</t>
  </si>
  <si>
    <t>cemail shop</t>
  </si>
  <si>
    <t>NOVEMBER 2021 STOCK</t>
  </si>
  <si>
    <t>Luani</t>
  </si>
  <si>
    <t>black w buckle</t>
  </si>
  <si>
    <t>scosta shirts nov '21</t>
  </si>
  <si>
    <t>various colours</t>
  </si>
  <si>
    <t>av monthly</t>
  </si>
  <si>
    <t>Dzyn</t>
  </si>
  <si>
    <t>INC</t>
  </si>
  <si>
    <t>Black velvet evening dress</t>
  </si>
  <si>
    <t>black w one arm</t>
  </si>
  <si>
    <t>black glitter body hugging w chiffon</t>
  </si>
  <si>
    <t>istanbul kapura Dec</t>
  </si>
  <si>
    <t>dzyn</t>
  </si>
  <si>
    <t>10 dc</t>
  </si>
  <si>
    <t>black pleated with  chiffon outer</t>
  </si>
  <si>
    <t>black w  back zip</t>
  </si>
  <si>
    <t>grey 2 piece w glitter neck</t>
  </si>
  <si>
    <t xml:space="preserve"> deep lilac  lace wth handkerchief hem</t>
  </si>
  <si>
    <t>navy flared lace dress w frilled sleeves</t>
  </si>
  <si>
    <t>deep lavender flowers w front slit</t>
  </si>
  <si>
    <t>december 2021 stock</t>
  </si>
  <si>
    <t>dec 2021 stock</t>
  </si>
  <si>
    <t>to</t>
  </si>
  <si>
    <t>PANTYHOSE</t>
  </si>
  <si>
    <t>TOTAL SCARFS</t>
  </si>
  <si>
    <t>total Cash USD</t>
  </si>
  <si>
    <t>total debit/swipe</t>
  </si>
  <si>
    <t>total ecocash zipit</t>
  </si>
  <si>
    <t>ZAR conversion</t>
  </si>
  <si>
    <t>total sales</t>
  </si>
  <si>
    <t>commissionable sales</t>
  </si>
  <si>
    <t>staff commission Pauline</t>
  </si>
  <si>
    <t>staff commission Tatenda</t>
  </si>
  <si>
    <t>USD Bal 2022</t>
  </si>
  <si>
    <t>red 2 piece w net outer</t>
  </si>
  <si>
    <t>amira</t>
  </si>
  <si>
    <t>leopard print  brown</t>
  </si>
  <si>
    <t>leopard print black/white</t>
  </si>
  <si>
    <t xml:space="preserve"> ladies formal shirt  long sleeve</t>
  </si>
  <si>
    <t xml:space="preserve"> ladies formal shirt  short sleeve</t>
  </si>
  <si>
    <t>gossi/ trieste</t>
  </si>
  <si>
    <t>navy with front bead design</t>
  </si>
  <si>
    <t>uk 40</t>
  </si>
  <si>
    <t>stock take jan 2022</t>
  </si>
  <si>
    <t>navy ankle boot w side zip</t>
  </si>
  <si>
    <t>navy suede ankle boot</t>
  </si>
  <si>
    <t>stable</t>
  </si>
  <si>
    <t>brown jeggins with back pockets</t>
  </si>
  <si>
    <t>91 skirts sold</t>
  </si>
  <si>
    <t>TOTAL BLOUSES AND SHIRTS</t>
  </si>
  <si>
    <t>FEBRUARY</t>
  </si>
  <si>
    <t>mahufe</t>
  </si>
  <si>
    <t>SHOP</t>
  </si>
  <si>
    <t>PAOLO ROSSI</t>
  </si>
  <si>
    <t>PARIS</t>
  </si>
  <si>
    <t>maroon w black side elastic</t>
  </si>
  <si>
    <t>black gloss court shoe</t>
  </si>
  <si>
    <t>black heels</t>
  </si>
  <si>
    <t>$10 daily savings</t>
  </si>
  <si>
    <t>$20 daily savings</t>
  </si>
  <si>
    <t>$600 round</t>
  </si>
  <si>
    <t>CHINA PUMPS FEBRUARY 16</t>
  </si>
  <si>
    <t>ANGEL SHOES</t>
  </si>
  <si>
    <t>Black flat pump</t>
  </si>
  <si>
    <t>maroon flat pump</t>
  </si>
  <si>
    <t>grey flat pump</t>
  </si>
  <si>
    <t>black wedge</t>
  </si>
  <si>
    <t>blue wedge</t>
  </si>
  <si>
    <t>grey wedge</t>
  </si>
  <si>
    <t>china</t>
  </si>
  <si>
    <t>Paris</t>
  </si>
  <si>
    <t>feb 2021 stock</t>
  </si>
  <si>
    <t>MARCH</t>
  </si>
  <si>
    <t>year 7 2021</t>
  </si>
  <si>
    <t>year 8 2022</t>
  </si>
  <si>
    <t>shoes</t>
  </si>
  <si>
    <t>recommended</t>
  </si>
  <si>
    <t>green dress w white beads</t>
  </si>
  <si>
    <t>rose gold gown mermaid design</t>
  </si>
  <si>
    <t>rouge</t>
  </si>
  <si>
    <t>FREE</t>
  </si>
  <si>
    <t>navy w chiffon overlay &amp; silver glitter</t>
  </si>
  <si>
    <t>kima</t>
  </si>
  <si>
    <t>green pleated gown</t>
  </si>
  <si>
    <t>rewita</t>
  </si>
  <si>
    <t>blue denim skirt</t>
  </si>
  <si>
    <t>black denim skirt</t>
  </si>
  <si>
    <t>navy small size</t>
  </si>
  <si>
    <t>marifel</t>
  </si>
  <si>
    <t xml:space="preserve">black burbury sleeveless jacket </t>
  </si>
  <si>
    <t>PINK/GOLD  BLACK 2 PIECE</t>
  </si>
  <si>
    <t xml:space="preserve">RED/BLACK 2 PIECE </t>
  </si>
  <si>
    <t>NAVY 3 PIECE</t>
  </si>
  <si>
    <t>handbags</t>
  </si>
  <si>
    <t>clutch bags</t>
  </si>
  <si>
    <t>white cape w rose design</t>
  </si>
  <si>
    <t>twin set red</t>
  </si>
  <si>
    <t>twin set black</t>
  </si>
  <si>
    <t>crew neck jersey various colours</t>
  </si>
  <si>
    <t>LV black handbag w single handle</t>
  </si>
  <si>
    <t>panties</t>
  </si>
  <si>
    <t>istanbul april2022</t>
  </si>
  <si>
    <t>legenda</t>
  </si>
  <si>
    <t>dusty pink lace flared dress</t>
  </si>
  <si>
    <t>panas line</t>
  </si>
  <si>
    <t>hember</t>
  </si>
  <si>
    <t>maryland</t>
  </si>
  <si>
    <t>knit dress black w hooded jacket</t>
  </si>
  <si>
    <t>2xl</t>
  </si>
  <si>
    <t>4xl</t>
  </si>
  <si>
    <t xml:space="preserve">5xl </t>
  </si>
  <si>
    <t>6xl</t>
  </si>
  <si>
    <t>bavinchi</t>
  </si>
  <si>
    <t>knit dress grey w hooded jacket</t>
  </si>
  <si>
    <t>knit dress black w red  striped jacket</t>
  </si>
  <si>
    <t>knit dress green w striped jacket</t>
  </si>
  <si>
    <t>knit dress yellow w cream striped jacket</t>
  </si>
  <si>
    <t>coloured</t>
  </si>
  <si>
    <t>rose gold ball gown mermaid style</t>
  </si>
  <si>
    <t>APRIL 2022 STOCK</t>
  </si>
  <si>
    <t>4XL</t>
  </si>
  <si>
    <t>5XL</t>
  </si>
  <si>
    <t>HEY</t>
  </si>
  <si>
    <t>APRIL 2020 STOCK</t>
  </si>
  <si>
    <t>BALL GOWNS</t>
  </si>
  <si>
    <t>APRIL 2022STOCK</t>
  </si>
  <si>
    <t>TOTAL GOWNS</t>
  </si>
  <si>
    <t>TEMEL CARGO APRIL 2022</t>
  </si>
  <si>
    <t>dress up</t>
  </si>
  <si>
    <t>matsika</t>
  </si>
  <si>
    <t xml:space="preserve">tariro to return </t>
  </si>
  <si>
    <t>clutch bag green</t>
  </si>
  <si>
    <t>clutch bag lilac</t>
  </si>
  <si>
    <t>clutch bag mint green</t>
  </si>
  <si>
    <t>quarterly analysis</t>
  </si>
  <si>
    <t>1st</t>
  </si>
  <si>
    <t>2nd</t>
  </si>
  <si>
    <t>3rd</t>
  </si>
  <si>
    <t>4th</t>
  </si>
  <si>
    <t>returned</t>
  </si>
  <si>
    <t>black w black/white belt small size</t>
  </si>
  <si>
    <t>grey Jeggins w thick waistband &amp; belt</t>
  </si>
  <si>
    <t>vida</t>
  </si>
  <si>
    <t>t shirt jacket red</t>
  </si>
  <si>
    <t>t shirt jacket yellow</t>
  </si>
  <si>
    <t>t shirt jacket beige</t>
  </si>
  <si>
    <t>roda</t>
  </si>
  <si>
    <t>long versache jersey turquise</t>
  </si>
  <si>
    <t>long versache jersey red</t>
  </si>
  <si>
    <t>xxl</t>
  </si>
  <si>
    <t>twin set aqua blue</t>
  </si>
  <si>
    <t>twin set navy</t>
  </si>
  <si>
    <t>t shirt jacket black</t>
  </si>
  <si>
    <t>t shirt jacket aqua blue</t>
  </si>
  <si>
    <t>crew neck navy</t>
  </si>
  <si>
    <t>may 2022 stock</t>
  </si>
  <si>
    <t>t shirt jacket navy blue</t>
  </si>
  <si>
    <t>puncho w fur neck green</t>
  </si>
  <si>
    <t>puncho w fur neck beige and black</t>
  </si>
  <si>
    <t>oreya jerseys and sweaters june 2022</t>
  </si>
  <si>
    <t>crew neck black</t>
  </si>
  <si>
    <t>crew neck cream</t>
  </si>
  <si>
    <t>crew neck red</t>
  </si>
  <si>
    <t>stock june 2022</t>
  </si>
  <si>
    <t>shamiso</t>
  </si>
  <si>
    <t>madison</t>
  </si>
  <si>
    <t>miss rose moon</t>
  </si>
  <si>
    <t>4 xl</t>
  </si>
  <si>
    <t>5xl</t>
  </si>
  <si>
    <t>green sleeveless ball gown</t>
  </si>
  <si>
    <t>pink 2 piece stretch/chiffon dress</t>
  </si>
  <si>
    <t>temel cargo june 2022</t>
  </si>
  <si>
    <t>pink with bow tie</t>
  </si>
  <si>
    <t>grey striped w side buttons</t>
  </si>
  <si>
    <t>beige &amp; navy scotch w pleat</t>
  </si>
  <si>
    <t>PASSPORT APPLICATION</t>
  </si>
  <si>
    <t>Luggage exess bags</t>
  </si>
  <si>
    <t>extra kgs - bags packed to 32kg</t>
  </si>
  <si>
    <t>teamwork</t>
  </si>
  <si>
    <t>fsbs</t>
  </si>
  <si>
    <t>temel cargo july 2022</t>
  </si>
  <si>
    <t>orange casual dress  w belt</t>
  </si>
  <si>
    <t>prosperity Tiana</t>
  </si>
  <si>
    <t xml:space="preserve">burgundy gown </t>
  </si>
  <si>
    <t>Tiana</t>
  </si>
  <si>
    <t>Platin</t>
  </si>
  <si>
    <t>1000 round</t>
  </si>
  <si>
    <t>mint green lace dress maxi</t>
  </si>
  <si>
    <t>south africa july</t>
  </si>
  <si>
    <t>south africa august</t>
  </si>
  <si>
    <t>butterfly</t>
  </si>
  <si>
    <t>brown weave sandals</t>
  </si>
  <si>
    <t>yellow  weave sandals</t>
  </si>
  <si>
    <t>black weave sandals</t>
  </si>
  <si>
    <t>edit</t>
  </si>
  <si>
    <t>black cross sandal</t>
  </si>
  <si>
    <t>nude cross sandals</t>
  </si>
  <si>
    <t>white cross sandals</t>
  </si>
  <si>
    <t>white studded sandal</t>
  </si>
  <si>
    <t>blue sandals w elastic band</t>
  </si>
  <si>
    <t>tiana</t>
  </si>
  <si>
    <t>green straight pleated gown</t>
  </si>
  <si>
    <t>green w short dress inside</t>
  </si>
  <si>
    <t>arizona</t>
  </si>
  <si>
    <t>black/white w frill</t>
  </si>
  <si>
    <t>leopard print dress w elastic waist</t>
  </si>
  <si>
    <t>denim casual dress w frill hem</t>
  </si>
  <si>
    <t>Ariens</t>
  </si>
  <si>
    <t>red/black polka dot w red jacket</t>
  </si>
  <si>
    <t>peach multi colour w ruched bust</t>
  </si>
  <si>
    <t>kifayette</t>
  </si>
  <si>
    <t>pink/black boxes</t>
  </si>
  <si>
    <t>black denim w colourful belt</t>
  </si>
  <si>
    <t>blue denim w colourful belt</t>
  </si>
  <si>
    <t>black chiffon gown w ruched bust</t>
  </si>
  <si>
    <t>ixora</t>
  </si>
  <si>
    <t>navy chiffon gown w lace upper</t>
  </si>
  <si>
    <t>favana</t>
  </si>
  <si>
    <t>lilac gown</t>
  </si>
  <si>
    <t>yellow casual dress</t>
  </si>
  <si>
    <t>preto</t>
  </si>
  <si>
    <t>black body hugging dress w silver ruched sides</t>
  </si>
  <si>
    <t>multi colour sleeveless top</t>
  </si>
  <si>
    <t>clutches</t>
  </si>
  <si>
    <t>capone</t>
  </si>
  <si>
    <t>black medium heels</t>
  </si>
  <si>
    <t>navy/white stripped w navy chiffon jacket</t>
  </si>
  <si>
    <t>black chiffon stepped w yellow flowers</t>
  </si>
  <si>
    <t>black w yellow flowers bare waist &amp; thick hem</t>
  </si>
  <si>
    <t>mari mar</t>
  </si>
  <si>
    <t>peach multi colour w gypsy hem</t>
  </si>
  <si>
    <t>lilac w lilac/black pleated chiffon skirt</t>
  </si>
  <si>
    <t>navy chiffon w green flower big size tops</t>
  </si>
  <si>
    <t>gold clutch FENDI</t>
  </si>
  <si>
    <t>red clucth with roll handles</t>
  </si>
  <si>
    <t>oslemodaxxxl</t>
  </si>
  <si>
    <t>westlife downtown</t>
  </si>
  <si>
    <t>dresses</t>
  </si>
  <si>
    <t>navy chiffon gown w pleated bust</t>
  </si>
  <si>
    <t>istanbulsept 2022</t>
  </si>
  <si>
    <t>10 -22 sept</t>
  </si>
  <si>
    <t>via Germany</t>
  </si>
  <si>
    <t>17-20 sept</t>
  </si>
  <si>
    <t>germany</t>
  </si>
  <si>
    <t>TOTAL overheads</t>
  </si>
  <si>
    <t>SARA</t>
  </si>
  <si>
    <t>pudra</t>
  </si>
  <si>
    <t>miss more</t>
  </si>
  <si>
    <t>black  thick material w front button  formal skirts</t>
  </si>
  <si>
    <t>black  formal w waistband brooch skirts</t>
  </si>
  <si>
    <t>alazora</t>
  </si>
  <si>
    <t>kalkanci</t>
  </si>
  <si>
    <t>beige /black boxesw ribbed sleeve &amp; neck</t>
  </si>
  <si>
    <t>dissa</t>
  </si>
  <si>
    <t>white w black design</t>
  </si>
  <si>
    <t>pink w fake pocket</t>
  </si>
  <si>
    <t>rumbi stock Sandals september</t>
  </si>
  <si>
    <t>jersey</t>
  </si>
  <si>
    <t>handbag</t>
  </si>
  <si>
    <t>loafer</t>
  </si>
  <si>
    <t>mukuruva</t>
  </si>
  <si>
    <t>pink multi colour with elastick sleeves top</t>
  </si>
  <si>
    <t>paid at nandos R200yema chocolates + $7 to make $20</t>
  </si>
  <si>
    <t>rumbi stock 11 october 2022</t>
  </si>
  <si>
    <t>madison white slides</t>
  </si>
  <si>
    <t>MADISON</t>
  </si>
  <si>
    <t>ipamema</t>
  </si>
  <si>
    <t>black slides</t>
  </si>
  <si>
    <t>gold slides</t>
  </si>
  <si>
    <t>UK STOCK SHARON 15 OCT 2022</t>
  </si>
  <si>
    <t>fascinator green oval</t>
  </si>
  <si>
    <t>fascinator dusty pink round</t>
  </si>
  <si>
    <t>navy dress w pleated back</t>
  </si>
  <si>
    <t>green dress big size</t>
  </si>
  <si>
    <t>adalyn</t>
  </si>
  <si>
    <t>volonte</t>
  </si>
  <si>
    <t>daily round</t>
  </si>
  <si>
    <t>sept 2022 stock</t>
  </si>
  <si>
    <t>fascinator green round</t>
  </si>
  <si>
    <t>fascinator black w net</t>
  </si>
  <si>
    <t>temel cargo october 2022</t>
  </si>
  <si>
    <t>Rumb stock 12 sept</t>
  </si>
  <si>
    <t>burnt gold gown</t>
  </si>
  <si>
    <t>mint green chiffon gown w lace upper</t>
  </si>
  <si>
    <t>black/cream  w handbag small size chiffon</t>
  </si>
  <si>
    <t>extra, added oct stock take</t>
  </si>
  <si>
    <t>charcoal grey  maroon striped</t>
  </si>
  <si>
    <t>rose gold embroidered round</t>
  </si>
  <si>
    <t>handbag red bottega  veneta</t>
  </si>
  <si>
    <t>maroon loafer w buckle</t>
  </si>
  <si>
    <t>maroon loafer with buckle</t>
  </si>
  <si>
    <t>maroon  wedge</t>
  </si>
  <si>
    <t>black flat pump</t>
  </si>
  <si>
    <t>black glossy medium heel</t>
  </si>
  <si>
    <t>coffee slip on w key on top</t>
  </si>
  <si>
    <t>silver sandal to give away</t>
  </si>
  <si>
    <t>crew neck jersey green</t>
  </si>
  <si>
    <t>rose fashion</t>
  </si>
  <si>
    <t>red sleeveless long t shirt</t>
  </si>
  <si>
    <t>panties  black</t>
  </si>
  <si>
    <t xml:space="preserve">black lace </t>
  </si>
  <si>
    <t>ladies secret socks black</t>
  </si>
  <si>
    <t>OCTOBER STOCK TAKE 2022</t>
  </si>
  <si>
    <t>OVERS</t>
  </si>
  <si>
    <t>over</t>
  </si>
  <si>
    <t>under</t>
  </si>
  <si>
    <t>rouge grey knit dress 2 pc w hood</t>
  </si>
  <si>
    <t xml:space="preserve">twin set navy added oct  s take </t>
  </si>
  <si>
    <t>maroon short jersey w black lines at the hem</t>
  </si>
  <si>
    <t>green short jersey w black lines at the hem</t>
  </si>
  <si>
    <t>UNDER</t>
  </si>
  <si>
    <t>wrapper burgundy Oct  '22 correction</t>
  </si>
  <si>
    <t>wrapper tan Oct '22 corrections</t>
  </si>
  <si>
    <t>balance with the one addedback jan 2022 stock take</t>
  </si>
  <si>
    <t>TEMEL CARGO APRIL2021</t>
  </si>
  <si>
    <t>tete nyaradzo</t>
  </si>
  <si>
    <t>lagez</t>
  </si>
  <si>
    <t>To check amount actually bought</t>
  </si>
  <si>
    <t>brown scotch trouser</t>
  </si>
  <si>
    <t>DISC/OVER</t>
  </si>
  <si>
    <t>TURKEY TRIP NOV 2022</t>
  </si>
  <si>
    <t>M/ROSE</t>
  </si>
  <si>
    <t>green satin</t>
  </si>
  <si>
    <t>navy chiffon high neck w lace shoulder</t>
  </si>
  <si>
    <t>favouri</t>
  </si>
  <si>
    <t>white/black scuba w one arm</t>
  </si>
  <si>
    <t>Liza Line</t>
  </si>
  <si>
    <t>waryant line</t>
  </si>
  <si>
    <t>beyzas</t>
  </si>
  <si>
    <t>blue/white flared dress</t>
  </si>
  <si>
    <t>green pleated skirt</t>
  </si>
  <si>
    <t>Donna Miranda</t>
  </si>
  <si>
    <t>gold fishtail</t>
  </si>
  <si>
    <t>cream loafers</t>
  </si>
  <si>
    <t>big number</t>
  </si>
  <si>
    <t>black court shoe</t>
  </si>
  <si>
    <t>Maryland</t>
  </si>
  <si>
    <t>black trousers w belt</t>
  </si>
  <si>
    <t>coffe trousers w belt</t>
  </si>
  <si>
    <t>bessme</t>
  </si>
  <si>
    <t>cream/black chiffon blouse</t>
  </si>
  <si>
    <t>my twins</t>
  </si>
  <si>
    <t>purple/green cotton dress w purple belt</t>
  </si>
  <si>
    <t>red flared dress</t>
  </si>
  <si>
    <t xml:space="preserve">white t shirt </t>
  </si>
  <si>
    <t>peach long sleeve</t>
  </si>
  <si>
    <t>bukarc</t>
  </si>
  <si>
    <t>coffee pleated</t>
  </si>
  <si>
    <t>paris order</t>
  </si>
  <si>
    <t>black flat shoes</t>
  </si>
  <si>
    <t>miss ARDA</t>
  </si>
  <si>
    <t>navy jeggins</t>
  </si>
  <si>
    <t xml:space="preserve">burcak </t>
  </si>
  <si>
    <t>Form Easy</t>
  </si>
  <si>
    <t>black cosert dress</t>
  </si>
  <si>
    <t>2Xl</t>
  </si>
  <si>
    <t>BLACK COSERT  W BUMS</t>
  </si>
  <si>
    <t>48/50</t>
  </si>
  <si>
    <t>Eudoxima fashion</t>
  </si>
  <si>
    <t>yellow maxi dress w elastic waist</t>
  </si>
  <si>
    <t>pole n pole</t>
  </si>
  <si>
    <t>green channel multi colour</t>
  </si>
  <si>
    <t>blue / orange satin dress</t>
  </si>
  <si>
    <t>green / lilac chiffon multi colour</t>
  </si>
  <si>
    <t>blue w ruffle neck</t>
  </si>
  <si>
    <t>blue w pleat design</t>
  </si>
  <si>
    <t xml:space="preserve">peach long sleeve </t>
  </si>
  <si>
    <t>mustard  t shirt</t>
  </si>
  <si>
    <t>polu collection</t>
  </si>
  <si>
    <t>Dior</t>
  </si>
  <si>
    <t>Channel paris</t>
  </si>
  <si>
    <t>Channel beige /white embroidery</t>
  </si>
  <si>
    <t>beige/green emroidery</t>
  </si>
  <si>
    <t>cream sandals</t>
  </si>
  <si>
    <t>red sandals</t>
  </si>
  <si>
    <t>elispoly</t>
  </si>
  <si>
    <t>black heeled sandal</t>
  </si>
  <si>
    <t xml:space="preserve">ISTANBUL </t>
  </si>
  <si>
    <t>19-27 NOV</t>
  </si>
  <si>
    <t>ISTANBUL</t>
  </si>
  <si>
    <t>total cost excl stock</t>
  </si>
  <si>
    <t>liza line</t>
  </si>
  <si>
    <t>pink/blue chiffon maxi</t>
  </si>
  <si>
    <t>hira</t>
  </si>
  <si>
    <t>average quarterly</t>
  </si>
  <si>
    <t>NOV Turkey trip</t>
  </si>
  <si>
    <t>NOV 2022 TURKEY TRIP</t>
  </si>
  <si>
    <t>NOV TURKEY TRIP</t>
  </si>
  <si>
    <t>NOV 2022 TRIP</t>
  </si>
  <si>
    <t>NOV 2022 TRURKEY TRIP</t>
  </si>
  <si>
    <t>viano</t>
  </si>
  <si>
    <t>polka dot</t>
  </si>
  <si>
    <t>week 1 expenditure</t>
  </si>
  <si>
    <t>kudzai loan repayment</t>
  </si>
  <si>
    <t>TURKEY TRIP nov  2022</t>
  </si>
  <si>
    <t>tango</t>
  </si>
  <si>
    <t>69 skirts sold</t>
  </si>
  <si>
    <t>balance</t>
  </si>
  <si>
    <t>crossberry</t>
  </si>
  <si>
    <t>stock type</t>
  </si>
  <si>
    <t>2022 opening level</t>
  </si>
  <si>
    <t>2022 closing level</t>
  </si>
  <si>
    <t>amnt sold during the year</t>
  </si>
  <si>
    <t>% sale</t>
  </si>
  <si>
    <t>dress outfits</t>
  </si>
  <si>
    <t>gowns</t>
  </si>
  <si>
    <t>skirts</t>
  </si>
  <si>
    <t>tops &amp; blouses</t>
  </si>
  <si>
    <t>woolen tops</t>
  </si>
  <si>
    <t>jackets</t>
  </si>
  <si>
    <t>jerseys</t>
  </si>
  <si>
    <t>track suits</t>
  </si>
  <si>
    <t>coserts</t>
  </si>
  <si>
    <t>pantyhose</t>
  </si>
  <si>
    <t>fascinators</t>
  </si>
  <si>
    <t>face towels</t>
  </si>
  <si>
    <t>shawlsponchos &amp; wrappers</t>
  </si>
  <si>
    <t>FASCINATOR</t>
  </si>
  <si>
    <t>sandra rugare</t>
  </si>
  <si>
    <t>handina</t>
  </si>
  <si>
    <t>year 9 2023</t>
  </si>
  <si>
    <t>Jan week 4</t>
  </si>
  <si>
    <t>feb week 1</t>
  </si>
  <si>
    <t>feb week 2</t>
  </si>
  <si>
    <t>feb week 3</t>
  </si>
  <si>
    <t>feb week 4</t>
  </si>
  <si>
    <t>49 cork road rentals</t>
  </si>
  <si>
    <t>49 cork road fittings</t>
  </si>
  <si>
    <t>sales income</t>
  </si>
  <si>
    <t>ruwa roundtable</t>
  </si>
  <si>
    <t>sister sister</t>
  </si>
  <si>
    <t>25 per day</t>
  </si>
  <si>
    <t>income</t>
  </si>
  <si>
    <t>sharewealth</t>
  </si>
  <si>
    <t>chickens</t>
  </si>
  <si>
    <t>education</t>
  </si>
  <si>
    <t>weekly 25 round</t>
  </si>
  <si>
    <t>beige track suit</t>
  </si>
  <si>
    <t>Vaida stock feb 2023</t>
  </si>
  <si>
    <t>moda Evi</t>
  </si>
  <si>
    <t>tithe</t>
  </si>
  <si>
    <t>SALARIES</t>
  </si>
  <si>
    <t>PAULINE</t>
  </si>
  <si>
    <t>TATENDA SNR</t>
  </si>
  <si>
    <t>TATENDA JNR</t>
  </si>
  <si>
    <t>TRANSPORT ALL</t>
  </si>
  <si>
    <t>COMMISSION</t>
  </si>
  <si>
    <t>MON</t>
  </si>
  <si>
    <t>TUE</t>
  </si>
  <si>
    <t>WED</t>
  </si>
  <si>
    <t>THUR</t>
  </si>
  <si>
    <t>FRI</t>
  </si>
  <si>
    <t>SAT</t>
  </si>
  <si>
    <t>TRAVEL PLAZA</t>
  </si>
  <si>
    <t>AVONDALE</t>
  </si>
  <si>
    <t>PAU</t>
  </si>
  <si>
    <t>T.S</t>
  </si>
  <si>
    <t>TS</t>
  </si>
  <si>
    <t>TJ</t>
  </si>
  <si>
    <t>Viano Loan</t>
  </si>
  <si>
    <t>GERMANY/ TURKEY BUDGET</t>
  </si>
  <si>
    <t>German accomodation</t>
  </si>
  <si>
    <t>german transport</t>
  </si>
  <si>
    <t>food and entertainment</t>
  </si>
  <si>
    <t>turkey transport</t>
  </si>
  <si>
    <t>turkey food and entertainment</t>
  </si>
  <si>
    <t>extra bags emirates</t>
  </si>
  <si>
    <t>airport</t>
  </si>
  <si>
    <t>kapura</t>
  </si>
  <si>
    <t>superbalist batch 2 feb</t>
  </si>
  <si>
    <t>supabalist</t>
  </si>
  <si>
    <t>olive green ankle boot</t>
  </si>
  <si>
    <t>coffee low ankle boot  mix w studs</t>
  </si>
  <si>
    <t>SHAWLS</t>
  </si>
  <si>
    <t>gold</t>
  </si>
  <si>
    <t>black w silver buckle</t>
  </si>
  <si>
    <t>black formal w stripped top</t>
  </si>
  <si>
    <t>black w gold polka dot</t>
  </si>
  <si>
    <t>blue dress w puff sleeves</t>
  </si>
  <si>
    <t>black/gold dress</t>
  </si>
  <si>
    <t>beige flowery</t>
  </si>
  <si>
    <t>waryant</t>
  </si>
  <si>
    <t>Nesly</t>
  </si>
  <si>
    <t>navy skirt suit</t>
  </si>
  <si>
    <t>purple chiffon maxi</t>
  </si>
  <si>
    <t>black bra cosert</t>
  </si>
  <si>
    <t>3XL</t>
  </si>
  <si>
    <t>SINCERE</t>
  </si>
  <si>
    <t>blue denim dungaree</t>
  </si>
  <si>
    <t>JEGGINGS</t>
  </si>
  <si>
    <t>maroon jegging</t>
  </si>
  <si>
    <t>black jegging</t>
  </si>
  <si>
    <t>cream pleated w front design</t>
  </si>
  <si>
    <t>green pleated w gold design</t>
  </si>
  <si>
    <t>black and gold pleated</t>
  </si>
  <si>
    <t>beige w shoulder design and sheer sleeves</t>
  </si>
  <si>
    <t>black skirt suit</t>
  </si>
  <si>
    <t>black satin blouse w elastic sleeves</t>
  </si>
  <si>
    <t>light blue with front button design</t>
  </si>
  <si>
    <t>dusty pink w front button design</t>
  </si>
  <si>
    <t>blue w high sleeves &amp; black back button design</t>
  </si>
  <si>
    <t>samsara</t>
  </si>
  <si>
    <t>green/ brown chiffon w ruched neck &amp; camisole</t>
  </si>
  <si>
    <t>rosso osmanbey</t>
  </si>
  <si>
    <t>Fi &amp; BI</t>
  </si>
  <si>
    <t>ferrat</t>
  </si>
  <si>
    <t>black trousers</t>
  </si>
  <si>
    <t xml:space="preserve">royal blue </t>
  </si>
  <si>
    <t>BURCAK</t>
  </si>
  <si>
    <t>winter material flared skirt w belt</t>
  </si>
  <si>
    <t>black bandage skirt</t>
  </si>
  <si>
    <t>navy bandage skirt</t>
  </si>
  <si>
    <t>SANDALS</t>
  </si>
  <si>
    <t>Takkies</t>
  </si>
  <si>
    <t>istanbul March 2023</t>
  </si>
  <si>
    <t>5-12 mar</t>
  </si>
  <si>
    <t>28 feb-4 march</t>
  </si>
  <si>
    <t>TURKEY trip MARCH 2023</t>
  </si>
  <si>
    <t>lagazelle</t>
  </si>
  <si>
    <t>espoll</t>
  </si>
  <si>
    <t>shop near momento</t>
  </si>
  <si>
    <t>green with front button</t>
  </si>
  <si>
    <t>cirna lala</t>
  </si>
  <si>
    <t>sadosa</t>
  </si>
  <si>
    <t xml:space="preserve"> navy flared w double button front &amp; belt</t>
  </si>
  <si>
    <t>BLACK</t>
  </si>
  <si>
    <t>black tights</t>
  </si>
  <si>
    <t>nighty BLACK</t>
  </si>
  <si>
    <t>red</t>
  </si>
  <si>
    <t>calino</t>
  </si>
  <si>
    <t>charcoal stripe skirt suit</t>
  </si>
  <si>
    <t>upload to 32kg *3</t>
  </si>
  <si>
    <t>paid</t>
  </si>
  <si>
    <t>nesley</t>
  </si>
  <si>
    <t>ariens</t>
  </si>
  <si>
    <t>DEBT</t>
  </si>
  <si>
    <t>DEBT SCHEDULE</t>
  </si>
  <si>
    <t>zvinoera</t>
  </si>
  <si>
    <t>kudzai</t>
  </si>
  <si>
    <t>obligations</t>
  </si>
  <si>
    <t>debit</t>
  </si>
  <si>
    <t>other credit</t>
  </si>
  <si>
    <t>net</t>
  </si>
  <si>
    <t>weekly round</t>
  </si>
  <si>
    <t>avondale</t>
  </si>
  <si>
    <t>lapf</t>
  </si>
  <si>
    <t>emirates bags</t>
  </si>
  <si>
    <t>1k round</t>
  </si>
  <si>
    <t>banking</t>
  </si>
  <si>
    <t>80 zoro</t>
  </si>
  <si>
    <t>bankimg</t>
  </si>
  <si>
    <t>paid CT</t>
  </si>
  <si>
    <t>paid Kudzi</t>
  </si>
  <si>
    <t>COSERT mar 2023</t>
  </si>
  <si>
    <t>NIGHT DRESSES mar 2023</t>
  </si>
  <si>
    <t>BAYKER PANTIES mar 2023</t>
  </si>
  <si>
    <t>mar 2023stock</t>
  </si>
  <si>
    <t>prisca</t>
  </si>
  <si>
    <t>MARYLAND</t>
  </si>
  <si>
    <t>aqua blue trousers</t>
  </si>
  <si>
    <t>light blue trousers</t>
  </si>
  <si>
    <t>lime green trousers</t>
  </si>
  <si>
    <t>NESLY</t>
  </si>
  <si>
    <t>black  w blue pinstripe</t>
  </si>
  <si>
    <t>black skirt and jacket suit</t>
  </si>
  <si>
    <t>light blue formal dress</t>
  </si>
  <si>
    <t>beige lace dress</t>
  </si>
  <si>
    <t>salary Pau</t>
  </si>
  <si>
    <t>savings</t>
  </si>
  <si>
    <t>air ticcket</t>
  </si>
  <si>
    <t>stock purchase</t>
  </si>
  <si>
    <t>travel costs(emirates 5 bags xcess baggage airport)</t>
  </si>
  <si>
    <t>TEMEL CARGO 29 MAR '23</t>
  </si>
  <si>
    <t>SA RUMBI 30 MAR 2023</t>
  </si>
  <si>
    <t>discounted $5 balance on account</t>
  </si>
  <si>
    <t>house construction + solar</t>
  </si>
  <si>
    <t>from Exotic avondale</t>
  </si>
  <si>
    <t>march</t>
  </si>
  <si>
    <t>APRIL ORDER</t>
  </si>
  <si>
    <t>BLACK BOOT W SIDE ELASTIC SIDES</t>
  </si>
  <si>
    <t>mashingaidze</t>
  </si>
  <si>
    <t>MAY</t>
  </si>
  <si>
    <t>layby eve mutsvangwa - returned</t>
  </si>
  <si>
    <t>thomas</t>
  </si>
  <si>
    <t>army green bandage skirt</t>
  </si>
  <si>
    <t>ezgi</t>
  </si>
  <si>
    <t>pink satin skirt w pink top</t>
  </si>
  <si>
    <t>flowery skirt w  w black top</t>
  </si>
  <si>
    <t>TROUSER SET</t>
  </si>
  <si>
    <t>navy chiffon</t>
  </si>
  <si>
    <t>white w front zip</t>
  </si>
  <si>
    <t>beige w side pleats</t>
  </si>
  <si>
    <t>FI &amp; BI</t>
  </si>
  <si>
    <t>GOWNS</t>
  </si>
  <si>
    <t>gold gown replacement</t>
  </si>
  <si>
    <t>rose gold replacement</t>
  </si>
  <si>
    <t>nesly</t>
  </si>
  <si>
    <t>coffee scotch small size</t>
  </si>
  <si>
    <t>stripe trouser suit</t>
  </si>
  <si>
    <t>grey/white houndstooth blazer</t>
  </si>
  <si>
    <t>black/white houndstooth w button front</t>
  </si>
  <si>
    <t>beige/black houndstooth w front zip and hood</t>
  </si>
  <si>
    <t>black short velvet</t>
  </si>
  <si>
    <t>maroon long</t>
  </si>
  <si>
    <t>navy long</t>
  </si>
  <si>
    <t>black /white jersey w fur neck</t>
  </si>
  <si>
    <t>black long   wrong colour, shared w bessie</t>
  </si>
  <si>
    <t>meter</t>
  </si>
  <si>
    <t>black thick palazzo</t>
  </si>
  <si>
    <t>blue trouser set w blue white blouse</t>
  </si>
  <si>
    <t>round</t>
  </si>
  <si>
    <t>sky blue ladies shirt</t>
  </si>
  <si>
    <t>wallets</t>
  </si>
  <si>
    <t>green</t>
  </si>
  <si>
    <t>7-13 march</t>
  </si>
  <si>
    <t>black with rose design</t>
  </si>
  <si>
    <t>coffee polo neck</t>
  </si>
  <si>
    <t>navy  polo neck</t>
  </si>
  <si>
    <t>maroon polo neck</t>
  </si>
  <si>
    <t>black polo neck</t>
  </si>
  <si>
    <t>red polo neck</t>
  </si>
  <si>
    <t>pink polo neck</t>
  </si>
  <si>
    <t>navy .</t>
  </si>
  <si>
    <t>beige bandage skirt</t>
  </si>
  <si>
    <t>moons</t>
  </si>
  <si>
    <t>misi  Misia</t>
  </si>
  <si>
    <t>simoda</t>
  </si>
  <si>
    <t>coffee crew neck</t>
  </si>
  <si>
    <t>navy crew neck</t>
  </si>
  <si>
    <t>black crew neck</t>
  </si>
  <si>
    <t>maroon crew neck</t>
  </si>
  <si>
    <t>beige crew neck</t>
  </si>
  <si>
    <t>nexxen</t>
  </si>
  <si>
    <t>grey crew neck</t>
  </si>
  <si>
    <t>red crew neck</t>
  </si>
  <si>
    <t>white crew neck</t>
  </si>
  <si>
    <t>ravir</t>
  </si>
  <si>
    <t>guess black sling bag</t>
  </si>
  <si>
    <t>vende moda</t>
  </si>
  <si>
    <t>black  w black /white neck&amp; sleeve</t>
  </si>
  <si>
    <t>grey/navy  woolen</t>
  </si>
  <si>
    <t>moda</t>
  </si>
  <si>
    <t>tenim</t>
  </si>
  <si>
    <t>wool white /black</t>
  </si>
  <si>
    <t>Cosert upper</t>
  </si>
  <si>
    <t>cosert bottom</t>
  </si>
  <si>
    <t xml:space="preserve">bayker </t>
  </si>
  <si>
    <t>Beige</t>
  </si>
  <si>
    <t>black.</t>
  </si>
  <si>
    <t>orange 3 piece</t>
  </si>
  <si>
    <t>NAVY</t>
  </si>
  <si>
    <t>BEIGE</t>
  </si>
  <si>
    <t>M/L</t>
  </si>
  <si>
    <t>MAROON TROUSER SET</t>
  </si>
  <si>
    <t>PURPLE Avondale</t>
  </si>
  <si>
    <t>beige  w lace</t>
  </si>
  <si>
    <t>payments due</t>
  </si>
  <si>
    <t>rent T/P</t>
  </si>
  <si>
    <t>legenda dresses</t>
  </si>
  <si>
    <t>solar</t>
  </si>
  <si>
    <t>cash on hand</t>
  </si>
  <si>
    <t>DIFFERENCE</t>
  </si>
  <si>
    <t>cosmas</t>
  </si>
  <si>
    <t>sales 19 may</t>
  </si>
  <si>
    <t>avondale rental june</t>
  </si>
  <si>
    <t>sales 20 may</t>
  </si>
  <si>
    <t>lilian</t>
  </si>
  <si>
    <t>blue/white scotch blazer</t>
  </si>
  <si>
    <t>wnd</t>
  </si>
  <si>
    <t>grey jeggins w thick waistband &amp; belt</t>
  </si>
  <si>
    <t>cargo jerseys</t>
  </si>
  <si>
    <t>sales 24 may</t>
  </si>
  <si>
    <t xml:space="preserve">sales 25 may </t>
  </si>
  <si>
    <t>sales 26 may</t>
  </si>
  <si>
    <t>sales 27 may</t>
  </si>
  <si>
    <t xml:space="preserve"> sales 29 may</t>
  </si>
  <si>
    <t>sales 30 may</t>
  </si>
  <si>
    <t>balance fromlast payment</t>
  </si>
  <si>
    <t>returned in stock. Small size</t>
  </si>
  <si>
    <t>ARIENS</t>
  </si>
  <si>
    <t>TURKEY TRIP MAY 2023</t>
  </si>
  <si>
    <t>TURKEY MAY 2023</t>
  </si>
  <si>
    <t>MAY 2023 TURKEY</t>
  </si>
  <si>
    <t>TURKEY MAY 2023 STOCK</t>
  </si>
  <si>
    <t>black trouser w black/white top</t>
  </si>
  <si>
    <t>may 2023 stock</t>
  </si>
  <si>
    <t>MAY 2023 STOCK</t>
  </si>
  <si>
    <t>WALLETS</t>
  </si>
  <si>
    <t>JUNE</t>
  </si>
  <si>
    <t>including black fur jersey from avondale</t>
  </si>
  <si>
    <t>vova</t>
  </si>
  <si>
    <t>mrs umali layby returned 8 june</t>
  </si>
  <si>
    <t>ruth tsopotsa</t>
  </si>
  <si>
    <t>mawango</t>
  </si>
  <si>
    <t>atik</t>
  </si>
  <si>
    <t>cash returned Boka</t>
  </si>
  <si>
    <t>garage</t>
  </si>
  <si>
    <t>pavement round the cottage</t>
  </si>
  <si>
    <t>back veranda &amp; steps</t>
  </si>
  <si>
    <t>lounge pavement &amp; steps</t>
  </si>
  <si>
    <t>cottage inside</t>
  </si>
  <si>
    <t>bathroom</t>
  </si>
  <si>
    <t>kitchen wall</t>
  </si>
  <si>
    <t>bathroom wall</t>
  </si>
  <si>
    <t>total garage, veranda  &amp; pavements</t>
  </si>
  <si>
    <t>total cottage inside</t>
  </si>
  <si>
    <t>total bathroom walls</t>
  </si>
  <si>
    <t>total kitchen walls</t>
  </si>
  <si>
    <t>debt mandidzinga</t>
  </si>
  <si>
    <t>debt kudzi</t>
  </si>
  <si>
    <t>debt zvinoera</t>
  </si>
  <si>
    <t>debt sheeba</t>
  </si>
  <si>
    <t>travel plaza rentals</t>
  </si>
  <si>
    <t>turkey july 2023</t>
  </si>
  <si>
    <t>smanbey</t>
  </si>
  <si>
    <t>others</t>
  </si>
  <si>
    <t>airport transport</t>
  </si>
  <si>
    <t>32 kg upload</t>
  </si>
  <si>
    <t>JULY 2023 TURKET RIP</t>
  </si>
  <si>
    <t>Beige 3 piece</t>
  </si>
  <si>
    <t>Solar store</t>
  </si>
  <si>
    <t>pink chiffon/ lace maxi dress</t>
  </si>
  <si>
    <t>royal blue chiffon dress w sleeve detail</t>
  </si>
  <si>
    <t>blue denim maxi dress</t>
  </si>
  <si>
    <t>green dress w front frill</t>
  </si>
  <si>
    <t>mazzi</t>
  </si>
  <si>
    <t>lime green pannelled dress w front zip</t>
  </si>
  <si>
    <t xml:space="preserve">lime green/purple chiffon maxi dress </t>
  </si>
  <si>
    <t>Ajar</t>
  </si>
  <si>
    <t>red dress w queen sleeves</t>
  </si>
  <si>
    <t>green/gold flared dress</t>
  </si>
  <si>
    <t>Burcak</t>
  </si>
  <si>
    <t>cream pleated skirt</t>
  </si>
  <si>
    <t>coffee pleated skirt</t>
  </si>
  <si>
    <t>zebra black/white pleated skirt</t>
  </si>
  <si>
    <t>figure</t>
  </si>
  <si>
    <t>black/ white chiffon pleated dress</t>
  </si>
  <si>
    <t>miss glamour</t>
  </si>
  <si>
    <t>blue chiffon step dress w pleated sleeves</t>
  </si>
  <si>
    <t>NESLEY</t>
  </si>
  <si>
    <t>black 2 piece suit</t>
  </si>
  <si>
    <t>black cotton/lace maxi dress</t>
  </si>
  <si>
    <t>pink / gold scuba dress</t>
  </si>
  <si>
    <t>blue  pleated w overlay</t>
  </si>
  <si>
    <t>maroon/blue chiffon dress w elastic sleeves</t>
  </si>
  <si>
    <t>red with front buckle</t>
  </si>
  <si>
    <t>beige with front buckle</t>
  </si>
  <si>
    <t>black w front buckle</t>
  </si>
  <si>
    <t>Oreya</t>
  </si>
  <si>
    <t>light brown</t>
  </si>
  <si>
    <t>pink small</t>
  </si>
  <si>
    <t>smal pink</t>
  </si>
  <si>
    <t>silver moon</t>
  </si>
  <si>
    <t>MIA</t>
  </si>
  <si>
    <t>LAZRA LINE</t>
  </si>
  <si>
    <t>LUMIENS</t>
  </si>
  <si>
    <t>marcisse</t>
  </si>
  <si>
    <t>BONITO ESTILLO</t>
  </si>
  <si>
    <t>zeratu life</t>
  </si>
  <si>
    <t>mast fashion</t>
  </si>
  <si>
    <t>palladium</t>
  </si>
  <si>
    <t>no name</t>
  </si>
  <si>
    <t>balenciaga</t>
  </si>
  <si>
    <t>gucci</t>
  </si>
  <si>
    <t>valentino</t>
  </si>
  <si>
    <t>small green. W diamond design</t>
  </si>
  <si>
    <t>ISTANBUL MAY 2023</t>
  </si>
  <si>
    <t>2-9 JULY 2023</t>
  </si>
  <si>
    <t>transport inc airport</t>
  </si>
  <si>
    <t>mbuya Josh</t>
  </si>
  <si>
    <t>grey round neck t shirt</t>
  </si>
  <si>
    <t>JULY 2023 STOCK</t>
  </si>
  <si>
    <t>elma dube</t>
  </si>
  <si>
    <t>AUGUST</t>
  </si>
  <si>
    <t>TILING</t>
  </si>
  <si>
    <t>CASHFLOWS</t>
  </si>
  <si>
    <t>SEPT</t>
  </si>
  <si>
    <t>OCT</t>
  </si>
  <si>
    <t>NOV</t>
  </si>
  <si>
    <t>DEC</t>
  </si>
  <si>
    <t>Sales</t>
  </si>
  <si>
    <t>rounds</t>
  </si>
  <si>
    <t>rounds 1000</t>
  </si>
  <si>
    <t>rounds sister sister</t>
  </si>
  <si>
    <t>rounds teamwork</t>
  </si>
  <si>
    <t>OUTFLOWS</t>
  </si>
  <si>
    <t>Salaries</t>
  </si>
  <si>
    <t>avondale rental support</t>
  </si>
  <si>
    <t>tiling projet</t>
  </si>
  <si>
    <t>paving project</t>
  </si>
  <si>
    <t>painting project</t>
  </si>
  <si>
    <t>solar project</t>
  </si>
  <si>
    <t>stock savings 40%</t>
  </si>
  <si>
    <t>general savings  12.5 %</t>
  </si>
  <si>
    <t>travel ticket &amp; accomodation</t>
  </si>
  <si>
    <t>excess deficit</t>
  </si>
  <si>
    <t>TOTAL OUTFLOW</t>
  </si>
  <si>
    <t>CAR</t>
  </si>
  <si>
    <t>cream big scarf</t>
  </si>
  <si>
    <t>pink big scarf</t>
  </si>
  <si>
    <t>small purchases</t>
  </si>
  <si>
    <t>sales actual</t>
  </si>
  <si>
    <t>general savings</t>
  </si>
  <si>
    <t>stock savings 1-3</t>
  </si>
  <si>
    <t>1. -3</t>
  </si>
  <si>
    <t>shop sundries</t>
  </si>
  <si>
    <t>allowances</t>
  </si>
  <si>
    <t>gold lace mermaid gown</t>
  </si>
  <si>
    <t>nude pleated flared gown</t>
  </si>
  <si>
    <t>9 Aug 2023 temel cargo</t>
  </si>
  <si>
    <t>melissa star</t>
  </si>
  <si>
    <t>blue/cream maxi dress</t>
  </si>
  <si>
    <t>solar store</t>
  </si>
  <si>
    <t>11 august  '23 temel cargo</t>
  </si>
  <si>
    <t>11 aug '23 temel cargo</t>
  </si>
  <si>
    <t>black clutch with roll handles</t>
  </si>
  <si>
    <t>green clutch with roll handles</t>
  </si>
  <si>
    <t>goodwill babyshop</t>
  </si>
  <si>
    <t>CAR SAVINGS</t>
  </si>
  <si>
    <t>ROUNDS 1K</t>
  </si>
  <si>
    <t>OTHER ROUNDS</t>
  </si>
  <si>
    <t>DAILY SAVINGS</t>
  </si>
  <si>
    <t>HRE ISTANBUL</t>
  </si>
  <si>
    <t xml:space="preserve"> TRIP DAYS</t>
  </si>
  <si>
    <t>TRAVEL DAYS</t>
  </si>
  <si>
    <t>WASTED DAYS</t>
  </si>
  <si>
    <t>WORK DAYS</t>
  </si>
  <si>
    <t>HOLIDAYS</t>
  </si>
  <si>
    <t>rent</t>
  </si>
  <si>
    <t>car</t>
  </si>
  <si>
    <t>box savings</t>
  </si>
  <si>
    <t>teamwork round</t>
  </si>
  <si>
    <t>collectibles goodwill</t>
  </si>
  <si>
    <t>fsbs round</t>
  </si>
  <si>
    <t>sales target</t>
  </si>
  <si>
    <t>20 september temel cargo</t>
  </si>
  <si>
    <t>orange cotton dress</t>
  </si>
  <si>
    <t>pink cotton dress</t>
  </si>
  <si>
    <t>20 sept '23 temel cargo</t>
  </si>
  <si>
    <t>maroon w leather zip</t>
  </si>
  <si>
    <t>black w front buckle &amp; sleeve design</t>
  </si>
  <si>
    <t>added  when we moved winter stock to avondale</t>
  </si>
  <si>
    <t>from avondale</t>
  </si>
  <si>
    <t>to travel plaza sale</t>
  </si>
  <si>
    <t>from avondale to t/p sale</t>
  </si>
  <si>
    <t>denim shirts</t>
  </si>
  <si>
    <t>red/blue</t>
  </si>
  <si>
    <t>white flared boob material</t>
  </si>
  <si>
    <t>green/ white one arm</t>
  </si>
  <si>
    <t>blue camisole</t>
  </si>
  <si>
    <t>black rose</t>
  </si>
  <si>
    <t>black/white trouser set</t>
  </si>
  <si>
    <t>quizaz</t>
  </si>
  <si>
    <t>black/green dress</t>
  </si>
  <si>
    <t>black/beige dress</t>
  </si>
  <si>
    <t>white pepper</t>
  </si>
  <si>
    <t>orange/white 2 pc trouser set</t>
  </si>
  <si>
    <t>orange cotton shirt</t>
  </si>
  <si>
    <t>white cotton shirt</t>
  </si>
  <si>
    <t>black stretch gown</t>
  </si>
  <si>
    <t>green satin pleated summer dress</t>
  </si>
  <si>
    <t xml:space="preserve">orange cotton dress </t>
  </si>
  <si>
    <t>green cotton dress</t>
  </si>
  <si>
    <t>pink pleated sain dress w high/low hem</t>
  </si>
  <si>
    <t>SHORTS</t>
  </si>
  <si>
    <t>DENIM FLOWERY SHORTS</t>
  </si>
  <si>
    <t>ARIZONA</t>
  </si>
  <si>
    <t>green satin dress</t>
  </si>
  <si>
    <t>brown / mint green chiffon leopard print</t>
  </si>
  <si>
    <t>orange white blue  2 piece chiffon</t>
  </si>
  <si>
    <t>army print top w white cami</t>
  </si>
  <si>
    <t>OCTOBER</t>
  </si>
  <si>
    <t>NEW YORK USA</t>
  </si>
  <si>
    <t>ESMERALDA</t>
  </si>
  <si>
    <t>CONNECTED</t>
  </si>
  <si>
    <t>green dress w side ruffle</t>
  </si>
  <si>
    <t xml:space="preserve">long black dress w ruched waist </t>
  </si>
  <si>
    <t>gold dress long</t>
  </si>
  <si>
    <t>green flowery short dress</t>
  </si>
  <si>
    <t>long dress w stripes</t>
  </si>
  <si>
    <t>peach chiffon flowery layered dress</t>
  </si>
  <si>
    <t>effetto fashion</t>
  </si>
  <si>
    <t>benich</t>
  </si>
  <si>
    <t>navy long gown w glitter</t>
  </si>
  <si>
    <t>navy/white party dress w white flowery bottom</t>
  </si>
  <si>
    <t>FT NY INC</t>
  </si>
  <si>
    <t>DENIM STRAP DRESS VLNT</t>
  </si>
  <si>
    <t>purple flowery loose dress 2 pc</t>
  </si>
  <si>
    <t>ross</t>
  </si>
  <si>
    <t>fig &amp; flower</t>
  </si>
  <si>
    <t>flowery blouse</t>
  </si>
  <si>
    <t>blue open sandals</t>
  </si>
  <si>
    <t>gbg</t>
  </si>
  <si>
    <t>beige flat sandals</t>
  </si>
  <si>
    <t>paid 70 mai Muti</t>
  </si>
  <si>
    <t>muti</t>
  </si>
  <si>
    <t>airport top up</t>
  </si>
  <si>
    <t>liberty</t>
  </si>
  <si>
    <t>black square heel court shoe</t>
  </si>
  <si>
    <t xml:space="preserve"> black court shoe</t>
  </si>
  <si>
    <t>soda</t>
  </si>
  <si>
    <t>impo</t>
  </si>
  <si>
    <t>report</t>
  </si>
  <si>
    <t>brown studded sandals</t>
  </si>
  <si>
    <t>serdar</t>
  </si>
  <si>
    <t>zanele</t>
  </si>
  <si>
    <t>200 short latr paid and used on simukai support</t>
  </si>
  <si>
    <t>300 came late, was used on turkey trip</t>
  </si>
  <si>
    <t>paid 14800</t>
  </si>
  <si>
    <t>istanbul sept/oct</t>
  </si>
  <si>
    <t>new york</t>
  </si>
  <si>
    <t>25-29 15-18</t>
  </si>
  <si>
    <t>30-14 oct</t>
  </si>
  <si>
    <t>new york/ florida</t>
  </si>
  <si>
    <t>Coco</t>
  </si>
  <si>
    <t>black dress w silver embroidery &amp;chiffon outer</t>
  </si>
  <si>
    <t>aqua dress w sleeve &amp;front glitter &amp; chiffon outer</t>
  </si>
  <si>
    <t>beige/brown/army green 2 pc chiffon dress</t>
  </si>
  <si>
    <t>navy/cream pleated w navy top</t>
  </si>
  <si>
    <t>navy dress w white embroidery</t>
  </si>
  <si>
    <t>BABY WEAR</t>
  </si>
  <si>
    <t>mint green pleated dress</t>
  </si>
  <si>
    <t>Julia Jordan</t>
  </si>
  <si>
    <t>18W</t>
  </si>
  <si>
    <t>robbie Bee</t>
  </si>
  <si>
    <t>donna ricco</t>
  </si>
  <si>
    <t>black &amp; white chiffon flared</t>
  </si>
  <si>
    <t>14 w</t>
  </si>
  <si>
    <t>sandra darren</t>
  </si>
  <si>
    <t>2 xl</t>
  </si>
  <si>
    <t>lumiens</t>
  </si>
  <si>
    <t>sadossa</t>
  </si>
  <si>
    <t>zuvara casual</t>
  </si>
  <si>
    <t>e</t>
  </si>
  <si>
    <t>EXOTIC BLOSSOM</t>
  </si>
  <si>
    <t>COLLECTABLES</t>
  </si>
  <si>
    <t>goodwill + stock payment</t>
  </si>
  <si>
    <t>car instalment</t>
  </si>
  <si>
    <t>simukai</t>
  </si>
  <si>
    <t>tembani</t>
  </si>
  <si>
    <t>fsbs club</t>
  </si>
  <si>
    <t>SEPTEMBER . 2023</t>
  </si>
  <si>
    <t>sept. 2023</t>
  </si>
  <si>
    <t>SEPT. 2023</t>
  </si>
  <si>
    <t>ross USA</t>
  </si>
  <si>
    <t>USA STOCK SEPT 2023</t>
  </si>
  <si>
    <t>via torino</t>
  </si>
  <si>
    <t>white/ silver  ball gown</t>
  </si>
  <si>
    <t>from avondale to home</t>
  </si>
  <si>
    <t>baby shop good will</t>
  </si>
  <si>
    <t>mai poly</t>
  </si>
  <si>
    <t>dr zezai</t>
  </si>
  <si>
    <t>raviro returned cash</t>
  </si>
  <si>
    <t>events garden</t>
  </si>
  <si>
    <t>Macy tagwirei</t>
  </si>
  <si>
    <t>bal b/d</t>
  </si>
  <si>
    <t>receipt books</t>
  </si>
  <si>
    <t>makuwerere</t>
  </si>
  <si>
    <t>mai rev</t>
  </si>
  <si>
    <t>TURKEY  NOV 2023</t>
  </si>
  <si>
    <t>evalorin</t>
  </si>
  <si>
    <t>pink pleated dress w steps</t>
  </si>
  <si>
    <t xml:space="preserve">white pleated dress </t>
  </si>
  <si>
    <t>black dress w zip &amp; folded collar</t>
  </si>
  <si>
    <t>white chiffon pleated dress w overlay</t>
  </si>
  <si>
    <t xml:space="preserve">pink flowery  maxi dress </t>
  </si>
  <si>
    <t>green chiffon w lace design</t>
  </si>
  <si>
    <t>navy gown</t>
  </si>
  <si>
    <t>beige leopard print maxi</t>
  </si>
  <si>
    <t>red/navy/white shirt dress</t>
  </si>
  <si>
    <t>green /white shirt dress</t>
  </si>
  <si>
    <t>orange/ multi colour shirt dress</t>
  </si>
  <si>
    <t>prive/ fiero</t>
  </si>
  <si>
    <t>gold gown</t>
  </si>
  <si>
    <t>beige maxi dress</t>
  </si>
  <si>
    <t>gold pleated short gown</t>
  </si>
  <si>
    <t>navy pleated short gown</t>
  </si>
  <si>
    <t>burnt gold pleated long gown</t>
  </si>
  <si>
    <t>zebra print dress w top</t>
  </si>
  <si>
    <t>beige chiffon dress</t>
  </si>
  <si>
    <t>navy/white w navy hem dress</t>
  </si>
  <si>
    <t>baleno</t>
  </si>
  <si>
    <t>black w polka dot flared skirt</t>
  </si>
  <si>
    <t>black small</t>
  </si>
  <si>
    <t>ysl</t>
  </si>
  <si>
    <t>balmain</t>
  </si>
  <si>
    <t>mk</t>
  </si>
  <si>
    <t>beige/brown w buckle</t>
  </si>
  <si>
    <t>marc jacobs</t>
  </si>
  <si>
    <t>silver</t>
  </si>
  <si>
    <t>end november</t>
  </si>
  <si>
    <t>roundtable</t>
  </si>
  <si>
    <t>temba</t>
  </si>
  <si>
    <t>mai nyasha</t>
  </si>
  <si>
    <t xml:space="preserve">jan </t>
  </si>
  <si>
    <t xml:space="preserve">istanbul </t>
  </si>
  <si>
    <t>13-20nov</t>
  </si>
  <si>
    <t>black w gold mix</t>
  </si>
  <si>
    <t>chidanho</t>
  </si>
  <si>
    <t>baby shop original  stock pur</t>
  </si>
  <si>
    <t>platin</t>
  </si>
  <si>
    <t>vblack sling bag</t>
  </si>
  <si>
    <t>lv</t>
  </si>
  <si>
    <t>fimas</t>
  </si>
  <si>
    <t>bagezza</t>
  </si>
  <si>
    <t>elisa star</t>
  </si>
  <si>
    <t>love me</t>
  </si>
  <si>
    <t>piamo</t>
  </si>
  <si>
    <t>donatella</t>
  </si>
  <si>
    <t>ladonatella</t>
  </si>
  <si>
    <t>ACR</t>
  </si>
  <si>
    <t>salary Nyadzi</t>
  </si>
  <si>
    <t>nov 2023 stock</t>
  </si>
  <si>
    <t>NOV 2023 STOCK</t>
  </si>
  <si>
    <t>black large</t>
  </si>
  <si>
    <t>pink large</t>
  </si>
  <si>
    <t>green smalll</t>
  </si>
  <si>
    <t>white small</t>
  </si>
  <si>
    <t>`</t>
  </si>
  <si>
    <t>S/T DEC '23</t>
  </si>
  <si>
    <t>mint green gown</t>
  </si>
  <si>
    <t>narcisse</t>
  </si>
  <si>
    <t>annet</t>
  </si>
  <si>
    <t>green FLARED boob material</t>
  </si>
  <si>
    <t>stock not on stock sheet</t>
  </si>
  <si>
    <t>mardi</t>
  </si>
  <si>
    <t xml:space="preserve">green/beige floral flared dress repeat - </t>
  </si>
  <si>
    <t>mahufe returned</t>
  </si>
  <si>
    <t xml:space="preserve">from avondale - </t>
  </si>
  <si>
    <t>added dec '23 stock take</t>
  </si>
  <si>
    <t>peach/navy w chiffon upper</t>
  </si>
  <si>
    <t>julyet</t>
  </si>
  <si>
    <t>nude/pink tracksuit</t>
  </si>
  <si>
    <t>added dec '23 stocktake</t>
  </si>
  <si>
    <t xml:space="preserve">versace </t>
  </si>
  <si>
    <t>grey 2 piece track suit from avondale</t>
  </si>
  <si>
    <t>red round neck t shirt short sleeve</t>
  </si>
  <si>
    <t>added dec s/take</t>
  </si>
  <si>
    <t>oreya white t shirt w front glitter</t>
  </si>
  <si>
    <t>light throw BEIGE with glitter front</t>
  </si>
  <si>
    <t>light throw BLUE with glitter front</t>
  </si>
  <si>
    <t>ADDED DEC S/TAKE</t>
  </si>
  <si>
    <t>cash returned</t>
  </si>
  <si>
    <t>FROM AVONDALE</t>
  </si>
  <si>
    <t>navy  w leopard print design</t>
  </si>
  <si>
    <t>navy w leopard print design</t>
  </si>
  <si>
    <t>prada</t>
  </si>
  <si>
    <t>navy 3 piece</t>
  </si>
  <si>
    <t>vannes syd</t>
  </si>
  <si>
    <t>added nov trip shop replacement</t>
  </si>
  <si>
    <t>added dec stock take</t>
  </si>
  <si>
    <t>BEIGE  bluebig scarf</t>
  </si>
  <si>
    <t>coffee / BLUE big scarf</t>
  </si>
  <si>
    <t>shop under delivered - then replaced</t>
  </si>
  <si>
    <t>coffee suit</t>
  </si>
  <si>
    <t>nesly coffee suit</t>
  </si>
  <si>
    <t>TANGO EZGI</t>
  </si>
  <si>
    <t>PINK TOP/FLOWERY SKIRT</t>
  </si>
  <si>
    <t>pink top w flowery skirt 42/44</t>
  </si>
  <si>
    <t>from prev account</t>
  </si>
  <si>
    <t>disc on dresses</t>
  </si>
  <si>
    <t xml:space="preserve">FI &amp; BI </t>
  </si>
  <si>
    <t xml:space="preserve">black jeggin 46 </t>
  </si>
  <si>
    <t>sold but not on stocksheet</t>
  </si>
  <si>
    <t xml:space="preserve">baby wear omer </t>
  </si>
  <si>
    <t>mrs komichi</t>
  </si>
  <si>
    <t>mashingaidze abiba</t>
  </si>
  <si>
    <t>grey/blue scotch big scotch no belt</t>
  </si>
  <si>
    <t>coffee scotch winter  thick material</t>
  </si>
  <si>
    <t>coffee scotch  small size</t>
  </si>
  <si>
    <t>SIZE CHANGED FRON 44 TO 50</t>
  </si>
  <si>
    <t>denim skirt big size w pocket design</t>
  </si>
  <si>
    <t>confirm - redonna was more by 1</t>
  </si>
  <si>
    <t>pink hot</t>
  </si>
  <si>
    <t>gold changed</t>
  </si>
  <si>
    <t xml:space="preserve">clutch bag black </t>
  </si>
  <si>
    <t xml:space="preserve">clutch bag royal blue </t>
  </si>
  <si>
    <t xml:space="preserve">clutch bag gold </t>
  </si>
  <si>
    <t xml:space="preserve">clutch bag pink </t>
  </si>
  <si>
    <t>green clutch</t>
  </si>
  <si>
    <t>gold embroidered</t>
  </si>
  <si>
    <t>clutch red</t>
  </si>
  <si>
    <t>half moon  black broken clutch</t>
  </si>
  <si>
    <t>layby machenga returned</t>
  </si>
  <si>
    <t>beige suede to give away to give away</t>
  </si>
  <si>
    <t>miss black</t>
  </si>
  <si>
    <t>black high cut  leather  boot w elastic sides</t>
  </si>
  <si>
    <t>7M</t>
  </si>
  <si>
    <t>sperbalist</t>
  </si>
  <si>
    <t>brown sandals with velcro straps</t>
  </si>
  <si>
    <t>black leather court shoes</t>
  </si>
  <si>
    <t>missing skirt</t>
  </si>
  <si>
    <t>payment for missing skirt</t>
  </si>
  <si>
    <t>layby mrs ndhlovu RETURNED</t>
  </si>
  <si>
    <t>makaita</t>
  </si>
  <si>
    <t>81 skirts sold</t>
  </si>
  <si>
    <t>44  sold 2023</t>
  </si>
  <si>
    <t>SCARVES</t>
  </si>
  <si>
    <t>PAJAMAS/ NIGHTIES</t>
  </si>
  <si>
    <t>arzuw</t>
  </si>
  <si>
    <t>black cosert full body ( swimming costume like)</t>
  </si>
  <si>
    <t>hot pink band</t>
  </si>
  <si>
    <t>faint  pink band</t>
  </si>
  <si>
    <t>blush pink band</t>
  </si>
  <si>
    <t>turquoise band</t>
  </si>
  <si>
    <t>beige band</t>
  </si>
  <si>
    <t>grey band</t>
  </si>
  <si>
    <t xml:space="preserve">consignment stock bulawayo lady </t>
  </si>
  <si>
    <t>moda fly - black dress w flared polka dot bottonm 44</t>
  </si>
  <si>
    <t>transfer bank</t>
  </si>
  <si>
    <t>kifayette blue top w ruffled neck54 mudirira</t>
  </si>
  <si>
    <t>cr inst zanele</t>
  </si>
  <si>
    <t>layby sara pardussi navy jacket sale 48</t>
  </si>
  <si>
    <t>miss rose green satin top 50</t>
  </si>
  <si>
    <t>miss rose black satin top 50</t>
  </si>
  <si>
    <t>modafly black dres w polka dot bottom 46</t>
  </si>
  <si>
    <t>lasiea navy skirt w bottom frill sale</t>
  </si>
  <si>
    <t xml:space="preserve">cr inst handina </t>
  </si>
  <si>
    <t>layby mrs chikwanha elisa star pink flowery maxi 44</t>
  </si>
  <si>
    <t>elisa star blue flowery chiffon maxi 42</t>
  </si>
  <si>
    <t>altin yak maroon tennis sale 37</t>
  </si>
  <si>
    <t>layby inst Sarah</t>
  </si>
  <si>
    <t>ixora mint green chiffon gown 58</t>
  </si>
  <si>
    <t>layby inst mrs chibwe</t>
  </si>
  <si>
    <t>1K ROUND</t>
  </si>
  <si>
    <t>FSBS  club round</t>
  </si>
  <si>
    <t>transport x2 weeks</t>
  </si>
  <si>
    <t>week 1-2</t>
  </si>
  <si>
    <t>personal round table</t>
  </si>
  <si>
    <t>simukai support jan</t>
  </si>
  <si>
    <t xml:space="preserve">returned in stock ruth tsopotsa - dissa beige/black 44 </t>
  </si>
  <si>
    <t>haza scotch jacket w zip design44</t>
  </si>
  <si>
    <t>layby chikwanha</t>
  </si>
  <si>
    <t>chikwanha</t>
  </si>
  <si>
    <t>cash ivy</t>
  </si>
  <si>
    <t>layby inst  sara</t>
  </si>
  <si>
    <t>from avondale layby sarah</t>
  </si>
  <si>
    <t>cash.</t>
  </si>
  <si>
    <t>cash mudirira</t>
  </si>
  <si>
    <t>account already deleted</t>
  </si>
  <si>
    <t>returned in stock ruth tsopotsa</t>
  </si>
  <si>
    <t>from avondale cash</t>
  </si>
  <si>
    <t>self</t>
  </si>
  <si>
    <t>alevva denim / satin maxi dress 52</t>
  </si>
  <si>
    <t>platin pink dress 44</t>
  </si>
  <si>
    <t>Q</t>
  </si>
  <si>
    <t>yr 10 2024</t>
  </si>
  <si>
    <t>cr purchase raviro</t>
  </si>
  <si>
    <t>scosta light blue shirt 44</t>
  </si>
  <si>
    <t>la gazelle black trousers w belt 46</t>
  </si>
  <si>
    <t>liberty returned - raviro</t>
  </si>
  <si>
    <t>home</t>
  </si>
  <si>
    <t>?????</t>
  </si>
  <si>
    <t>???????</t>
  </si>
  <si>
    <t>??????</t>
  </si>
  <si>
    <t>???</t>
  </si>
  <si>
    <t>SALE</t>
  </si>
  <si>
    <t>nude beige max  dress 44</t>
  </si>
  <si>
    <t>firmas beige dress 44</t>
  </si>
  <si>
    <t>luani orange casual dress w front design sale</t>
  </si>
  <si>
    <t>avondale loss</t>
  </si>
  <si>
    <t>confirm with home</t>
  </si>
  <si>
    <t>confirm w home</t>
  </si>
  <si>
    <t>layby instalment  ruth tsopotsa</t>
  </si>
  <si>
    <t>returned in stock</t>
  </si>
  <si>
    <t>cash chatora s</t>
  </si>
  <si>
    <t>from avondale to t/p sale cash</t>
  </si>
  <si>
    <t>cr inst lilian</t>
  </si>
  <si>
    <t>week 3</t>
  </si>
  <si>
    <t>15-20 jan</t>
  </si>
  <si>
    <t>transport tatenda</t>
  </si>
  <si>
    <t>fire extinguisher service</t>
  </si>
  <si>
    <t>shop supplies</t>
  </si>
  <si>
    <t>personal,</t>
  </si>
  <si>
    <t>gold shawl</t>
  </si>
  <si>
    <t>cr inst matsika</t>
  </si>
  <si>
    <t>layby nyadzi collectables - versace red tracksuit 3xl</t>
  </si>
  <si>
    <t>vende black dress w black/white neck 54</t>
  </si>
  <si>
    <t>miss rose green satin top 46</t>
  </si>
  <si>
    <t>nyadzi layby</t>
  </si>
  <si>
    <t>nyadzi</t>
  </si>
  <si>
    <t>agneschitsike layby returned - cash</t>
  </si>
  <si>
    <t>elegant line green/white shirt dress 46</t>
  </si>
  <si>
    <t>layby mrs mhonda - nude black/gold dress 48</t>
  </si>
  <si>
    <t>cash mrs mhonda</t>
  </si>
  <si>
    <t>layby mrs mhonda</t>
  </si>
  <si>
    <t>mrs mhonda</t>
  </si>
  <si>
    <t>bayker panty black 6</t>
  </si>
  <si>
    <t xml:space="preserve">brown wallet </t>
  </si>
  <si>
    <t>credit inst mai rev makuwerere</t>
  </si>
  <si>
    <t>8 bayker panties black 5</t>
  </si>
  <si>
    <t>18 bayker panties size 4</t>
  </si>
  <si>
    <t xml:space="preserve">cash </t>
  </si>
  <si>
    <t>silver polo capone</t>
  </si>
  <si>
    <t>x2 bayker panty  5  black &amp; colour</t>
  </si>
  <si>
    <t>paid towards menswear</t>
  </si>
  <si>
    <t>cr inst mutanho</t>
  </si>
  <si>
    <t>layby nyereyemhuka - beyzaz blue/white dress 38</t>
  </si>
  <si>
    <t>layby inst mai poly</t>
  </si>
  <si>
    <t>hember beige bandage skirt 38</t>
  </si>
  <si>
    <t>layby inst sarah</t>
  </si>
  <si>
    <t>layby mrs sakupwanya</t>
  </si>
  <si>
    <t>nude pink maxi dress - mai muti</t>
  </si>
  <si>
    <t>jupiter green pleated dress w gold design 54</t>
  </si>
  <si>
    <t>love me navy/white w navy hem 50</t>
  </si>
  <si>
    <t>cr inst mrs mawango</t>
  </si>
  <si>
    <t>miss glamour blue chiffon step dress w pleated sleeves</t>
  </si>
  <si>
    <t>layby inst mrs sakupwanya</t>
  </si>
  <si>
    <t>22-27 jan</t>
  </si>
  <si>
    <t>plastic packaging</t>
  </si>
  <si>
    <t>scosta ladies shirt 54 yellow stripe old stock</t>
  </si>
  <si>
    <t>nyereyemhuka</t>
  </si>
  <si>
    <t>layby nyereyemhuka</t>
  </si>
  <si>
    <t>sakupwanya</t>
  </si>
  <si>
    <t>layby sakupwanya</t>
  </si>
  <si>
    <t xml:space="preserve"> layby denis - big number black heed sandals 41</t>
  </si>
  <si>
    <t>layby inst dr zezai</t>
  </si>
  <si>
    <t>atik black tights xxl</t>
  </si>
  <si>
    <t>Dennis  restaurant</t>
  </si>
  <si>
    <t>x2 bayker panties beige &amp; black size 6</t>
  </si>
  <si>
    <t>mrs mawango</t>
  </si>
  <si>
    <t>w</t>
  </si>
  <si>
    <t>cr pur tete chipo</t>
  </si>
  <si>
    <t xml:space="preserve">oreya army green multi colour 2pc </t>
  </si>
  <si>
    <t>samsara orange multi colour 2pc</t>
  </si>
  <si>
    <t>oreya mustard top w front design 2xl</t>
  </si>
  <si>
    <t>credit tete chipo</t>
  </si>
  <si>
    <t>tete chipo</t>
  </si>
  <si>
    <t>avondale stocksheet</t>
  </si>
  <si>
    <t>cr inst sandra stanbic</t>
  </si>
  <si>
    <t>royal blue clutch bag</t>
  </si>
  <si>
    <t>gold embroidery clutch</t>
  </si>
  <si>
    <t>pink clutch</t>
  </si>
  <si>
    <t>black rose black/white 2 piece 44</t>
  </si>
  <si>
    <t>oreya grey t shirt</t>
  </si>
  <si>
    <t>layby Chirinda</t>
  </si>
  <si>
    <t>hember black bandage skirt 58</t>
  </si>
  <si>
    <t>oreya long sleeve t shirt green xxl</t>
  </si>
  <si>
    <t>layby inst chikwanha</t>
  </si>
  <si>
    <t>29-31 jan</t>
  </si>
  <si>
    <t>transport Pau</t>
  </si>
  <si>
    <t xml:space="preserve">FEBRUARY </t>
  </si>
  <si>
    <t>Salary Tatenda</t>
  </si>
  <si>
    <t>Salary Pau</t>
  </si>
  <si>
    <t>layby chirinda</t>
  </si>
  <si>
    <t>chirinda</t>
  </si>
  <si>
    <t>serda red/white sandals 39</t>
  </si>
  <si>
    <t>layby inst nyadzi</t>
  </si>
  <si>
    <t>sales loss</t>
  </si>
  <si>
    <t>discounts and losses</t>
  </si>
  <si>
    <t>lv brown sandal w fur 40</t>
  </si>
  <si>
    <t>vende grey/navy woolen dress - $10 from prev sale</t>
  </si>
  <si>
    <t>marc jacobs white handbag</t>
  </si>
  <si>
    <t>dissa black/beige dress 46</t>
  </si>
  <si>
    <t>adalyn navy dress w pleated back 42</t>
  </si>
  <si>
    <t>burcak black/white pleated skirt 42</t>
  </si>
  <si>
    <t>guzella navy skirt w lace 42</t>
  </si>
  <si>
    <t>returned in stock big number black heels - Denise</t>
  </si>
  <si>
    <t>exchange w marc jacobs black large handbag</t>
  </si>
  <si>
    <t>x2 oreya various coloured long sleeve tops</t>
  </si>
  <si>
    <t>oreya crew neck light knit mustard</t>
  </si>
  <si>
    <t>credit inst matsika</t>
  </si>
  <si>
    <t>layby denise returned</t>
  </si>
  <si>
    <t xml:space="preserve">returned </t>
  </si>
  <si>
    <t>cash exchange denise</t>
  </si>
  <si>
    <t>avondale - loss - check with mai rev juro</t>
  </si>
  <si>
    <t>credit inst raviro</t>
  </si>
  <si>
    <t>sadossa navy flared dress w double buttons 38</t>
  </si>
  <si>
    <t>dzyn black/cream dress w handbag38</t>
  </si>
  <si>
    <t>suzuki</t>
  </si>
  <si>
    <t>travel</t>
  </si>
  <si>
    <t xml:space="preserve">march </t>
  </si>
  <si>
    <t>rentals EB</t>
  </si>
  <si>
    <t>rentals collectibles</t>
  </si>
  <si>
    <t>salary tatenda</t>
  </si>
  <si>
    <t>net inflow/outflow</t>
  </si>
  <si>
    <t>COVID</t>
  </si>
  <si>
    <t xml:space="preserve">COVID/EASTGATE </t>
  </si>
  <si>
    <t>RECOVERY</t>
  </si>
  <si>
    <t>NORMAL</t>
  </si>
  <si>
    <t>GROWTH</t>
  </si>
  <si>
    <t>INITIAL ESTABLISHMENT</t>
  </si>
  <si>
    <t>NORMAL/ AVONDALE/CAR</t>
  </si>
  <si>
    <t>Cr inst tete nyaradzo</t>
  </si>
  <si>
    <t>cr inst tariro</t>
  </si>
  <si>
    <t>layby inst nyereyemhuka</t>
  </si>
  <si>
    <t>layby inst komichi</t>
  </si>
  <si>
    <t>layby Ushe</t>
  </si>
  <si>
    <t>hember beige bandage skirt 46</t>
  </si>
  <si>
    <t>lumience red dress  44</t>
  </si>
  <si>
    <t>modafly black /polka dot flared dress  44</t>
  </si>
  <si>
    <t>miss rose green satin top w elastic sleeves 44</t>
  </si>
  <si>
    <t>cr inst handina</t>
  </si>
  <si>
    <t>layby nyereyemhuka - mia black/white pleated dress 38</t>
  </si>
  <si>
    <t>Ushe</t>
  </si>
  <si>
    <t>layby ushe</t>
  </si>
  <si>
    <t>Nyereyemhuka</t>
  </si>
  <si>
    <t>atik pink night dress xl</t>
  </si>
  <si>
    <t>nighty pink</t>
  </si>
  <si>
    <t>we have her balance of $55</t>
  </si>
  <si>
    <t>layby chidzenga - mia black/white pleated dress 40</t>
  </si>
  <si>
    <t>nude beige dress 46</t>
  </si>
  <si>
    <t>cr inst musapatika</t>
  </si>
  <si>
    <t>cr pur musapa nude black/gold dress 50</t>
  </si>
  <si>
    <t>cr pur tariro</t>
  </si>
  <si>
    <t>fi &amp; bi jeggins maroon 50</t>
  </si>
  <si>
    <t>fi &amp; bi jeggins beige 50</t>
  </si>
  <si>
    <t>miss black olive green boots 8</t>
  </si>
  <si>
    <t>agi coffee tights on sale - gift</t>
  </si>
  <si>
    <t>inc navy flared lace dress w frilled sleeves 50</t>
  </si>
  <si>
    <t>paris red shoe 37</t>
  </si>
  <si>
    <t>miss rose black w elastic sleeves top sale 44</t>
  </si>
  <si>
    <t>chidzenga</t>
  </si>
  <si>
    <t>layby chidzenga</t>
  </si>
  <si>
    <t>f</t>
  </si>
  <si>
    <t>declared sold oct s/take tariro</t>
  </si>
  <si>
    <t>layby mai chido - burcak zebra skirt pleated 44</t>
  </si>
  <si>
    <t>madison leigh white sandals 6</t>
  </si>
  <si>
    <t>luani orange dress sale 42</t>
  </si>
  <si>
    <t>layby sigauke 412</t>
  </si>
  <si>
    <t>elegant line red/navy dress 54</t>
  </si>
  <si>
    <t>serder red/white sandals 40</t>
  </si>
  <si>
    <t>cr inst mahufe</t>
  </si>
  <si>
    <t>cr inst tete chipo</t>
  </si>
  <si>
    <t>cr pur rev mtisi - nesly black skirt suit 46</t>
  </si>
  <si>
    <t>returned in stock lumience red dress w queen sleeves ushe</t>
  </si>
  <si>
    <t>week 1</t>
  </si>
  <si>
    <t>transport allowance pau</t>
  </si>
  <si>
    <t>transport allowance tatenda</t>
  </si>
  <si>
    <t>week 2</t>
  </si>
  <si>
    <t>transport allowance tatenda  on sick leave)</t>
  </si>
  <si>
    <t>advertising online casper</t>
  </si>
  <si>
    <t>1 k round</t>
  </si>
  <si>
    <t>baby shop goodwill</t>
  </si>
  <si>
    <t>baby shop original stock</t>
  </si>
  <si>
    <t>staff december commisions</t>
  </si>
  <si>
    <t>turkey ticket  (kudzai loan)</t>
  </si>
  <si>
    <t>shop utilities  - plastic packaging</t>
  </si>
  <si>
    <t>personal fsbs jan subs</t>
  </si>
  <si>
    <t>round table jan</t>
  </si>
  <si>
    <t>STAFF LEAVE DAYS</t>
  </si>
  <si>
    <t>dec '23 - jan '24</t>
  </si>
  <si>
    <t>19-21 feb</t>
  </si>
  <si>
    <t>feb '24</t>
  </si>
  <si>
    <t>rev Mtisi</t>
  </si>
  <si>
    <t>rev mtisi</t>
  </si>
  <si>
    <t>mai chido</t>
  </si>
  <si>
    <t>sigauke</t>
  </si>
  <si>
    <t>layby sigauke</t>
  </si>
  <si>
    <t>altin yak nude  block heels 37</t>
  </si>
  <si>
    <t xml:space="preserve">cr  purchase mrs shumba </t>
  </si>
  <si>
    <t>phudra chiffon multi colour maxi 2 pc</t>
  </si>
  <si>
    <t>oreya navy t shirt jacket xl</t>
  </si>
  <si>
    <t>oreya twinset red xl</t>
  </si>
  <si>
    <t>oreya crew neck light knit burgundy</t>
  </si>
  <si>
    <t>cr inst rev mutisi</t>
  </si>
  <si>
    <t>mrs shumba</t>
  </si>
  <si>
    <t xml:space="preserve">RENTALS  </t>
  </si>
  <si>
    <t>week 4</t>
  </si>
  <si>
    <t xml:space="preserve">transport allowance tatenda  </t>
  </si>
  <si>
    <t>cargo temel</t>
  </si>
  <si>
    <t>burcak beige pleated skirt 48</t>
  </si>
  <si>
    <t>x 4 bayker panties 6 2black 2 beige</t>
  </si>
  <si>
    <t xml:space="preserve">oreya pink poloneck </t>
  </si>
  <si>
    <t>maryland coffee trousers 48</t>
  </si>
  <si>
    <t>cr inst kambarami</t>
  </si>
  <si>
    <t>shumbayarerwa</t>
  </si>
  <si>
    <t>to travel plaza sale shumbayarerwa</t>
  </si>
  <si>
    <t>home TP sale</t>
  </si>
  <si>
    <t>cash chitekedza - returned - cash</t>
  </si>
  <si>
    <t>what is  her balance</t>
  </si>
  <si>
    <t>credit inst shami</t>
  </si>
  <si>
    <t>donna ricco green flowery short dress 12</t>
  </si>
  <si>
    <t>layby   inst chidzenga</t>
  </si>
  <si>
    <t>dissa black/beige dress 42</t>
  </si>
  <si>
    <t>layby inst sugauke</t>
  </si>
  <si>
    <t>chidzenga layby</t>
  </si>
  <si>
    <t>la gazelle brown scotch trousers 48</t>
  </si>
  <si>
    <t>cr pur mai simba phone shop - volonte green chiffon dress 40</t>
  </si>
  <si>
    <t>hember bandage skirt black 46 avondale stocksheet</t>
  </si>
  <si>
    <t>mai simba phone shop</t>
  </si>
  <si>
    <t>mai simba</t>
  </si>
  <si>
    <t>miss black black boots 6</t>
  </si>
  <si>
    <t>cr pur mrs nyamakupi</t>
  </si>
  <si>
    <t>dancing queen silver/black 2 piece 48</t>
  </si>
  <si>
    <t>antonella 2 piece knit set 46</t>
  </si>
  <si>
    <t>credit inst chirinda</t>
  </si>
  <si>
    <t>nyamakupe</t>
  </si>
  <si>
    <t>nyamakupi</t>
  </si>
  <si>
    <t>verda leopard print dress- self</t>
  </si>
  <si>
    <t>bayker panty present - gogo nyamakupe</t>
  </si>
  <si>
    <t>present gogo nyamakui</t>
  </si>
  <si>
    <t>credit inst mai simba phone shop</t>
  </si>
  <si>
    <t>credit inst mai simba</t>
  </si>
  <si>
    <t>verda yellow/black casial dress w back zip</t>
  </si>
  <si>
    <t>verda black dress w zip design 46 mai bosha</t>
  </si>
  <si>
    <t>waryant line black dress w front button 48</t>
  </si>
  <si>
    <t>oreya red tshirt sale</t>
  </si>
  <si>
    <t>arizona navy dress w puff sleeves 50</t>
  </si>
  <si>
    <t>x4 bayker panties 6 (beige +3 black)</t>
  </si>
  <si>
    <t>avondale stock sheet</t>
  </si>
  <si>
    <t>PERSONAL</t>
  </si>
  <si>
    <t>personal tithe</t>
  </si>
  <si>
    <t>personal fsbs round</t>
  </si>
  <si>
    <t xml:space="preserve">round table </t>
  </si>
  <si>
    <t>isaac</t>
  </si>
  <si>
    <t>dates</t>
  </si>
  <si>
    <t>PAU # of days</t>
  </si>
  <si>
    <t>TATENDA # of days</t>
  </si>
  <si>
    <t>nyadzi # of days</t>
  </si>
  <si>
    <t>26 feb-1 mar</t>
  </si>
  <si>
    <t>verda black dress w zip design 46 - self</t>
  </si>
  <si>
    <t>inc navy flared dress 48</t>
  </si>
  <si>
    <t>zeratu life pink/gold scuba dress 42</t>
  </si>
  <si>
    <t>miss rose black satin top w elstic sleeves 48</t>
  </si>
  <si>
    <t>altin yak black leather tennis shoe 37</t>
  </si>
  <si>
    <t>credit inst mashingaidze</t>
  </si>
  <si>
    <t>wnd beige tracksuit 3pc 3xl</t>
  </si>
  <si>
    <t>beige scarf</t>
  </si>
  <si>
    <t>wioma brown winter dress  50</t>
  </si>
  <si>
    <t>cr inst shumba</t>
  </si>
  <si>
    <t>guzella grey stripped skirt w side buttons42</t>
  </si>
  <si>
    <t>kifayette blue top w front pleat design</t>
  </si>
  <si>
    <t>ysl sling bag</t>
  </si>
  <si>
    <t>cr pur macy tagwireyi</t>
  </si>
  <si>
    <t>vende black/ white scotch winter dress w bottompleats</t>
  </si>
  <si>
    <t>madanhire</t>
  </si>
  <si>
    <t>cr inst josey</t>
  </si>
  <si>
    <t>shop</t>
  </si>
  <si>
    <t>Tango</t>
  </si>
  <si>
    <t>green satin  wrap over w sheer sleeves</t>
  </si>
  <si>
    <t>gold satin  wrap over w sheer sleeves</t>
  </si>
  <si>
    <t>White pepper</t>
  </si>
  <si>
    <t>black dress w white stripe</t>
  </si>
  <si>
    <t>black rose volonte</t>
  </si>
  <si>
    <t>green pleated skirt &amp; blouse</t>
  </si>
  <si>
    <t>coffee pleated skirt &amp; blouse</t>
  </si>
  <si>
    <t>orange pleated skirt &amp; blouse</t>
  </si>
  <si>
    <t>green/white dress  net material w white belt</t>
  </si>
  <si>
    <t>denim shirt dress w white tie/dye design</t>
  </si>
  <si>
    <t>beige dress w black frill</t>
  </si>
  <si>
    <t>black/gold denim shirt dress w belt</t>
  </si>
  <si>
    <t>fervente</t>
  </si>
  <si>
    <t>hot pink pleated dress w waist design</t>
  </si>
  <si>
    <t>cream pleated dress w waist design</t>
  </si>
  <si>
    <t xml:space="preserve">gold gown </t>
  </si>
  <si>
    <t>rose gold gown</t>
  </si>
  <si>
    <t>SKIRT</t>
  </si>
  <si>
    <t>black satin skirt</t>
  </si>
  <si>
    <t>darkmen</t>
  </si>
  <si>
    <t>navy/maroon stretch top</t>
  </si>
  <si>
    <t>beige/black cotton dress</t>
  </si>
  <si>
    <t>denim look midi sleeveless dress</t>
  </si>
  <si>
    <t>green/black polka dot cotton dress</t>
  </si>
  <si>
    <t>modagun</t>
  </si>
  <si>
    <t>green chiffon short dress</t>
  </si>
  <si>
    <t>cream/hot pink chiffon dress</t>
  </si>
  <si>
    <t>army green flared chiffon dress w flower design</t>
  </si>
  <si>
    <t>cream chiffon multi colour straight dress</t>
  </si>
  <si>
    <t>orange pleated short dress</t>
  </si>
  <si>
    <t>black/beige w flared skirt</t>
  </si>
  <si>
    <t>gumanize</t>
  </si>
  <si>
    <t>orange/ zebra print dress</t>
  </si>
  <si>
    <t>orange pleated dress</t>
  </si>
  <si>
    <t>black w pink/yellow flowers</t>
  </si>
  <si>
    <t>fiero</t>
  </si>
  <si>
    <t>black /white sheer one arm gown</t>
  </si>
  <si>
    <t>rose gold gown w front slit &amp; sheer sleeve</t>
  </si>
  <si>
    <t>gold short gown</t>
  </si>
  <si>
    <t>passenger extreme</t>
  </si>
  <si>
    <t>gold pleated dress</t>
  </si>
  <si>
    <t>woolen</t>
  </si>
  <si>
    <t>beige trouser set</t>
  </si>
  <si>
    <t xml:space="preserve">black </t>
  </si>
  <si>
    <t>grey/pink</t>
  </si>
  <si>
    <t>FOOD</t>
  </si>
  <si>
    <t>staff unif</t>
  </si>
  <si>
    <t>baby</t>
  </si>
  <si>
    <t>KAPURA</t>
  </si>
  <si>
    <t>coffee scotch jacket &amp; coffee pleated skirt</t>
  </si>
  <si>
    <t>coffee scotch jacket &amp; coffee straight skirt</t>
  </si>
  <si>
    <t>aloha</t>
  </si>
  <si>
    <t>cream jacket  w winter lining inside</t>
  </si>
  <si>
    <t>wooled 2 piece skirt</t>
  </si>
  <si>
    <t>wooled 2 piece trouser</t>
  </si>
  <si>
    <t>layby inst sakupwanya</t>
  </si>
  <si>
    <t>layby mai simba</t>
  </si>
  <si>
    <t>layby inst murwira items botique</t>
  </si>
  <si>
    <t>acr  beige leopard print dress 48</t>
  </si>
  <si>
    <t>jupiter black/gold chiffon dress 56 mazanhi</t>
  </si>
  <si>
    <t>layby chikwanha?</t>
  </si>
  <si>
    <t>cash gertrude</t>
  </si>
  <si>
    <t>colour</t>
  </si>
  <si>
    <t>wioma</t>
  </si>
  <si>
    <t>brown beige winter dress</t>
  </si>
  <si>
    <t>brown winter dress w beige sleeves</t>
  </si>
  <si>
    <t>black/white scotch w bottom pleats</t>
  </si>
  <si>
    <t>cash mai prudence</t>
  </si>
  <si>
    <t>robbie bee peach chiffon layered dress 16</t>
  </si>
  <si>
    <t>macy tagwirei</t>
  </si>
  <si>
    <t>balance c/d tomarch 2024 account</t>
  </si>
  <si>
    <t>bal c/d</t>
  </si>
  <si>
    <t>wilma  brown / beige winter dress 44</t>
  </si>
  <si>
    <t>cash,</t>
  </si>
  <si>
    <t>cr inst murwira items botique</t>
  </si>
  <si>
    <t xml:space="preserve">cr inst mukuruva </t>
  </si>
  <si>
    <t>wioma brown winter dress 48</t>
  </si>
  <si>
    <t>oreya red long sleeve t shirt</t>
  </si>
  <si>
    <t>cr pur mrs handina</t>
  </si>
  <si>
    <t>my twins purple/ green dress w purple belt 42</t>
  </si>
  <si>
    <t>wnd 3 piece orange tracksuit L</t>
  </si>
  <si>
    <t>oreya navy 2 piece top sale L</t>
  </si>
  <si>
    <t>elisa star pinkflowery maxi 46</t>
  </si>
  <si>
    <t>murwira item botique</t>
  </si>
  <si>
    <t>layby murwira angel black pump 11</t>
  </si>
  <si>
    <t xml:space="preserve">beige bayek pantiesblack 5 beige 6 </t>
  </si>
  <si>
    <t>cr inst mai simba</t>
  </si>
  <si>
    <t>layby inst kanganwai</t>
  </si>
  <si>
    <t>layby kanganwai - nivola gold gown replacement 46</t>
  </si>
  <si>
    <t>kanganwai</t>
  </si>
  <si>
    <t>shoe sale settlement</t>
  </si>
  <si>
    <t>mast fashion green/white dress  48</t>
  </si>
  <si>
    <t>vende black/white scotch dress w pleated bottom44</t>
  </si>
  <si>
    <t>gold clutch bag</t>
  </si>
  <si>
    <t>luani orange casual dress 48</t>
  </si>
  <si>
    <t xml:space="preserve">cr pur gwisai </t>
  </si>
  <si>
    <t>quizas green/black  2pc dress 42</t>
  </si>
  <si>
    <t>pinema green casual dress 48</t>
  </si>
  <si>
    <t>darkwing beige /black casual dress xl</t>
  </si>
  <si>
    <t>darkwing green/black polka dot xxl</t>
  </si>
  <si>
    <t>oreya mustard t shirt L</t>
  </si>
  <si>
    <t>darkmennavy/red top xl</t>
  </si>
  <si>
    <t>x2 bayker panties colourful 6</t>
  </si>
  <si>
    <t>gwisai</t>
  </si>
  <si>
    <t>cash mazanhi</t>
  </si>
  <si>
    <t>week2</t>
  </si>
  <si>
    <t>turkey travel</t>
  </si>
  <si>
    <t>transprt</t>
  </si>
  <si>
    <t>personal (client bedspread)</t>
  </si>
  <si>
    <t>x4 bayker panties colourful 5</t>
  </si>
  <si>
    <t>oreya light throw  w glitter beige</t>
  </si>
  <si>
    <t>layby dr zezai</t>
  </si>
  <si>
    <t>cash dr zezai</t>
  </si>
  <si>
    <t>cash senzeni</t>
  </si>
  <si>
    <t>jupiter navy pleated dress w embroidery 56</t>
  </si>
  <si>
    <t>mk cream/brown handbag</t>
  </si>
  <si>
    <t>x5 bayker panties 10 beige 2 black 3</t>
  </si>
  <si>
    <t>big scarf cream/brown</t>
  </si>
  <si>
    <t>cr inst mrs chaniwa</t>
  </si>
  <si>
    <t>black palazzo pants</t>
  </si>
  <si>
    <t>bessme blouse 38</t>
  </si>
  <si>
    <t>bessme blouse 48</t>
  </si>
  <si>
    <t>mac jacobs sling bag black</t>
  </si>
  <si>
    <t>Dr Zezai</t>
  </si>
  <si>
    <t>layby zezai</t>
  </si>
  <si>
    <t>cash senseni</t>
  </si>
  <si>
    <t>m</t>
  </si>
  <si>
    <t>Mutlu ertan</t>
  </si>
  <si>
    <t>navy/white/gold stretch golf shirt</t>
  </si>
  <si>
    <t>navy/white w lace sleeveless</t>
  </si>
  <si>
    <t>beige w lace collar sleeveless</t>
  </si>
  <si>
    <t>cr inst mai Simba</t>
  </si>
  <si>
    <t>calino gold wrap over dress 42</t>
  </si>
  <si>
    <t>coco navy dress w glitter 62</t>
  </si>
  <si>
    <t>miss more black skirt w side butons 48</t>
  </si>
  <si>
    <t>pole n pole chiffon black/yellow floral dress 45</t>
  </si>
  <si>
    <t>moda mila black dress w white line 46</t>
  </si>
  <si>
    <t>black rose orange 2 pc w pleated skirt 46</t>
  </si>
  <si>
    <t>vende white/blacl scotch dress w bottom pleats 42</t>
  </si>
  <si>
    <t>f &amp; B denim shirt dress 56</t>
  </si>
  <si>
    <t>cr Inst Tariro</t>
  </si>
  <si>
    <t>ezgi pink / black skirt w pink top 42</t>
  </si>
  <si>
    <t>black rose green 2pc w pleated skirt</t>
  </si>
  <si>
    <t>baleno black &amp; beige dress 46</t>
  </si>
  <si>
    <t>cr pur mrs mandidzinga</t>
  </si>
  <si>
    <t>calino green satin wrap over gown 48</t>
  </si>
  <si>
    <t>week 3 &amp; 4</t>
  </si>
  <si>
    <t>stock pur ideal</t>
  </si>
  <si>
    <t>sending charges</t>
  </si>
  <si>
    <t>rent - OPC FEB</t>
  </si>
  <si>
    <t>REnt - OPC mar</t>
  </si>
  <si>
    <t>staff lunches</t>
  </si>
  <si>
    <t>kudzi repayment</t>
  </si>
  <si>
    <t>pole n pole black flowery dress 48</t>
  </si>
  <si>
    <t>cash mahufe</t>
  </si>
  <si>
    <t>moda milla</t>
  </si>
  <si>
    <t>mandidzinga</t>
  </si>
  <si>
    <t>APRIL</t>
  </si>
  <si>
    <t>layby bhomani pole n pole black flowery dress  42</t>
  </si>
  <si>
    <t>rouge knit dress set cream/green</t>
  </si>
  <si>
    <t>oreya red woollen top w front glitter xl</t>
  </si>
  <si>
    <t>vende scotch w bottom frill48</t>
  </si>
  <si>
    <t>wioma brown/cream dress w collar 52</t>
  </si>
  <si>
    <t>layby pur -mrs manhambare</t>
  </si>
  <si>
    <t>firmas green chiffon dress w flowers44</t>
  </si>
  <si>
    <t>nude black/gold dress 44</t>
  </si>
  <si>
    <t>layby inst chidzenga</t>
  </si>
  <si>
    <t>layby inst bhomani</t>
  </si>
  <si>
    <t>julia jordan maxi dress w stripes 10</t>
  </si>
  <si>
    <t>black wallet</t>
  </si>
  <si>
    <t>nude beige /gold dresss 46</t>
  </si>
  <si>
    <t>credit pur mrs mutimodyo</t>
  </si>
  <si>
    <t>fimas beige multi colour dress 44</t>
  </si>
  <si>
    <t>modafly black/beige dress 40</t>
  </si>
  <si>
    <t>modafly</t>
  </si>
  <si>
    <t>orange pleated short dress exchanges w mai muti for s48</t>
  </si>
  <si>
    <t>edith</t>
  </si>
  <si>
    <t>elma</t>
  </si>
  <si>
    <t>cr pur Edith &amp; Elma</t>
  </si>
  <si>
    <t>modafly orange dresses x2 48/48</t>
  </si>
  <si>
    <t>firmas green chiffon dress w flowers 48</t>
  </si>
  <si>
    <t xml:space="preserve">cr pur mrs mukuruva </t>
  </si>
  <si>
    <t xml:space="preserve">layby pur Bhomani palladuim black maxi w lace </t>
  </si>
  <si>
    <t>miss havis</t>
  </si>
  <si>
    <t>my tenim</t>
  </si>
  <si>
    <t>F &amp; B girls</t>
  </si>
  <si>
    <t>x3 bayker panties s8 black</t>
  </si>
  <si>
    <t>transport pau</t>
  </si>
  <si>
    <t>calino green wrap over dress 46</t>
  </si>
  <si>
    <t>ladonatella black/white gown 48 -one armEmilia</t>
  </si>
  <si>
    <t>dimare pink skirt 48</t>
  </si>
  <si>
    <t xml:space="preserve">back rose orange pleated 2pc </t>
  </si>
  <si>
    <t>cash mupfumi</t>
  </si>
  <si>
    <t>legenda gold short pleated gown 52 mupfumi</t>
  </si>
  <si>
    <t>bhomani</t>
  </si>
  <si>
    <t>from avondale cash sale T/P</t>
  </si>
  <si>
    <t>manhambara</t>
  </si>
  <si>
    <t>layby manhambara</t>
  </si>
  <si>
    <t>credit mukuruva</t>
  </si>
  <si>
    <t>bal 100</t>
  </si>
  <si>
    <t>mutimodyo</t>
  </si>
  <si>
    <t>credit mutimodyo</t>
  </si>
  <si>
    <t>elma/edith</t>
  </si>
  <si>
    <t>cash emilia</t>
  </si>
  <si>
    <t>miss rose green satin top 48</t>
  </si>
  <si>
    <t xml:space="preserve">black / white </t>
  </si>
  <si>
    <t>svesso</t>
  </si>
  <si>
    <t>navy w white lines</t>
  </si>
  <si>
    <t>cream/ army green pleated maxi</t>
  </si>
  <si>
    <t>noble lady</t>
  </si>
  <si>
    <t>cery textile</t>
  </si>
  <si>
    <t>black cotton casual dress w front design</t>
  </si>
  <si>
    <t>blue/multi colour dress w front glitter</t>
  </si>
  <si>
    <t>returned for formanta beige skirt w pleated bottom 48</t>
  </si>
  <si>
    <t>cash exchange for di mare pink skirt</t>
  </si>
  <si>
    <t>cargo - ideal shop consignment</t>
  </si>
  <si>
    <t>baby shop - stock pymnt to pamela 1140-500</t>
  </si>
  <si>
    <t xml:space="preserve">miss rose black satin top </t>
  </si>
  <si>
    <t>q.</t>
  </si>
  <si>
    <t>green jacket dress w double breast</t>
  </si>
  <si>
    <t>returned dimare pink skirt  skirt exch w formanta  beige skirt w pleated bottom</t>
  </si>
  <si>
    <t>cr pur mrs kambarami</t>
  </si>
  <si>
    <t>layby caroline</t>
  </si>
  <si>
    <t>pinema pink pleated dress 46</t>
  </si>
  <si>
    <t>layby inst mrs manhambara</t>
  </si>
  <si>
    <t>cr inst macy tagwirei</t>
  </si>
  <si>
    <t>layby mrs sigauke</t>
  </si>
  <si>
    <t>x4 bayker pantiere s5  black 1 grey/pink 3</t>
  </si>
  <si>
    <t>layby nyereyemhuka inv 419</t>
  </si>
  <si>
    <t>white rose denin dress 46</t>
  </si>
  <si>
    <t xml:space="preserve">layby pastor Lorraine </t>
  </si>
  <si>
    <t>moda miller black dress w stripes 48</t>
  </si>
  <si>
    <t>cr musapatika</t>
  </si>
  <si>
    <t xml:space="preserve">layby inst caroline </t>
  </si>
  <si>
    <t>layby purch  caroline gold clutch</t>
  </si>
  <si>
    <t>cr inst mukuruva</t>
  </si>
  <si>
    <t>cr pur handina - modafly black /beige dress 42</t>
  </si>
  <si>
    <t>jupiter airforce blue dresss w front  glitter 56</t>
  </si>
  <si>
    <t>darkmen black/beige dress xxl</t>
  </si>
  <si>
    <t>my tenim denim shirt dress w tie/dye design 48</t>
  </si>
  <si>
    <t>cash mrs gora</t>
  </si>
  <si>
    <t>fimas cream multi coloured dress 50</t>
  </si>
  <si>
    <t>fimas  army green dress w front flower design</t>
  </si>
  <si>
    <t>layby pur dr zezai - fimas cream multi coloured dress 46</t>
  </si>
  <si>
    <t>jupiter airforce blue dress w front glitter 50</t>
  </si>
  <si>
    <t>oreya twinset jersey navt xl</t>
  </si>
  <si>
    <t>black rose skirt 2pc w green pleated skirt 38</t>
  </si>
  <si>
    <t>f &amp; B girls black/gold shirt dress  ( Gambiza)</t>
  </si>
  <si>
    <t>calino gold satin wrap over dress 40</t>
  </si>
  <si>
    <t>gumanize orange dress w zebra print 42</t>
  </si>
  <si>
    <t>la donatella gold dress w belt 54</t>
  </si>
  <si>
    <t>layby pur kumwenda</t>
  </si>
  <si>
    <t>layby imst kumwenda</t>
  </si>
  <si>
    <t>jupiter black/gold dress 54</t>
  </si>
  <si>
    <t>darkmen green/black polka dot xxl</t>
  </si>
  <si>
    <t>jupiter navy/ cream pleated with navy overlay 54</t>
  </si>
  <si>
    <t>jupiter navy chiffon 56</t>
  </si>
  <si>
    <t>kudzai loan repayment  -  march turkey stock</t>
  </si>
  <si>
    <t>0ver</t>
  </si>
  <si>
    <t>nude - cream dress 44 mrs manhambara</t>
  </si>
  <si>
    <t xml:space="preserve">maud loan -  march turkey stock </t>
  </si>
  <si>
    <t>loan interest ruwa round table - march turkey stock</t>
  </si>
  <si>
    <t>personal midziyo round</t>
  </si>
  <si>
    <t>shop utilities brooms&amp; mops</t>
  </si>
  <si>
    <t>shop rental march  EB and Collectables</t>
  </si>
  <si>
    <t xml:space="preserve">week 3 </t>
  </si>
  <si>
    <t>14-20</t>
  </si>
  <si>
    <t>sharewealth loan repayment nov '23 turkey trip</t>
  </si>
  <si>
    <t xml:space="preserve"> OUTFITS &amp; SUITS</t>
  </si>
  <si>
    <t>APRIL 2024 KAPURA</t>
  </si>
  <si>
    <t xml:space="preserve">check last </t>
  </si>
  <si>
    <t>gumanize orange dress w zebra print 46</t>
  </si>
  <si>
    <t>annet scarlet beige/brown/green 2 pc chiffon 44</t>
  </si>
  <si>
    <t>moda 51 green double breast dress w belt 44</t>
  </si>
  <si>
    <t>9 aprl</t>
  </si>
  <si>
    <t>returned cash</t>
  </si>
  <si>
    <t>pastorLorraine</t>
  </si>
  <si>
    <t>layby pastor lorraine</t>
  </si>
  <si>
    <t>nude purple dress - mai muti stock 150 deposit 50</t>
  </si>
  <si>
    <t>cr pur zvenyika</t>
  </si>
  <si>
    <t>wioma brown/beige winter dress 56</t>
  </si>
  <si>
    <t>jupiter blue chiffon  dress 54</t>
  </si>
  <si>
    <t>modagun cream/hot pink dress 50</t>
  </si>
  <si>
    <t>march rental exotic blossom</t>
  </si>
  <si>
    <t>march rental collectibles</t>
  </si>
  <si>
    <t>cargo - nesly shop stock</t>
  </si>
  <si>
    <t>CAR/baby shop/ RECOVERY</t>
  </si>
  <si>
    <t>incl socks payment</t>
  </si>
  <si>
    <t>cirna lala black dress w silver buckle 42</t>
  </si>
  <si>
    <t>to travel plaza sale handina</t>
  </si>
  <si>
    <t>SA</t>
  </si>
  <si>
    <t>beige sling bag</t>
  </si>
  <si>
    <t>white sling bag</t>
  </si>
  <si>
    <t>black sling bag</t>
  </si>
  <si>
    <t>layby nobuhle</t>
  </si>
  <si>
    <t>11 aprl</t>
  </si>
  <si>
    <t>kumwenda</t>
  </si>
  <si>
    <t>layby kumwenda</t>
  </si>
  <si>
    <t>cash gora</t>
  </si>
  <si>
    <t>bill total</t>
  </si>
  <si>
    <t>chido</t>
  </si>
  <si>
    <t>zvenyika</t>
  </si>
  <si>
    <t>mahufe keep green dress only</t>
  </si>
  <si>
    <t>f &amp; b girls black/gold denim dress w belt 54</t>
  </si>
  <si>
    <t>cr inst mandidzinga</t>
  </si>
  <si>
    <t>modafly black / cream dress 44</t>
  </si>
  <si>
    <t>correct price</t>
  </si>
  <si>
    <t>fervente black satin skirt 42</t>
  </si>
  <si>
    <t>cr inst nyamakupa</t>
  </si>
  <si>
    <t>nobuhle</t>
  </si>
  <si>
    <t>caroline</t>
  </si>
  <si>
    <t>from avondale to home to shop april</t>
  </si>
  <si>
    <t xml:space="preserve">from avondale to home </t>
  </si>
  <si>
    <t>from avondale to home hme to shop april</t>
  </si>
  <si>
    <t>fromavondale to home to shop april</t>
  </si>
  <si>
    <t>from avondale to home  to shop april</t>
  </si>
  <si>
    <t>long versache jersey RED</t>
  </si>
  <si>
    <t>long turquiose channel  design w hood</t>
  </si>
  <si>
    <t>from avondale to home to shop aprl</t>
  </si>
  <si>
    <t>from avondale to hometo shop april</t>
  </si>
  <si>
    <t>navy scotch jacket &amp; navy pleated skirt</t>
  </si>
  <si>
    <t>navy scotch jacket w rounded collar &amp; navy pleated skirt</t>
  </si>
  <si>
    <t>noble lady cream/green pleated dress 42</t>
  </si>
  <si>
    <t>modagun green chiffon dress 54</t>
  </si>
  <si>
    <t>layby inst matambo - muti nude dress</t>
  </si>
  <si>
    <t>DZYN black/cream dress w handbag 38</t>
  </si>
  <si>
    <t>phudra black/white chiffon dress 38</t>
  </si>
  <si>
    <t>sadossa navy dress w double  button 38</t>
  </si>
  <si>
    <t>black rose coffee pleated skirt/top 50</t>
  </si>
  <si>
    <t>x2 gold clutch bag</t>
  </si>
  <si>
    <t>beige SA handbag</t>
  </si>
  <si>
    <t>cash bhomani</t>
  </si>
  <si>
    <t>form easy cosert full body w zip</t>
  </si>
  <si>
    <t xml:space="preserve">x2 bayker panties size </t>
  </si>
  <si>
    <t>bayker panty present matambo black s5</t>
  </si>
  <si>
    <t>matambo present</t>
  </si>
  <si>
    <t>display last one</t>
  </si>
  <si>
    <t>pink</t>
  </si>
  <si>
    <t>mens shirt white</t>
  </si>
  <si>
    <t>21- 26</t>
  </si>
  <si>
    <t>kapura stock payment  -</t>
  </si>
  <si>
    <t>gos kids</t>
  </si>
  <si>
    <t>aloha winter jackets</t>
  </si>
  <si>
    <t>modagun cream/hot pink chiffon dress 56</t>
  </si>
  <si>
    <t>layby inst nobuhle</t>
  </si>
  <si>
    <t>cr pur lilian hapanyengwi</t>
  </si>
  <si>
    <t>mast fashion green/white dress w white belt 42</t>
  </si>
  <si>
    <t>miss havis gold pleated dress 42</t>
  </si>
  <si>
    <t>cr inst mudiwa s mum</t>
  </si>
  <si>
    <t>cr inst nobuhle</t>
  </si>
  <si>
    <t>lilian hapanyengwi</t>
  </si>
  <si>
    <t>cery textile black casual dress 46</t>
  </si>
  <si>
    <t>lilian hap</t>
  </si>
  <si>
    <t>22 ap</t>
  </si>
  <si>
    <t>my tenim beige /black dress w black frill 46</t>
  </si>
  <si>
    <t>x3 bayker panties grey/pink 5</t>
  </si>
  <si>
    <t>versace red trouser tracksuit  3xl</t>
  </si>
  <si>
    <t>cr pur mrs muzenda</t>
  </si>
  <si>
    <t>my tenim beige/black dress w black frill  50</t>
  </si>
  <si>
    <t>gumanise orange pleated chiffon dress</t>
  </si>
  <si>
    <t>cr purchase ivy</t>
  </si>
  <si>
    <t>moda 51 green double breast jacketdress 40</t>
  </si>
  <si>
    <t>panas line beige lace dress 42</t>
  </si>
  <si>
    <t>svesso navy dress w white piping 42</t>
  </si>
  <si>
    <t>sara green scuba material dress 42</t>
  </si>
  <si>
    <t xml:space="preserve">F &amp; B girls beige/navy denim dress 50 </t>
  </si>
  <si>
    <t>black rose orange pleated skirt/top 50 - mr nyamakupi</t>
  </si>
  <si>
    <t>balmain small handbag w chain handle</t>
  </si>
  <si>
    <t>nesly balck 2 piece skirt outfit 44</t>
  </si>
  <si>
    <t>nesly navy 2 pc w checked ( jacket collar) jacket and pleated skirt 44</t>
  </si>
  <si>
    <t>arizona black dress w zip frint andcollar design 44</t>
  </si>
  <si>
    <t>cr pur handina - black rose green pleated skirt and top 40</t>
  </si>
  <si>
    <t>navy scotch jacket (jacket collar) &amp; pleatedskirt</t>
  </si>
  <si>
    <t>navy scotch jacket (peter pan collar) &amp; pleated skirt</t>
  </si>
  <si>
    <t xml:space="preserve">yellow/black houndstooth </t>
  </si>
  <si>
    <t>grey/blue multi colour with piping</t>
  </si>
  <si>
    <t>black/blue multi colour w pockets</t>
  </si>
  <si>
    <t>black/gold multi colour w pockets</t>
  </si>
  <si>
    <t>another</t>
  </si>
  <si>
    <t>coffee 3/4 quilted sleeveless jacket</t>
  </si>
  <si>
    <t>layby inst caroline</t>
  </si>
  <si>
    <t>cr nyamakupi</t>
  </si>
  <si>
    <t>verda black/white 2pc dress 48 sale</t>
  </si>
  <si>
    <t>muzenda</t>
  </si>
  <si>
    <t>23 aprl</t>
  </si>
  <si>
    <t>cr muzenda</t>
  </si>
  <si>
    <t>credit muzenda</t>
  </si>
  <si>
    <t>ivy Muzenda</t>
  </si>
  <si>
    <t>tatenda muzenda</t>
  </si>
  <si>
    <t>cash nyamakupi mr</t>
  </si>
  <si>
    <t>black rose brown pleated outfit  44</t>
  </si>
  <si>
    <t>transport allowance Pau</t>
  </si>
  <si>
    <t>transport allowance Tatenda</t>
  </si>
  <si>
    <t>personal - back to school</t>
  </si>
  <si>
    <t>dress up green dress w white beads</t>
  </si>
  <si>
    <t>pinema pink cotton  dress 46</t>
  </si>
  <si>
    <t>cr pur mandidzinga gold clutch bag</t>
  </si>
  <si>
    <t>returned in stock calino green satin wrap dress in exhange w legenda mint green dress 46</t>
  </si>
  <si>
    <t>loans stock debts</t>
  </si>
  <si>
    <t>CR  inst mai muzenda</t>
  </si>
  <si>
    <t>la gazelle grey blue big scotch trousers - no belt 50</t>
  </si>
  <si>
    <t xml:space="preserve">murwira t/p shop </t>
  </si>
  <si>
    <t xml:space="preserve">mrs murwira - dsyn black/tan cotton dress </t>
  </si>
  <si>
    <t>layby inst mrs nhambare</t>
  </si>
  <si>
    <t>layby deposit mrs jaricha</t>
  </si>
  <si>
    <t>lagazelle brown scotch trouser 46</t>
  </si>
  <si>
    <t>STAFF uniform SA jackets</t>
  </si>
  <si>
    <t>sharewealth loan inst 3</t>
  </si>
  <si>
    <t>gloria loan repayment - marys money given in SA</t>
  </si>
  <si>
    <t>TITHE</t>
  </si>
  <si>
    <t>CAR inst</t>
  </si>
  <si>
    <t>turkey stock xmeric &amp; woolen sets</t>
  </si>
  <si>
    <t xml:space="preserve"> xmeric, wool sets, tights</t>
  </si>
  <si>
    <t>kalkanzi navy multi colour chiffon top w elastic sleeves 4</t>
  </si>
  <si>
    <t>flight &amp; flower multi colour blouse 2xl</t>
  </si>
  <si>
    <t>cr inst mrs gwisai</t>
  </si>
  <si>
    <t>sara green/white one arm dress 38</t>
  </si>
  <si>
    <t>sara black/white one arm dress 38</t>
  </si>
  <si>
    <t>very textile black cotton dress casual dress 44 mrs zvinoera</t>
  </si>
  <si>
    <t>waryant line red flared dress 36</t>
  </si>
  <si>
    <t>elisa star pink flowery dress 48</t>
  </si>
  <si>
    <t>my tenim denimdress w white tie/dye design46</t>
  </si>
  <si>
    <t>miss havis gold pleated dress 48</t>
  </si>
  <si>
    <t>vende zebra design dress 48</t>
  </si>
  <si>
    <t>vcr pur mrs zvinoera lagez black/yellow casual dress 1</t>
  </si>
  <si>
    <t>jaricha</t>
  </si>
  <si>
    <t>layby jaricha</t>
  </si>
  <si>
    <t>ZIG CURRENCY START : RATE 14.5</t>
  </si>
  <si>
    <t>Cash</t>
  </si>
  <si>
    <t>cash zvinoera</t>
  </si>
  <si>
    <t>MATEMBA UK STOCK APRIL '24</t>
  </si>
  <si>
    <t>LAGEZ</t>
  </si>
  <si>
    <t>black winter shirt dress w yellow hoodie</t>
  </si>
  <si>
    <t>black winter shirt dress w army green hoodie</t>
  </si>
  <si>
    <t>blacklong dress w glitter design</t>
  </si>
  <si>
    <t>fimas army green dress w flower design 46</t>
  </si>
  <si>
    <t>lagez black/green casual winter shirt dress 4</t>
  </si>
  <si>
    <t>credit inst tete chipo</t>
  </si>
  <si>
    <t>layby inst jaricha</t>
  </si>
  <si>
    <t>lagez green satin pleated dress 1</t>
  </si>
  <si>
    <t>valentino black small handbag</t>
  </si>
  <si>
    <t>x6 baykers 2 black s5 4 colourful s4</t>
  </si>
  <si>
    <t>muzenda exchange - jupiter airforce blue chiffon dress 52</t>
  </si>
  <si>
    <t>my tenim beige dress w black frill 42</t>
  </si>
  <si>
    <t>miss havis gold pleated dress 44</t>
  </si>
  <si>
    <t>crew</t>
  </si>
  <si>
    <t>small shawl burnt orange colour</t>
  </si>
  <si>
    <t>credit inst mrs shumba</t>
  </si>
  <si>
    <t>noble lady cream/army green pleated dress 40</t>
  </si>
  <si>
    <t>credit inst gloria gannie</t>
  </si>
  <si>
    <t>roundtable - march turkey trip loan refund</t>
  </si>
  <si>
    <t>my tenim beige dress w black frill</t>
  </si>
  <si>
    <t>layby Betsy - rhoda beige houndstooth 54</t>
  </si>
  <si>
    <t>oreya red channel jacket w hood  nyamakupi</t>
  </si>
  <si>
    <t>jupiter navy chiffon dress 50</t>
  </si>
  <si>
    <t>layby inst kamwendo</t>
  </si>
  <si>
    <t>from avondale to home layby Betsy</t>
  </si>
  <si>
    <t>Betsy</t>
  </si>
  <si>
    <t xml:space="preserve">black short  quited jacket </t>
  </si>
  <si>
    <t>TRENDY</t>
  </si>
  <si>
    <t>red/black houndstooth</t>
  </si>
  <si>
    <t>VENDE</t>
  </si>
  <si>
    <t>MAY '24 STOCK</t>
  </si>
  <si>
    <t>cr- pur mandidzinga  - tessy purple dress  w sheer sleeves46</t>
  </si>
  <si>
    <t>mandidzings</t>
  </si>
  <si>
    <t>from avondale to home to shop april nyamakupi cash</t>
  </si>
  <si>
    <t>layby inst mrs murwira</t>
  </si>
  <si>
    <t>rent  april</t>
  </si>
  <si>
    <t>x4 bayker panties 1 black s5 x3 grey s4</t>
  </si>
  <si>
    <t>cr pur mrs kambarami - showcase coffee sleeveless jacket 48</t>
  </si>
  <si>
    <t>layby nobuhle showcase coffee sleeveless jacket w fur neck 46</t>
  </si>
  <si>
    <t>miss havis brown pleated short dress  46</t>
  </si>
  <si>
    <t>nude purple dress muti consignment</t>
  </si>
  <si>
    <t>showcase</t>
  </si>
  <si>
    <t>SA cargo Rumbi  - baby jackets</t>
  </si>
  <si>
    <t>cr pur mai prudence  cream quilted jacket 5XL</t>
  </si>
  <si>
    <t>cr inst mrs murwira items botique</t>
  </si>
  <si>
    <t>oreya beige crew neck</t>
  </si>
  <si>
    <t>no name green knit 2 piece dress</t>
  </si>
  <si>
    <t>piyema navy flared gown 46</t>
  </si>
  <si>
    <t>layby inst Nobuhle</t>
  </si>
  <si>
    <t>jupiter navy/cream pleated dress w navy top 52</t>
  </si>
  <si>
    <t>HSM black quilted jacket w hood XL</t>
  </si>
  <si>
    <t>credit inst mai prudence</t>
  </si>
  <si>
    <t>cr inst lilian hapanyengwi</t>
  </si>
  <si>
    <t>cr pur lilian vende black/pink houndstooth winter dress 44</t>
  </si>
  <si>
    <t>night dress navy xl</t>
  </si>
  <si>
    <t>mai prudence</t>
  </si>
  <si>
    <t>balancing</t>
  </si>
  <si>
    <t>cr pur musapatika -  ne acc starts</t>
  </si>
  <si>
    <t>CR inst musapatika - close of old acc</t>
  </si>
  <si>
    <t>fi &amp; bi  beige jeggins 46</t>
  </si>
  <si>
    <t>fi &amp; BI navy jeggins 54</t>
  </si>
  <si>
    <t>home cash</t>
  </si>
  <si>
    <t>confirm if we still have rouge black/grey w hooded jacket</t>
  </si>
  <si>
    <t>confirm size</t>
  </si>
  <si>
    <t>rhoda navy jacket 44</t>
  </si>
  <si>
    <t>from avondale to home to shop april cash</t>
  </si>
  <si>
    <t>vende multi colour winter dress 56</t>
  </si>
  <si>
    <t>cash Mazanhi</t>
  </si>
  <si>
    <t>added dec s/take cash kambarami</t>
  </si>
  <si>
    <t xml:space="preserve">cargo </t>
  </si>
  <si>
    <t>white moon account payment</t>
  </si>
  <si>
    <t>aloha puff jackets</t>
  </si>
  <si>
    <t>MAY '24</t>
  </si>
  <si>
    <t>coffee scotch dress w black lines</t>
  </si>
  <si>
    <t>black / white frilled cotton dress w black jacket</t>
  </si>
  <si>
    <t>trendy</t>
  </si>
  <si>
    <t>black / white cotton dress w lace hem</t>
  </si>
  <si>
    <t>cr pur mukuruva ladonatella pink satin gown 54</t>
  </si>
  <si>
    <t>cr pur mupfumi mutare</t>
  </si>
  <si>
    <t>nesly brown winter suit w pleated skirt 50</t>
  </si>
  <si>
    <t>vende winter dressflowery w lines 52</t>
  </si>
  <si>
    <t>vende winter dress black/pink houndstooth 50</t>
  </si>
  <si>
    <t>layby chidanho</t>
  </si>
  <si>
    <t>hember navy bandage skirt 48</t>
  </si>
  <si>
    <t>nesley blue scotch winter 2pc w navy pleated skirt &amp; peter pan collar 42</t>
  </si>
  <si>
    <t>credit inst mrs mupfumi</t>
  </si>
  <si>
    <t>layby inst mrs mutasa</t>
  </si>
  <si>
    <t>miss rose moon pink 2pc stretch dress 5xl</t>
  </si>
  <si>
    <t>dissa black/beige dress w lace hem48</t>
  </si>
  <si>
    <t>credit inst mrs nyamakupi</t>
  </si>
  <si>
    <t>credit inst mrs kambarami</t>
  </si>
  <si>
    <t>cargo knitwear/ xmeric</t>
  </si>
  <si>
    <t>babywear stock</t>
  </si>
  <si>
    <t>babywear stock tommy tippee bottles</t>
  </si>
  <si>
    <t>stock puff jackets aloha</t>
  </si>
  <si>
    <t>cr pur rutendo stanbic - moda miller black dress w white line 46</t>
  </si>
  <si>
    <t>cr pur massy tagwirei - showcase cream jacket 3xl</t>
  </si>
  <si>
    <t>cr pur ivy sithole</t>
  </si>
  <si>
    <t>maryland aqua blue trouser 46</t>
  </si>
  <si>
    <t xml:space="preserve">versarce red tracksuit </t>
  </si>
  <si>
    <t>atik night dress xxl</t>
  </si>
  <si>
    <t>oreya small maroon poncho</t>
  </si>
  <si>
    <t xml:space="preserve">arizona green satin dress 42 </t>
  </si>
  <si>
    <t>cr pur raviro</t>
  </si>
  <si>
    <t>oreya crew neck brown</t>
  </si>
  <si>
    <t>oreya polo neck  pink</t>
  </si>
  <si>
    <t>oreya smal shawl rust</t>
  </si>
  <si>
    <t>layby inst betsy</t>
  </si>
  <si>
    <t>oreya red long channel jersey L</t>
  </si>
  <si>
    <t>oreya green jersey w fur neck L</t>
  </si>
  <si>
    <t>layby pride</t>
  </si>
  <si>
    <t>oreya beige/black jersey w fur neck L</t>
  </si>
  <si>
    <t>oreya blue long jeresey channel L</t>
  </si>
  <si>
    <t>layby inst chidanho</t>
  </si>
  <si>
    <t>cr pur  sandra stanbic- oreya black jersey w front buckle and sleeve detail</t>
  </si>
  <si>
    <t>cr inst ivy sithole</t>
  </si>
  <si>
    <t>stock payment white moon</t>
  </si>
  <si>
    <t>stock payment matemba black dresses</t>
  </si>
  <si>
    <t>layby inst pride</t>
  </si>
  <si>
    <t>cr pur mrs chidhakwa</t>
  </si>
  <si>
    <t>nike red/black 2pc tracksuit 5xl</t>
  </si>
  <si>
    <t xml:space="preserve">nike mens bottoms </t>
  </si>
  <si>
    <t xml:space="preserve">cr  inst mrs handina </t>
  </si>
  <si>
    <t>cr inst mutimodyo</t>
  </si>
  <si>
    <t xml:space="preserve">brown scotch suit </t>
  </si>
  <si>
    <t>maroon scotch suit</t>
  </si>
  <si>
    <t>black suit</t>
  </si>
  <si>
    <t>MAY .2024</t>
  </si>
  <si>
    <t>CASH</t>
  </si>
  <si>
    <t>x2 showcase sleeveless quilted jacket 50&amp;44</t>
  </si>
  <si>
    <t>layby pur mrs mutasa - textport navy/beige embroidered dress w bottom pleats 54</t>
  </si>
  <si>
    <t>correct dress label to textport</t>
  </si>
  <si>
    <t>mrs mutasa</t>
  </si>
  <si>
    <t>JUNE 2024 STOCK</t>
  </si>
  <si>
    <t>black/white houndstooth</t>
  </si>
  <si>
    <t>beige/white houndstooth</t>
  </si>
  <si>
    <t>beige / black squares w fur neck</t>
  </si>
  <si>
    <t>Maroon w hoodie &amp; leather stripes</t>
  </si>
  <si>
    <t>grey w hoodie &amp; leather stripes</t>
  </si>
  <si>
    <t>black w hoodie and houndstooth edging</t>
  </si>
  <si>
    <t>tan/black long jersey  w belt</t>
  </si>
  <si>
    <t>maroon/black long jersey w belt</t>
  </si>
  <si>
    <t xml:space="preserve">crew neck beige </t>
  </si>
  <si>
    <t>coffee sleeveless puffer jacket</t>
  </si>
  <si>
    <t>red herring</t>
  </si>
  <si>
    <t>credit inst  muzenda</t>
  </si>
  <si>
    <t>layby inst Pride</t>
  </si>
  <si>
    <t>layby purchase Pride showcase pufffer jacket 46</t>
  </si>
  <si>
    <t>nterest payment fsbs loan</t>
  </si>
  <si>
    <t>personal fsbs subs + meeting costs</t>
  </si>
  <si>
    <t>cargo payment oreya jerseys</t>
  </si>
  <si>
    <t>coffee sleeveless puffer jacket w black collar</t>
  </si>
  <si>
    <t>hele</t>
  </si>
  <si>
    <t>RODA</t>
  </si>
  <si>
    <t>SIMODA</t>
  </si>
  <si>
    <t>maroon three quarter jacket w zip &amp; buttons</t>
  </si>
  <si>
    <t>navy three quarter jacket w zip &amp; buttons</t>
  </si>
  <si>
    <t>black  three quarter jacket w zip &amp; buttons</t>
  </si>
  <si>
    <t>june .2024</t>
  </si>
  <si>
    <t>cash sale pride navy/beige houndstooth jersey M</t>
  </si>
  <si>
    <t>xmeric maroon scotch suit 44 mutimodyo</t>
  </si>
  <si>
    <t>simoda black jacket w zip and buttons 42</t>
  </si>
  <si>
    <t>no name 2 pc black/white knit set ( skirt &amp; top)</t>
  </si>
  <si>
    <t xml:space="preserve">cr pur  mai Prudence </t>
  </si>
  <si>
    <t>simoda maroon jacket w zip and buttons 54</t>
  </si>
  <si>
    <t>oreya black/white houndstooth jersey XXL</t>
  </si>
  <si>
    <t>LAYBY inst mrs chidanho</t>
  </si>
  <si>
    <t>Layby nobuhle - natural cream/black 2pc knit set ( trouser</t>
  </si>
  <si>
    <t>n</t>
  </si>
  <si>
    <t>rutendo stanbic</t>
  </si>
  <si>
    <t>macy Tagwirei</t>
  </si>
  <si>
    <t>ivy sithole</t>
  </si>
  <si>
    <t>miss misia 2pc black trouser set size 46</t>
  </si>
  <si>
    <t>pride</t>
  </si>
  <si>
    <t>from avondale to home to shop april - layby pride</t>
  </si>
  <si>
    <t>from avondale to home to shop april layby pride</t>
  </si>
  <si>
    <t>sandra stanbic</t>
  </si>
  <si>
    <t>fromavondale to home to shop april sandra stanbic</t>
  </si>
  <si>
    <t>chidhakwa</t>
  </si>
  <si>
    <t>beige/navy houndstooth</t>
  </si>
  <si>
    <t>cash pride</t>
  </si>
  <si>
    <t>cash mutimodyo</t>
  </si>
  <si>
    <t>wooled 2 piece trouser cream/black</t>
  </si>
  <si>
    <t>wooled 2 piece skirt black /cream</t>
  </si>
  <si>
    <t>maroon scotch jacket &amp; coffee straight skirt</t>
  </si>
  <si>
    <t>wioma brown winter dress w belt 48</t>
  </si>
  <si>
    <t>beige / brown w front slit design</t>
  </si>
  <si>
    <t>calino green satin wrap over dress 48</t>
  </si>
  <si>
    <t>mandidzinga returned cash</t>
  </si>
  <si>
    <t>bayker pants x2 colourful 5 &amp;6</t>
  </si>
  <si>
    <t>nesley navy suit w pleated skirt and round collar 44 mutimodyo</t>
  </si>
  <si>
    <t>cr inst zvenyika</t>
  </si>
  <si>
    <t>serdar red/white sandals 42</t>
  </si>
  <si>
    <t>capone black kitten heels 38</t>
  </si>
  <si>
    <t>RETURNED</t>
  </si>
  <si>
    <t>cr inst mrs shumba</t>
  </si>
  <si>
    <t>bayker panties black 5</t>
  </si>
  <si>
    <t>cr pur mrs shumba - soda black block heels US 8</t>
  </si>
  <si>
    <t>cr inst mrs mukuruva</t>
  </si>
  <si>
    <t>cr pur matsika - simoda black jacket 46</t>
  </si>
  <si>
    <t>green wallet</t>
  </si>
  <si>
    <t>mrs shumbaya</t>
  </si>
  <si>
    <t>mrs matsika</t>
  </si>
  <si>
    <t>cargo payment rhoda jackets</t>
  </si>
  <si>
    <t>sharewealth inst</t>
  </si>
  <si>
    <t>zesa</t>
  </si>
  <si>
    <t>cr inst macy</t>
  </si>
  <si>
    <t>photo shoot transport allowance</t>
  </si>
  <si>
    <t>cr pur tete nyaradzo</t>
  </si>
  <si>
    <t>bauvinchi red/black tracksuit 6xl</t>
  </si>
  <si>
    <t>wnd beige 3pc tracksuit 2xl</t>
  </si>
  <si>
    <t>no name cream/black woolen 2pc w skirt</t>
  </si>
  <si>
    <t>no name black/cream woolen 2pc w trouser</t>
  </si>
  <si>
    <t>oreya houndstooth black/white jersey M</t>
  </si>
  <si>
    <t>layby Tarirai</t>
  </si>
  <si>
    <t>no name black/cream woolen 2pc w skirt</t>
  </si>
  <si>
    <t>vende grey/blue multi colour dress w piping 50</t>
  </si>
  <si>
    <t>simoda navy jacket w zip &amp; buttons 54</t>
  </si>
  <si>
    <t>simoda black jacket w zip &amp; buttons 48</t>
  </si>
  <si>
    <t>layby pur mercy</t>
  </si>
  <si>
    <t>oreya black/white houndstooth jersey L</t>
  </si>
  <si>
    <t>oreya grey w hoodie &amp; leather strips xxl</t>
  </si>
  <si>
    <t>stationery - invoice books</t>
  </si>
  <si>
    <t>bongo black wedge 9</t>
  </si>
  <si>
    <t>paris maroon /black shoes 38</t>
  </si>
  <si>
    <t xml:space="preserve">coffee/blue big scarf </t>
  </si>
  <si>
    <t>vende grey/blue multicolour exchange w simoda black/white houndstooth 54</t>
  </si>
  <si>
    <t>layby mrs ndhlovu vende multi colour w piping 50</t>
  </si>
  <si>
    <t>layby inst mrs ndhlovu</t>
  </si>
  <si>
    <t>cr inst mrs matsika</t>
  </si>
  <si>
    <t>nesly navy pleated w round collar 46</t>
  </si>
  <si>
    <t>red poloneck</t>
  </si>
  <si>
    <t>added dec '23 stocktake tete nyaradzo</t>
  </si>
  <si>
    <t>layby .Tarirai</t>
  </si>
  <si>
    <t>tarirai</t>
  </si>
  <si>
    <t>mercy</t>
  </si>
  <si>
    <t>layby mercy</t>
  </si>
  <si>
    <t>from avondale to home to shop april cash exchange</t>
  </si>
  <si>
    <t>layby mrs ndhlovu</t>
  </si>
  <si>
    <t>mrs ndhlovu</t>
  </si>
  <si>
    <t>credit inst sandra stanbic</t>
  </si>
  <si>
    <t>credit pur nyamakupi - simoda navy jacket 52</t>
  </si>
  <si>
    <t>credit pur denhere - simoda navy jacket 48</t>
  </si>
  <si>
    <t>cr pur macy</t>
  </si>
  <si>
    <t>oreya brown/black long jersey xl</t>
  </si>
  <si>
    <t>showcase sleeveless jacket 50</t>
  </si>
  <si>
    <t>crew neck beige</t>
  </si>
  <si>
    <t>pink small handbag</t>
  </si>
  <si>
    <t>layby murungu - panas line blush pink lace dress 48</t>
  </si>
  <si>
    <t>cr pur kambarami simoda maroon jacket w zip&amp; buttons 48</t>
  </si>
  <si>
    <t>small shawl black</t>
  </si>
  <si>
    <t>layby inst mercy</t>
  </si>
  <si>
    <t xml:space="preserve">rouge knit dress black w red striped jacket </t>
  </si>
  <si>
    <t>shop licence collectables</t>
  </si>
  <si>
    <t>credit inst mrsdenhere</t>
  </si>
  <si>
    <t>$90 over</t>
  </si>
  <si>
    <t>nesly coffee scotch jacket/coffee pleated skirt 46</t>
  </si>
  <si>
    <t>oreya black jersey w houndstooth edging L</t>
  </si>
  <si>
    <t>vende coffee scotch dress 48</t>
  </si>
  <si>
    <t>wioma beige/brown dress w belt</t>
  </si>
  <si>
    <t xml:space="preserve">coffee ankle boots </t>
  </si>
  <si>
    <t>nesly navy scotch and pleated 2pc w jacket collar 46</t>
  </si>
  <si>
    <t>simoda red jacket w buttons and zip 46</t>
  </si>
  <si>
    <t>vende coffee scotch dress 46</t>
  </si>
  <si>
    <t>oreya navy poloneck</t>
  </si>
  <si>
    <t>trendy black/red houndstooth 50</t>
  </si>
  <si>
    <t>denhere mrs</t>
  </si>
  <si>
    <t>from avondale-home macy</t>
  </si>
  <si>
    <t>home macy</t>
  </si>
  <si>
    <t>macy</t>
  </si>
  <si>
    <t>murungu</t>
  </si>
  <si>
    <t>layby murungu</t>
  </si>
  <si>
    <t xml:space="preserve"> aloha showcase jacket w beige fur collar 48</t>
  </si>
  <si>
    <t>?????? Cash</t>
  </si>
  <si>
    <t>cr inst mai prudence</t>
  </si>
  <si>
    <t>cr pur mai prudence - burbury black sleeveless jacket 2xl</t>
  </si>
  <si>
    <t>rovigo navy suede shoes 37</t>
  </si>
  <si>
    <t>simoda navy 3/4 jacket w zip &amp; button 48</t>
  </si>
  <si>
    <t>oreya black jersey w leather strips and collar</t>
  </si>
  <si>
    <t>darkmen denim sleeveless dress</t>
  </si>
  <si>
    <t>aloha sleeveless puffer jacket w black fur 50</t>
  </si>
  <si>
    <t>aloha cream long jacket 5xl</t>
  </si>
  <si>
    <t>free gift mrs mazanhi - pink polo neck</t>
  </si>
  <si>
    <t>nesly navy scoch suit w round collar 42</t>
  </si>
  <si>
    <t>credit mai prudence</t>
  </si>
  <si>
    <t>home - mazanhi gift</t>
  </si>
  <si>
    <t>dissa black / white frilled cotton dress w black jacket 44</t>
  </si>
  <si>
    <t>rentals Exotic</t>
  </si>
  <si>
    <t>rentals Baby shop</t>
  </si>
  <si>
    <t>cost of borrowing</t>
  </si>
  <si>
    <t>oreya maroon jersey w leather strips and hood  M</t>
  </si>
  <si>
    <t>oreya maroon small shawl</t>
  </si>
  <si>
    <t>dissa black/white frilled cotton dress w black jacket 48</t>
  </si>
  <si>
    <t>espoll black/gold polka dot dress 50 sale</t>
  </si>
  <si>
    <t>oreya long rust /black jersey w belt L</t>
  </si>
  <si>
    <t>layby pur Pride oreya maroon/black jersey w fur neck</t>
  </si>
  <si>
    <t>pride layby</t>
  </si>
  <si>
    <t>?????? cash</t>
  </si>
  <si>
    <t>versarce red tracksuits x2  xl &amp; 2xl</t>
  </si>
  <si>
    <t xml:space="preserve">gaja royal blue woolen top </t>
  </si>
  <si>
    <t>layby inst tarirai</t>
  </si>
  <si>
    <t>credit inst kumwenda</t>
  </si>
  <si>
    <t>credit inst gwisai</t>
  </si>
  <si>
    <t>loan repayment roundtable</t>
  </si>
  <si>
    <t>isaac loan repayment</t>
  </si>
  <si>
    <t>this was confused w a beige/gold that’s already finished</t>
  </si>
  <si>
    <t>black jersey w fur neck black w leather fastener and collar</t>
  </si>
  <si>
    <t>?????????cash</t>
  </si>
  <si>
    <t>atik black night dress</t>
  </si>
  <si>
    <t>bayker pant black 6</t>
  </si>
  <si>
    <t>gumanise orange pleated dress 46</t>
  </si>
  <si>
    <t>cr inst sandra</t>
  </si>
  <si>
    <t>oreya black poloneck</t>
  </si>
  <si>
    <t>oreya red jersey w collar &amp; leather strips</t>
  </si>
  <si>
    <t>cr pur sandra soles  grey sweater w zip L</t>
  </si>
  <si>
    <t>form easy cosert bottom 3xl</t>
  </si>
  <si>
    <t>x2 bayker  panties beige/black 8</t>
  </si>
  <si>
    <t>vendeblack woolen dress w white neck on sale 54</t>
  </si>
  <si>
    <t>oreya tan/black long jersey w belt xxl</t>
  </si>
  <si>
    <t xml:space="preserve">oreya jersey  beige/black w fur neck </t>
  </si>
  <si>
    <t>cr pur mutanho muzukuru</t>
  </si>
  <si>
    <t>white handbag SA</t>
  </si>
  <si>
    <t>mast fashiom green/white dress w belt 46</t>
  </si>
  <si>
    <t>legenda mint green dress w pleats</t>
  </si>
  <si>
    <t xml:space="preserve">cr inst nyamakupi </t>
  </si>
  <si>
    <t>cr inst chidakwa</t>
  </si>
  <si>
    <t>cr inst mai rev makuwerere</t>
  </si>
  <si>
    <t>simoda black 3/4 jersey 46</t>
  </si>
  <si>
    <t>no name cream knit 2pc</t>
  </si>
  <si>
    <t>cr pur mrs zengeya - showcase jacket sleeveless w beige collar 48</t>
  </si>
  <si>
    <t>cr inst final mrs kamwendo</t>
  </si>
  <si>
    <t>calino green satin wrap over dress 44</t>
  </si>
  <si>
    <t>nude fascinator</t>
  </si>
  <si>
    <t>la donattela gold short gown</t>
  </si>
  <si>
    <t>nude shoes with snake print raviro</t>
  </si>
  <si>
    <t>layby kumali</t>
  </si>
  <si>
    <t>trendy black/yellow houndstooth dress 48</t>
  </si>
  <si>
    <t>lagez yellow/black casual dress 2</t>
  </si>
  <si>
    <t>oreya mustard small shawl</t>
  </si>
  <si>
    <t>cr pur mashingaidze - rm richards royal blue chiffon 20w</t>
  </si>
  <si>
    <t>miss rose  navy top w high neck small</t>
  </si>
  <si>
    <t>showcase sleeveless jacket wi black neck  50</t>
  </si>
  <si>
    <t>la gazelle grey scotch trousers 38</t>
  </si>
  <si>
    <t>la gazelle green trousers 38</t>
  </si>
  <si>
    <t>la gazelle coffee  scotch trousers 38</t>
  </si>
  <si>
    <t>oreya maroon big shawl</t>
  </si>
  <si>
    <t>fi &amp; bi black jeggins 56</t>
  </si>
  <si>
    <t>bongo black knee high boots 6</t>
  </si>
  <si>
    <t>butterfly blue sandals w elastic top</t>
  </si>
  <si>
    <t>x2 mens pajama</t>
  </si>
  <si>
    <t>subs</t>
  </si>
  <si>
    <t>bosha</t>
  </si>
  <si>
    <t>musapa</t>
  </si>
  <si>
    <t>mafake</t>
  </si>
  <si>
    <t>sithole</t>
  </si>
  <si>
    <t>loans</t>
  </si>
  <si>
    <t>baby shop</t>
  </si>
  <si>
    <t>mutanho muzukuru</t>
  </si>
  <si>
    <t xml:space="preserve">mutanho </t>
  </si>
  <si>
    <t>oreya maroon long jersey 2xl</t>
  </si>
  <si>
    <t>mrs zengeya</t>
  </si>
  <si>
    <t>simoda black jacket 54 mrs chisvo</t>
  </si>
  <si>
    <t>vende blue/black dress 52</t>
  </si>
  <si>
    <t>cash chisvo</t>
  </si>
  <si>
    <t>oreya black jersey w houndstooth edge &amp;  hoodie mahufe xl</t>
  </si>
  <si>
    <t>cash handina</t>
  </si>
  <si>
    <t>cr pur mrs handina simoda 3/4 maroon jacket w zip and buttons 42</t>
  </si>
  <si>
    <t>home cash mahufe</t>
  </si>
  <si>
    <t>heather returned cash</t>
  </si>
  <si>
    <t>madison black boots w elastic top 41</t>
  </si>
  <si>
    <t>kumali</t>
  </si>
  <si>
    <t>layby umali</t>
  </si>
  <si>
    <t>home / layby umali</t>
  </si>
  <si>
    <t>cash mai lea</t>
  </si>
  <si>
    <t>abiba</t>
  </si>
  <si>
    <t>credit inst final tatenda muzenda</t>
  </si>
  <si>
    <t>ravir blue / white blazer 44</t>
  </si>
  <si>
    <t>cream crew neck</t>
  </si>
  <si>
    <t>contra</t>
  </si>
  <si>
    <t>baby invoice bks</t>
  </si>
  <si>
    <t>JULY</t>
  </si>
  <si>
    <t>commission pau</t>
  </si>
  <si>
    <t>stock - legenda dresses</t>
  </si>
  <si>
    <t>rhoda jackets inst 735-500</t>
  </si>
  <si>
    <t>cosmas loan</t>
  </si>
  <si>
    <t xml:space="preserve">roundtable </t>
  </si>
  <si>
    <t>pau transport</t>
  </si>
  <si>
    <t>oreya inst</t>
  </si>
  <si>
    <t>packaging</t>
  </si>
  <si>
    <t>from avondale to home CASH</t>
  </si>
  <si>
    <t>black rose coffee 2pc w pleated skirt 46</t>
  </si>
  <si>
    <t>cr pur mrs nyika magwizi</t>
  </si>
  <si>
    <t>quizas green/black dress 44</t>
  </si>
  <si>
    <t>gumanize orange dress w zebra print 44</t>
  </si>
  <si>
    <t>svesso navy dress w white lines 48</t>
  </si>
  <si>
    <t>big number black shoes 39</t>
  </si>
  <si>
    <t>simoda black jacket w zip /buttons 44</t>
  </si>
  <si>
    <t xml:space="preserve">layby inst mrs murungu - </t>
  </si>
  <si>
    <t>cr inst ivy</t>
  </si>
  <si>
    <t>as life black flat shoes w nude belt sale 41</t>
  </si>
  <si>
    <t>cr pur</t>
  </si>
  <si>
    <t>cr inst mrs muzenda</t>
  </si>
  <si>
    <t>robbie bee peach chiffon dress 16</t>
  </si>
  <si>
    <t>maryland aqua blue trousers 50</t>
  </si>
  <si>
    <t>moda 51 green jacket dress 38</t>
  </si>
  <si>
    <t>panas line blue dress 40</t>
  </si>
  <si>
    <t>waryant line red dress w leopard belt 38</t>
  </si>
  <si>
    <t>la gazelle navy scotch trousers w belt 42</t>
  </si>
  <si>
    <t>x2 maryland coffee trousers thick material 44 46</t>
  </si>
  <si>
    <t>vende black/gold multi colour w pockets 54</t>
  </si>
  <si>
    <t>credit inst musapatika  baby invoice settlement</t>
  </si>
  <si>
    <t>showcase black quited jacket 4xl</t>
  </si>
  <si>
    <t>magwizi</t>
  </si>
  <si>
    <t>display last set</t>
  </si>
  <si>
    <t>cash mi lea</t>
  </si>
  <si>
    <t>layby eve mutsvangwa - r mai leah</t>
  </si>
  <si>
    <t>not on stocksheet</t>
  </si>
  <si>
    <t>chiffon polka dot top</t>
  </si>
  <si>
    <t>oreya  maroon/ black long jacket xxl</t>
  </si>
  <si>
    <t>red tracksuit on sale</t>
  </si>
  <si>
    <t>credit inst rutendo stanbic</t>
  </si>
  <si>
    <t>credit inst zengeya ecocash</t>
  </si>
  <si>
    <t>JUNE .2024</t>
  </si>
  <si>
    <t>legenda burnt gold pleated  gown 56</t>
  </si>
  <si>
    <t>cr inst mai chaniwa</t>
  </si>
  <si>
    <t>x3 maryland trousers light blue, lime, royal blue 50</t>
  </si>
  <si>
    <t>showcase sleeveless jacket w fur neck 46</t>
  </si>
  <si>
    <t>cr inst mr zengeya</t>
  </si>
  <si>
    <t>cr inst tete nyaradzo</t>
  </si>
  <si>
    <t xml:space="preserve">oreya maroon jersey w leather strips  Large </t>
  </si>
  <si>
    <t>altin yak blak heel w elastic top 37</t>
  </si>
  <si>
    <r>
      <t>layby pride r</t>
    </r>
    <r>
      <rPr>
        <i/>
        <sz val="11"/>
        <color theme="1"/>
        <rFont val="Calibri"/>
        <family val="2"/>
        <scheme val="minor"/>
      </rPr>
      <t>eturned cash</t>
    </r>
  </si>
  <si>
    <t>syd lime green top w high sleeves and back buttons 38</t>
  </si>
  <si>
    <t>maryland navy trousers 38</t>
  </si>
  <si>
    <t>sincere denim shirt dress big size sale</t>
  </si>
  <si>
    <t xml:space="preserve">x2 versace red trouser tracksuits </t>
  </si>
  <si>
    <t>cr inst mutanho muzuku</t>
  </si>
  <si>
    <t>cr pur mutanho muzukuru - black rose coffee pleated skirt set 48</t>
  </si>
  <si>
    <t>oreya black jersey with houndstooth edging xxl</t>
  </si>
  <si>
    <t>roda black 3/4 velvet jacket 46</t>
  </si>
  <si>
    <t>fsbs loan inst</t>
  </si>
  <si>
    <t>fsbs subs personal</t>
  </si>
  <si>
    <t>rentals E/B</t>
  </si>
  <si>
    <t>Rentals E/Babies</t>
  </si>
  <si>
    <t xml:space="preserve">maroon jeggin prudence </t>
  </si>
  <si>
    <t>x2 bayker panties colourful grey/pink 4</t>
  </si>
  <si>
    <t>cr purch matsika nesley coffee pleated suit 44</t>
  </si>
  <si>
    <t>verda black/white 2 pc dress on sale</t>
  </si>
  <si>
    <t>layby inst mrs Parehwa</t>
  </si>
  <si>
    <t>showcase sleeveless jacket w black collar 48</t>
  </si>
  <si>
    <t>silvermoon royal blue dress w sleeve design</t>
  </si>
  <si>
    <t>cr inst elma dube</t>
  </si>
  <si>
    <t>cr inst mrs denhere</t>
  </si>
  <si>
    <t>cash tsopotsa returned cash</t>
  </si>
  <si>
    <t>from avondale to home to shop april tariro</t>
  </si>
  <si>
    <t>cash prudence</t>
  </si>
  <si>
    <t>layby parehwa</t>
  </si>
  <si>
    <t>calvin klein black court shoes</t>
  </si>
  <si>
    <t>masika</t>
  </si>
  <si>
    <t>parehwa</t>
  </si>
  <si>
    <t>home parehwa</t>
  </si>
  <si>
    <t>nesley scotch navy w peter pan collar 40</t>
  </si>
  <si>
    <t>layby mrs chigumba burkac green pleated skirt 40</t>
  </si>
  <si>
    <t>layby chigumba</t>
  </si>
  <si>
    <t>cr pur zvenyika adda navy jeggins 56</t>
  </si>
  <si>
    <t>credit tariro</t>
  </si>
  <si>
    <t>layby inst parehwa</t>
  </si>
  <si>
    <t>chigumba</t>
  </si>
  <si>
    <t>LAYBY PAREHWA</t>
  </si>
  <si>
    <t>returned maroon jeggins in exchange w f&amp;b GIRLS blue/gold denim dress 52</t>
  </si>
  <si>
    <t>gold replacement</t>
  </si>
  <si>
    <t>layby kanganwai</t>
  </si>
  <si>
    <t>NIVOLA gold gown replacement 48</t>
  </si>
  <si>
    <t>credit inst magwizi</t>
  </si>
  <si>
    <t>cr inst parehwa</t>
  </si>
  <si>
    <t>cr inst rutendo stanbic</t>
  </si>
  <si>
    <t>x7 bayker panties black 6</t>
  </si>
  <si>
    <t>x6 colourful panties 6</t>
  </si>
  <si>
    <t>trendy coffee scotch dress 44</t>
  </si>
  <si>
    <t>svesso navy dressw white lines 44</t>
  </si>
  <si>
    <t xml:space="preserve"> fi &amp; bi jeggins beige 48</t>
  </si>
  <si>
    <t>My tenim  denim tie/dye shirt dress 44</t>
  </si>
  <si>
    <t>doganer light blue dress suit 46</t>
  </si>
  <si>
    <t>nesly black 2piece 46</t>
  </si>
  <si>
    <t>vende moda zebra print dress 44</t>
  </si>
  <si>
    <t>staff lunch</t>
  </si>
  <si>
    <t>1.-10</t>
  </si>
  <si>
    <t>salary Tatenda</t>
  </si>
  <si>
    <t>100k round</t>
  </si>
  <si>
    <t>bayker panties black  s5</t>
  </si>
  <si>
    <t>new car insurance</t>
  </si>
  <si>
    <t>jupiter light blue pleated 2pc 50</t>
  </si>
  <si>
    <t>new car balance</t>
  </si>
  <si>
    <t>lizza line gowns</t>
  </si>
  <si>
    <t>august</t>
  </si>
  <si>
    <t>lizza line</t>
  </si>
  <si>
    <t>burnt orange gown</t>
  </si>
  <si>
    <t>august turkey trip</t>
  </si>
  <si>
    <t>leopard print chiffon 2 piece</t>
  </si>
  <si>
    <t>green/pink body con dress</t>
  </si>
  <si>
    <t>cery  textile</t>
  </si>
  <si>
    <t>blue short cotton dress</t>
  </si>
  <si>
    <t>army green cotton dress high low</t>
  </si>
  <si>
    <t>LA FASHION</t>
  </si>
  <si>
    <t>Pink silky short dress</t>
  </si>
  <si>
    <t>mint green short silky dress</t>
  </si>
  <si>
    <t>Pink silky long dress w ruffled sleeves</t>
  </si>
  <si>
    <t>mari &amp; mar</t>
  </si>
  <si>
    <t>khakhi cotton dress w black flower &amp; front pockets</t>
  </si>
  <si>
    <t>Jupiter</t>
  </si>
  <si>
    <t>beige/black pleated dress w beige jacket</t>
  </si>
  <si>
    <t>denim dress w pleated hem</t>
  </si>
  <si>
    <t>beige jacket dress w pleated sides</t>
  </si>
  <si>
    <t>green jacket dressw pleated bottom</t>
  </si>
  <si>
    <t>LEGENDA</t>
  </si>
  <si>
    <t>rose gold gown with lace upper</t>
  </si>
  <si>
    <t>green dress w crotchet jacket</t>
  </si>
  <si>
    <t>olive green dress w crotchet design</t>
  </si>
  <si>
    <t>gani</t>
  </si>
  <si>
    <t>beige chiffon dress w front overlay &amp; glitter</t>
  </si>
  <si>
    <t>mint green pleated dress w chiffon overlay</t>
  </si>
  <si>
    <t>blue / beige 2 step dress</t>
  </si>
  <si>
    <t>blue/white dress w zip front &amp; pleated bottom</t>
  </si>
  <si>
    <t>beige 2 step dress</t>
  </si>
  <si>
    <t>black dress w polka dot flared bottom</t>
  </si>
  <si>
    <t>black dress w white/black flared bottom</t>
  </si>
  <si>
    <t>black dress w black/white flared bottom</t>
  </si>
  <si>
    <t>black string top</t>
  </si>
  <si>
    <t>blue/white sleeveless top</t>
  </si>
  <si>
    <t>red/black sleeveless top</t>
  </si>
  <si>
    <t>t shirts</t>
  </si>
  <si>
    <t>poncho</t>
  </si>
  <si>
    <t>lime green cotton dress w black flower &amp; front pockets</t>
  </si>
  <si>
    <t>beige pleated dress big size</t>
  </si>
  <si>
    <t>orange/white chiffon dress</t>
  </si>
  <si>
    <t>black dress w black and veige jacket</t>
  </si>
  <si>
    <t>moda ruj</t>
  </si>
  <si>
    <t>vezza</t>
  </si>
  <si>
    <t>brown dress w lace design</t>
  </si>
  <si>
    <t>vals</t>
  </si>
  <si>
    <t>pink /floral pleated dress</t>
  </si>
  <si>
    <t>MENS SUITS</t>
  </si>
  <si>
    <t>Black 3 piece suit</t>
  </si>
  <si>
    <t>mens shirts</t>
  </si>
  <si>
    <t>presidential mens 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</si>
</sst>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m/d/yyyy;@"/>
    <numFmt numFmtId="166" formatCode="[$-409]d\-mmm;@"/>
    <numFmt numFmtId="167" formatCode="[$-409]d\-mmm\-yy;@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name val="Calibri"/>
      <family val="2"/>
    </font>
    <font>
      <b/>
      <i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FFC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color rgb="FFFFC00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FFC000"/>
      <name val="Calibri"/>
      <family val="2"/>
      <scheme val="minor"/>
    </font>
    <font>
      <i/>
      <sz val="11"/>
      <color rgb="FFFFC000"/>
      <name val="Calibri"/>
      <family val="2"/>
      <scheme val="minor"/>
    </font>
    <font>
      <sz val="12"/>
      <name val="Calibri"/>
      <family val="2"/>
    </font>
    <font>
      <b/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99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9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16" fontId="0" fillId="0" borderId="0" xfId="0" applyNumberFormat="1"/>
    <xf numFmtId="0" fontId="2" fillId="0" borderId="8" xfId="0" applyFont="1" applyBorder="1"/>
    <xf numFmtId="0" fontId="2" fillId="0" borderId="9" xfId="0" applyFont="1" applyBorder="1"/>
    <xf numFmtId="0" fontId="5" fillId="0" borderId="8" xfId="0" applyFont="1" applyBorder="1"/>
    <xf numFmtId="0" fontId="5" fillId="0" borderId="9" xfId="0" applyFont="1" applyBorder="1"/>
    <xf numFmtId="0" fontId="6" fillId="0" borderId="0" xfId="0" applyFont="1"/>
    <xf numFmtId="0" fontId="5" fillId="0" borderId="0" xfId="0" applyFont="1"/>
    <xf numFmtId="0" fontId="0" fillId="3" borderId="0" xfId="0" applyFill="1"/>
    <xf numFmtId="0" fontId="0" fillId="4" borderId="0" xfId="0" applyFill="1"/>
    <xf numFmtId="164" fontId="4" fillId="0" borderId="11" xfId="1" applyNumberFormat="1" applyFont="1" applyBorder="1"/>
    <xf numFmtId="0" fontId="2" fillId="0" borderId="11" xfId="0" applyFont="1" applyBorder="1"/>
    <xf numFmtId="164" fontId="2" fillId="0" borderId="14" xfId="1" applyNumberFormat="1" applyFont="1" applyBorder="1"/>
    <xf numFmtId="164" fontId="2" fillId="0" borderId="2" xfId="1" applyNumberFormat="1" applyFont="1" applyBorder="1"/>
    <xf numFmtId="164" fontId="0" fillId="0" borderId="11" xfId="1" applyNumberFormat="1" applyFont="1" applyBorder="1"/>
    <xf numFmtId="0" fontId="5" fillId="0" borderId="4" xfId="0" applyFont="1" applyBorder="1"/>
    <xf numFmtId="164" fontId="6" fillId="0" borderId="11" xfId="1" applyNumberFormat="1" applyFont="1" applyBorder="1"/>
    <xf numFmtId="164" fontId="6" fillId="0" borderId="0" xfId="1" applyNumberFormat="1" applyFont="1"/>
    <xf numFmtId="0" fontId="6" fillId="0" borderId="4" xfId="0" applyFont="1" applyBorder="1"/>
    <xf numFmtId="164" fontId="6" fillId="0" borderId="15" xfId="1" applyNumberFormat="1" applyFont="1" applyBorder="1"/>
    <xf numFmtId="164" fontId="6" fillId="0" borderId="7" xfId="1" applyNumberFormat="1" applyFont="1" applyBorder="1"/>
    <xf numFmtId="164" fontId="5" fillId="0" borderId="15" xfId="1" applyNumberFormat="1" applyFont="1" applyBorder="1"/>
    <xf numFmtId="0" fontId="9" fillId="0" borderId="0" xfId="0" applyFont="1"/>
    <xf numFmtId="164" fontId="5" fillId="0" borderId="0" xfId="1" applyNumberFormat="1" applyFont="1"/>
    <xf numFmtId="164" fontId="10" fillId="0" borderId="11" xfId="1" applyNumberFormat="1" applyFont="1" applyBorder="1"/>
    <xf numFmtId="164" fontId="10" fillId="0" borderId="0" xfId="1" applyNumberFormat="1" applyFont="1"/>
    <xf numFmtId="164" fontId="5" fillId="0" borderId="9" xfId="1" applyNumberFormat="1" applyFont="1" applyBorder="1"/>
    <xf numFmtId="164" fontId="5" fillId="0" borderId="12" xfId="1" applyNumberFormat="1" applyFont="1" applyBorder="1"/>
    <xf numFmtId="164" fontId="11" fillId="0" borderId="0" xfId="1" applyNumberFormat="1" applyFont="1"/>
    <xf numFmtId="0" fontId="10" fillId="0" borderId="0" xfId="0" applyFont="1"/>
    <xf numFmtId="164" fontId="5" fillId="0" borderId="11" xfId="1" applyNumberFormat="1" applyFont="1" applyBorder="1"/>
    <xf numFmtId="0" fontId="12" fillId="0" borderId="0" xfId="0" applyFont="1"/>
    <xf numFmtId="164" fontId="8" fillId="0" borderId="16" xfId="1" applyNumberFormat="1" applyFont="1" applyBorder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14" fontId="0" fillId="0" borderId="0" xfId="0" applyNumberFormat="1"/>
    <xf numFmtId="164" fontId="0" fillId="0" borderId="5" xfId="1" applyNumberFormat="1" applyFont="1" applyBorder="1"/>
    <xf numFmtId="0" fontId="0" fillId="0" borderId="17" xfId="0" applyBorder="1"/>
    <xf numFmtId="164" fontId="2" fillId="0" borderId="0" xfId="0" applyNumberFormat="1" applyFont="1"/>
    <xf numFmtId="17" fontId="0" fillId="0" borderId="0" xfId="0" applyNumberFormat="1"/>
    <xf numFmtId="0" fontId="0" fillId="0" borderId="18" xfId="0" applyBorder="1"/>
    <xf numFmtId="0" fontId="4" fillId="0" borderId="16" xfId="0" applyFont="1" applyBorder="1"/>
    <xf numFmtId="0" fontId="0" fillId="0" borderId="16" xfId="0" applyBorder="1"/>
    <xf numFmtId="0" fontId="4" fillId="0" borderId="19" xfId="0" applyFont="1" applyBorder="1"/>
    <xf numFmtId="0" fontId="0" fillId="0" borderId="20" xfId="0" applyBorder="1"/>
    <xf numFmtId="164" fontId="5" fillId="0" borderId="0" xfId="0" applyNumberFormat="1" applyFont="1"/>
    <xf numFmtId="0" fontId="0" fillId="0" borderId="11" xfId="0" applyBorder="1"/>
    <xf numFmtId="164" fontId="2" fillId="0" borderId="9" xfId="1" applyNumberFormat="1" applyFont="1" applyBorder="1"/>
    <xf numFmtId="164" fontId="10" fillId="0" borderId="18" xfId="1" applyNumberFormat="1" applyFont="1" applyBorder="1" applyAlignment="1">
      <alignment wrapText="1"/>
    </xf>
    <xf numFmtId="0" fontId="11" fillId="0" borderId="0" xfId="0" applyFont="1" applyAlignment="1">
      <alignment wrapText="1"/>
    </xf>
    <xf numFmtId="164" fontId="0" fillId="0" borderId="0" xfId="1" applyNumberFormat="1" applyFont="1" applyAlignment="1">
      <alignment wrapText="1"/>
    </xf>
    <xf numFmtId="164" fontId="13" fillId="0" borderId="0" xfId="1" applyNumberFormat="1" applyFont="1" applyAlignment="1">
      <alignment wrapText="1"/>
    </xf>
    <xf numFmtId="164" fontId="11" fillId="0" borderId="0" xfId="1" applyNumberFormat="1" applyFont="1" applyAlignment="1">
      <alignment wrapText="1"/>
    </xf>
    <xf numFmtId="164" fontId="6" fillId="0" borderId="0" xfId="0" applyNumberFormat="1" applyFont="1"/>
    <xf numFmtId="0" fontId="11" fillId="0" borderId="0" xfId="0" applyFont="1"/>
    <xf numFmtId="164" fontId="2" fillId="0" borderId="0" xfId="1" applyNumberFormat="1" applyFont="1"/>
    <xf numFmtId="164" fontId="0" fillId="3" borderId="0" xfId="1" applyNumberFormat="1" applyFont="1" applyFill="1"/>
    <xf numFmtId="164" fontId="11" fillId="3" borderId="0" xfId="1" applyNumberFormat="1" applyFont="1" applyFill="1"/>
    <xf numFmtId="164" fontId="15" fillId="0" borderId="0" xfId="1" applyNumberFormat="1" applyFont="1" applyAlignment="1">
      <alignment wrapText="1"/>
    </xf>
    <xf numFmtId="0" fontId="2" fillId="0" borderId="20" xfId="0" applyFont="1" applyBorder="1"/>
    <xf numFmtId="0" fontId="6" fillId="0" borderId="6" xfId="0" applyFont="1" applyBorder="1"/>
    <xf numFmtId="0" fontId="10" fillId="0" borderId="0" xfId="0" applyFont="1" applyAlignment="1">
      <alignment wrapText="1"/>
    </xf>
    <xf numFmtId="164" fontId="10" fillId="0" borderId="0" xfId="1" applyNumberFormat="1" applyFont="1" applyAlignment="1">
      <alignment wrapText="1"/>
    </xf>
    <xf numFmtId="164" fontId="11" fillId="0" borderId="0" xfId="0" applyNumberFormat="1" applyFont="1"/>
    <xf numFmtId="0" fontId="11" fillId="2" borderId="0" xfId="0" applyFont="1" applyFill="1"/>
    <xf numFmtId="0" fontId="11" fillId="3" borderId="0" xfId="0" applyFont="1" applyFill="1"/>
    <xf numFmtId="164" fontId="11" fillId="3" borderId="0" xfId="0" applyNumberFormat="1" applyFont="1" applyFill="1"/>
    <xf numFmtId="0" fontId="13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3" fillId="3" borderId="0" xfId="0" applyFont="1" applyFill="1" applyAlignment="1">
      <alignment vertical="justify" wrapText="1"/>
    </xf>
    <xf numFmtId="0" fontId="3" fillId="0" borderId="0" xfId="0" applyFont="1" applyAlignment="1">
      <alignment vertical="justify" wrapText="1"/>
    </xf>
    <xf numFmtId="0" fontId="17" fillId="0" borderId="0" xfId="0" applyFont="1" applyAlignment="1">
      <alignment vertical="justify" wrapText="1"/>
    </xf>
    <xf numFmtId="0" fontId="13" fillId="3" borderId="0" xfId="0" applyFont="1" applyFill="1" applyAlignment="1">
      <alignment wrapText="1"/>
    </xf>
    <xf numFmtId="0" fontId="10" fillId="4" borderId="0" xfId="0" applyFont="1" applyFill="1"/>
    <xf numFmtId="0" fontId="10" fillId="2" borderId="0" xfId="0" applyFont="1" applyFill="1"/>
    <xf numFmtId="0" fontId="18" fillId="0" borderId="0" xfId="0" applyFont="1"/>
    <xf numFmtId="0" fontId="19" fillId="0" borderId="0" xfId="0" applyFont="1"/>
    <xf numFmtId="164" fontId="15" fillId="0" borderId="0" xfId="0" applyNumberFormat="1" applyFont="1" applyAlignment="1">
      <alignment wrapText="1"/>
    </xf>
    <xf numFmtId="17" fontId="10" fillId="0" borderId="0" xfId="0" applyNumberFormat="1" applyFont="1"/>
    <xf numFmtId="0" fontId="16" fillId="0" borderId="0" xfId="0" applyFont="1" applyAlignment="1">
      <alignment vertical="justify" wrapText="1"/>
    </xf>
    <xf numFmtId="164" fontId="10" fillId="0" borderId="0" xfId="0" applyNumberFormat="1" applyFont="1" applyAlignment="1">
      <alignment wrapText="1"/>
    </xf>
    <xf numFmtId="0" fontId="10" fillId="0" borderId="0" xfId="0" applyFont="1" applyAlignment="1">
      <alignment horizontal="center"/>
    </xf>
    <xf numFmtId="43" fontId="11" fillId="0" borderId="0" xfId="0" applyNumberFormat="1" applyFont="1"/>
    <xf numFmtId="16" fontId="11" fillId="0" borderId="0" xfId="0" applyNumberFormat="1" applyFont="1"/>
    <xf numFmtId="0" fontId="0" fillId="0" borderId="25" xfId="0" applyBorder="1"/>
    <xf numFmtId="0" fontId="0" fillId="0" borderId="27" xfId="0" applyBorder="1"/>
    <xf numFmtId="0" fontId="4" fillId="0" borderId="0" xfId="0" applyFont="1" applyAlignment="1">
      <alignment horizontal="center"/>
    </xf>
    <xf numFmtId="9" fontId="0" fillId="0" borderId="0" xfId="0" applyNumberFormat="1"/>
    <xf numFmtId="0" fontId="4" fillId="0" borderId="22" xfId="0" applyFont="1" applyBorder="1"/>
    <xf numFmtId="0" fontId="0" fillId="2" borderId="0" xfId="0" applyFill="1"/>
    <xf numFmtId="164" fontId="11" fillId="2" borderId="0" xfId="1" applyNumberFormat="1" applyFont="1" applyFill="1" applyAlignment="1">
      <alignment wrapText="1"/>
    </xf>
    <xf numFmtId="0" fontId="2" fillId="0" borderId="1" xfId="0" applyFont="1" applyBorder="1" applyAlignment="1">
      <alignment wrapText="1"/>
    </xf>
    <xf numFmtId="0" fontId="2" fillId="0" borderId="4" xfId="0" applyFont="1" applyBorder="1"/>
    <xf numFmtId="0" fontId="2" fillId="0" borderId="1" xfId="0" applyFont="1" applyBorder="1"/>
    <xf numFmtId="17" fontId="2" fillId="0" borderId="24" xfId="0" applyNumberFormat="1" applyFont="1" applyBorder="1"/>
    <xf numFmtId="17" fontId="2" fillId="0" borderId="26" xfId="0" applyNumberFormat="1" applyFont="1" applyBorder="1"/>
    <xf numFmtId="17" fontId="2" fillId="0" borderId="28" xfId="0" applyNumberFormat="1" applyFont="1" applyBorder="1"/>
    <xf numFmtId="0" fontId="4" fillId="0" borderId="8" xfId="0" applyFont="1" applyBorder="1"/>
    <xf numFmtId="164" fontId="4" fillId="0" borderId="9" xfId="1" applyNumberFormat="1" applyFont="1" applyBorder="1"/>
    <xf numFmtId="0" fontId="10" fillId="0" borderId="8" xfId="0" applyFont="1" applyBorder="1"/>
    <xf numFmtId="0" fontId="10" fillId="0" borderId="9" xfId="0" applyFont="1" applyBorder="1"/>
    <xf numFmtId="0" fontId="0" fillId="0" borderId="0" xfId="0" applyAlignment="1">
      <alignment horizontal="center"/>
    </xf>
    <xf numFmtId="164" fontId="6" fillId="7" borderId="0" xfId="1" applyNumberFormat="1" applyFont="1" applyFill="1"/>
    <xf numFmtId="164" fontId="6" fillId="7" borderId="11" xfId="1" applyNumberFormat="1" applyFont="1" applyFill="1" applyBorder="1"/>
    <xf numFmtId="0" fontId="2" fillId="0" borderId="10" xfId="0" applyFont="1" applyBorder="1"/>
    <xf numFmtId="0" fontId="0" fillId="0" borderId="13" xfId="0" applyBorder="1"/>
    <xf numFmtId="0" fontId="0" fillId="8" borderId="0" xfId="0" applyFill="1"/>
    <xf numFmtId="0" fontId="6" fillId="4" borderId="0" xfId="0" applyFont="1" applyFill="1"/>
    <xf numFmtId="0" fontId="2" fillId="0" borderId="13" xfId="0" applyFont="1" applyBorder="1"/>
    <xf numFmtId="0" fontId="0" fillId="9" borderId="0" xfId="0" applyFill="1"/>
    <xf numFmtId="164" fontId="0" fillId="0" borderId="18" xfId="1" applyNumberFormat="1" applyFont="1" applyBorder="1"/>
    <xf numFmtId="164" fontId="10" fillId="0" borderId="19" xfId="1" applyNumberFormat="1" applyFont="1" applyBorder="1" applyAlignment="1">
      <alignment wrapText="1"/>
    </xf>
    <xf numFmtId="0" fontId="28" fillId="0" borderId="0" xfId="0" applyFont="1" applyAlignment="1">
      <alignment vertical="justify" wrapText="1"/>
    </xf>
    <xf numFmtId="0" fontId="27" fillId="0" borderId="0" xfId="0" applyFont="1"/>
    <xf numFmtId="0" fontId="28" fillId="0" borderId="0" xfId="0" applyFont="1" applyAlignment="1">
      <alignment vertical="justify"/>
    </xf>
    <xf numFmtId="0" fontId="27" fillId="3" borderId="0" xfId="0" applyFont="1" applyFill="1"/>
    <xf numFmtId="0" fontId="29" fillId="0" borderId="0" xfId="0" applyFont="1" applyAlignment="1">
      <alignment wrapText="1"/>
    </xf>
    <xf numFmtId="0" fontId="29" fillId="3" borderId="0" xfId="0" applyFont="1" applyFill="1" applyAlignment="1">
      <alignment wrapText="1"/>
    </xf>
    <xf numFmtId="0" fontId="28" fillId="3" borderId="0" xfId="0" applyFont="1" applyFill="1" applyAlignment="1">
      <alignment vertical="justify"/>
    </xf>
    <xf numFmtId="164" fontId="27" fillId="0" borderId="0" xfId="1" applyNumberFormat="1" applyFont="1"/>
    <xf numFmtId="0" fontId="27" fillId="0" borderId="0" xfId="0" applyFont="1" applyAlignment="1">
      <alignment wrapText="1"/>
    </xf>
    <xf numFmtId="166" fontId="6" fillId="0" borderId="0" xfId="0" applyNumberFormat="1" applyFont="1"/>
    <xf numFmtId="164" fontId="4" fillId="0" borderId="0" xfId="1" applyNumberFormat="1" applyFont="1"/>
    <xf numFmtId="0" fontId="10" fillId="0" borderId="13" xfId="0" applyFont="1" applyBorder="1"/>
    <xf numFmtId="164" fontId="10" fillId="0" borderId="13" xfId="1" applyNumberFormat="1" applyFont="1" applyBorder="1"/>
    <xf numFmtId="0" fontId="27" fillId="0" borderId="9" xfId="0" applyFont="1" applyBorder="1"/>
    <xf numFmtId="164" fontId="10" fillId="0" borderId="9" xfId="1" applyNumberFormat="1" applyFont="1" applyBorder="1" applyAlignment="1">
      <alignment wrapText="1"/>
    </xf>
    <xf numFmtId="0" fontId="10" fillId="0" borderId="9" xfId="0" applyFont="1" applyBorder="1" applyAlignment="1">
      <alignment wrapText="1"/>
    </xf>
    <xf numFmtId="43" fontId="5" fillId="0" borderId="0" xfId="0" applyNumberFormat="1" applyFont="1"/>
    <xf numFmtId="164" fontId="10" fillId="0" borderId="13" xfId="0" applyNumberFormat="1" applyFont="1" applyBorder="1"/>
    <xf numFmtId="2" fontId="4" fillId="0" borderId="0" xfId="0" applyNumberFormat="1" applyFont="1" applyAlignment="1">
      <alignment wrapText="1"/>
    </xf>
    <xf numFmtId="2" fontId="4" fillId="0" borderId="16" xfId="0" applyNumberFormat="1" applyFont="1" applyBorder="1" applyAlignment="1">
      <alignment wrapText="1"/>
    </xf>
    <xf numFmtId="2" fontId="4" fillId="0" borderId="11" xfId="1" applyNumberFormat="1" applyFont="1" applyBorder="1" applyAlignment="1">
      <alignment wrapText="1"/>
    </xf>
    <xf numFmtId="164" fontId="2" fillId="0" borderId="16" xfId="1" applyNumberFormat="1" applyFont="1" applyBorder="1"/>
    <xf numFmtId="164" fontId="4" fillId="0" borderId="16" xfId="1" applyNumberFormat="1" applyFont="1" applyBorder="1" applyAlignment="1">
      <alignment wrapText="1"/>
    </xf>
    <xf numFmtId="0" fontId="11" fillId="0" borderId="0" xfId="0" applyFont="1" applyFill="1"/>
    <xf numFmtId="16" fontId="11" fillId="0" borderId="0" xfId="0" applyNumberFormat="1" applyFont="1" applyFill="1"/>
    <xf numFmtId="0" fontId="27" fillId="0" borderId="0" xfId="0" applyFont="1" applyFill="1"/>
    <xf numFmtId="0" fontId="10" fillId="0" borderId="0" xfId="0" applyFont="1" applyFill="1"/>
    <xf numFmtId="0" fontId="11" fillId="0" borderId="0" xfId="0" applyFont="1" applyFill="1" applyAlignment="1">
      <alignment wrapText="1"/>
    </xf>
    <xf numFmtId="0" fontId="0" fillId="0" borderId="0" xfId="0" applyFill="1"/>
    <xf numFmtId="164" fontId="0" fillId="0" borderId="0" xfId="1" applyNumberFormat="1" applyFont="1" applyFill="1"/>
    <xf numFmtId="16" fontId="0" fillId="0" borderId="0" xfId="0" applyNumberFormat="1" applyFill="1"/>
    <xf numFmtId="0" fontId="6" fillId="0" borderId="0" xfId="0" applyFont="1" applyFill="1"/>
    <xf numFmtId="164" fontId="5" fillId="0" borderId="0" xfId="1" applyNumberFormat="1" applyFont="1" applyBorder="1"/>
    <xf numFmtId="164" fontId="6" fillId="0" borderId="0" xfId="1" applyNumberFormat="1" applyFont="1" applyFill="1"/>
    <xf numFmtId="0" fontId="10" fillId="0" borderId="0" xfId="0" applyFont="1" applyFill="1" applyBorder="1" applyAlignment="1">
      <alignment wrapText="1"/>
    </xf>
    <xf numFmtId="0" fontId="0" fillId="0" borderId="0" xfId="0" applyBorder="1"/>
    <xf numFmtId="0" fontId="5" fillId="0" borderId="0" xfId="0" applyFont="1" applyFill="1"/>
    <xf numFmtId="164" fontId="10" fillId="0" borderId="0" xfId="0" applyNumberFormat="1" applyFont="1" applyBorder="1"/>
    <xf numFmtId="1" fontId="6" fillId="0" borderId="0" xfId="0" applyNumberFormat="1" applyFont="1"/>
    <xf numFmtId="0" fontId="10" fillId="0" borderId="0" xfId="0" applyFont="1" applyBorder="1"/>
    <xf numFmtId="0" fontId="10" fillId="0" borderId="0" xfId="0" applyFont="1" applyFill="1" applyBorder="1"/>
    <xf numFmtId="0" fontId="2" fillId="0" borderId="0" xfId="0" applyFont="1" applyFill="1"/>
    <xf numFmtId="0" fontId="6" fillId="0" borderId="0" xfId="0" applyFont="1" applyBorder="1"/>
    <xf numFmtId="164" fontId="0" fillId="0" borderId="0" xfId="1" applyNumberFormat="1" applyFont="1" applyBorder="1"/>
    <xf numFmtId="0" fontId="2" fillId="0" borderId="0" xfId="0" applyFont="1" applyBorder="1"/>
    <xf numFmtId="0" fontId="11" fillId="0" borderId="0" xfId="0" applyFont="1" applyBorder="1"/>
    <xf numFmtId="0" fontId="5" fillId="0" borderId="0" xfId="0" applyFont="1" applyFill="1" applyBorder="1"/>
    <xf numFmtId="164" fontId="6" fillId="0" borderId="0" xfId="1" applyNumberFormat="1" applyFont="1" applyFill="1" applyBorder="1"/>
    <xf numFmtId="0" fontId="6" fillId="0" borderId="0" xfId="0" applyFont="1" applyFill="1" applyBorder="1"/>
    <xf numFmtId="164" fontId="5" fillId="0" borderId="0" xfId="1" applyNumberFormat="1" applyFont="1" applyFill="1" applyBorder="1"/>
    <xf numFmtId="16" fontId="18" fillId="0" borderId="0" xfId="0" applyNumberFormat="1" applyFont="1"/>
    <xf numFmtId="0" fontId="11" fillId="0" borderId="0" xfId="0" applyFont="1" applyFill="1" applyBorder="1"/>
    <xf numFmtId="164" fontId="10" fillId="0" borderId="0" xfId="1" applyNumberFormat="1" applyFont="1" applyFill="1" applyBorder="1"/>
    <xf numFmtId="0" fontId="0" fillId="0" borderId="0" xfId="0" applyFont="1" applyFill="1"/>
    <xf numFmtId="164" fontId="4" fillId="0" borderId="0" xfId="1" applyNumberFormat="1" applyFont="1" applyFill="1"/>
    <xf numFmtId="0" fontId="10" fillId="0" borderId="0" xfId="0" applyFont="1" applyFill="1" applyAlignment="1">
      <alignment wrapText="1"/>
    </xf>
    <xf numFmtId="164" fontId="1" fillId="0" borderId="0" xfId="1" applyNumberFormat="1" applyFont="1" applyFill="1" applyBorder="1"/>
    <xf numFmtId="164" fontId="2" fillId="0" borderId="0" xfId="1" applyNumberFormat="1" applyFont="1" applyFill="1" applyBorder="1"/>
    <xf numFmtId="0" fontId="5" fillId="0" borderId="9" xfId="0" applyFont="1" applyFill="1" applyBorder="1"/>
    <xf numFmtId="164" fontId="5" fillId="0" borderId="0" xfId="0" applyNumberFormat="1" applyFont="1" applyFill="1" applyBorder="1"/>
    <xf numFmtId="0" fontId="0" fillId="0" borderId="0" xfId="0" applyFill="1" applyBorder="1"/>
    <xf numFmtId="164" fontId="6" fillId="0" borderId="0" xfId="0" applyNumberFormat="1" applyFont="1" applyFill="1" applyBorder="1"/>
    <xf numFmtId="164" fontId="11" fillId="0" borderId="0" xfId="1" applyNumberFormat="1" applyFont="1" applyFill="1" applyBorder="1"/>
    <xf numFmtId="166" fontId="6" fillId="0" borderId="0" xfId="0" applyNumberFormat="1" applyFont="1" applyFill="1" applyBorder="1"/>
    <xf numFmtId="0" fontId="0" fillId="5" borderId="0" xfId="0" applyFill="1" applyAlignment="1"/>
    <xf numFmtId="0" fontId="2" fillId="5" borderId="0" xfId="0" applyFont="1" applyFill="1" applyAlignment="1"/>
    <xf numFmtId="0" fontId="6" fillId="5" borderId="0" xfId="0" applyFont="1" applyFill="1" applyAlignment="1"/>
    <xf numFmtId="0" fontId="27" fillId="5" borderId="0" xfId="0" applyFont="1" applyFill="1" applyAlignment="1"/>
    <xf numFmtId="164" fontId="0" fillId="5" borderId="0" xfId="1" applyNumberFormat="1" applyFont="1" applyFill="1" applyAlignment="1"/>
    <xf numFmtId="0" fontId="34" fillId="0" borderId="0" xfId="0" applyFont="1"/>
    <xf numFmtId="0" fontId="18" fillId="0" borderId="0" xfId="0" applyFont="1" applyAlignment="1">
      <alignment wrapText="1"/>
    </xf>
    <xf numFmtId="0" fontId="19" fillId="0" borderId="8" xfId="0" applyFont="1" applyBorder="1"/>
    <xf numFmtId="0" fontId="13" fillId="0" borderId="0" xfId="0" applyFont="1" applyFill="1" applyAlignment="1">
      <alignment horizontal="right"/>
    </xf>
    <xf numFmtId="0" fontId="5" fillId="0" borderId="0" xfId="0" applyFont="1" applyBorder="1"/>
    <xf numFmtId="0" fontId="5" fillId="5" borderId="0" xfId="0" applyFont="1" applyFill="1" applyBorder="1"/>
    <xf numFmtId="164" fontId="5" fillId="5" borderId="0" xfId="1" applyNumberFormat="1" applyFont="1" applyFill="1" applyBorder="1"/>
    <xf numFmtId="0" fontId="5" fillId="5" borderId="0" xfId="0" applyFont="1" applyFill="1" applyBorder="1" applyAlignment="1">
      <alignment wrapText="1"/>
    </xf>
    <xf numFmtId="1" fontId="6" fillId="5" borderId="0" xfId="0" applyNumberFormat="1" applyFont="1" applyFill="1" applyBorder="1"/>
    <xf numFmtId="164" fontId="5" fillId="5" borderId="0" xfId="1" applyNumberFormat="1" applyFont="1" applyFill="1" applyBorder="1" applyAlignment="1">
      <alignment wrapText="1"/>
    </xf>
    <xf numFmtId="164" fontId="5" fillId="0" borderId="0" xfId="1" applyNumberFormat="1" applyFont="1" applyFill="1" applyAlignment="1">
      <alignment wrapText="1"/>
    </xf>
    <xf numFmtId="0" fontId="5" fillId="0" borderId="0" xfId="0" applyFont="1" applyFill="1" applyAlignment="1">
      <alignment wrapText="1"/>
    </xf>
    <xf numFmtId="0" fontId="5" fillId="0" borderId="1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1" fontId="6" fillId="0" borderId="0" xfId="0" applyNumberFormat="1" applyFont="1" applyFill="1"/>
    <xf numFmtId="0" fontId="5" fillId="0" borderId="3" xfId="0" applyFont="1" applyFill="1" applyBorder="1" applyAlignment="1">
      <alignment wrapText="1"/>
    </xf>
    <xf numFmtId="3" fontId="5" fillId="0" borderId="0" xfId="0" applyNumberFormat="1" applyFont="1" applyFill="1"/>
    <xf numFmtId="3" fontId="5" fillId="5" borderId="0" xfId="0" applyNumberFormat="1" applyFont="1" applyFill="1" applyBorder="1"/>
    <xf numFmtId="3" fontId="11" fillId="0" borderId="0" xfId="0" applyNumberFormat="1" applyFont="1" applyFill="1" applyBorder="1"/>
    <xf numFmtId="3" fontId="10" fillId="0" borderId="0" xfId="0" applyNumberFormat="1" applyFont="1" applyFill="1" applyBorder="1"/>
    <xf numFmtId="3" fontId="5" fillId="0" borderId="0" xfId="0" applyNumberFormat="1" applyFont="1"/>
    <xf numFmtId="164" fontId="5" fillId="0" borderId="8" xfId="1" applyNumberFormat="1" applyFont="1" applyFill="1" applyBorder="1"/>
    <xf numFmtId="164" fontId="5" fillId="0" borderId="9" xfId="1" applyNumberFormat="1" applyFont="1" applyFill="1" applyBorder="1"/>
    <xf numFmtId="164" fontId="5" fillId="0" borderId="10" xfId="1" applyNumberFormat="1" applyFont="1" applyFill="1" applyBorder="1"/>
    <xf numFmtId="16" fontId="11" fillId="2" borderId="0" xfId="0" applyNumberFormat="1" applyFont="1" applyFill="1"/>
    <xf numFmtId="0" fontId="27" fillId="2" borderId="0" xfId="0" applyFont="1" applyFill="1"/>
    <xf numFmtId="0" fontId="0" fillId="3" borderId="0" xfId="0" applyFill="1" applyBorder="1"/>
    <xf numFmtId="0" fontId="0" fillId="0" borderId="0" xfId="0" applyFont="1" applyFill="1" applyBorder="1"/>
    <xf numFmtId="164" fontId="5" fillId="0" borderId="15" xfId="1" applyNumberFormat="1" applyFont="1" applyFill="1" applyBorder="1"/>
    <xf numFmtId="164" fontId="5" fillId="0" borderId="12" xfId="1" applyNumberFormat="1" applyFont="1" applyFill="1" applyBorder="1"/>
    <xf numFmtId="164" fontId="5" fillId="0" borderId="23" xfId="1" applyNumberFormat="1" applyFont="1" applyFill="1" applyBorder="1"/>
    <xf numFmtId="164" fontId="10" fillId="0" borderId="11" xfId="1" applyNumberFormat="1" applyFont="1" applyFill="1" applyBorder="1"/>
    <xf numFmtId="0" fontId="10" fillId="0" borderId="0" xfId="0" applyFont="1" applyBorder="1" applyAlignment="1">
      <alignment wrapText="1"/>
    </xf>
    <xf numFmtId="0" fontId="16" fillId="0" borderId="0" xfId="0" applyFont="1" applyFill="1" applyBorder="1" applyAlignment="1">
      <alignment horizontal="right" vertical="justify" wrapText="1"/>
    </xf>
    <xf numFmtId="164" fontId="10" fillId="0" borderId="0" xfId="1" applyNumberFormat="1" applyFont="1" applyBorder="1" applyAlignment="1">
      <alignment wrapText="1"/>
    </xf>
    <xf numFmtId="10" fontId="10" fillId="0" borderId="0" xfId="0" applyNumberFormat="1" applyFont="1" applyBorder="1" applyAlignment="1">
      <alignment wrapText="1"/>
    </xf>
    <xf numFmtId="166" fontId="15" fillId="0" borderId="0" xfId="0" applyNumberFormat="1" applyFont="1" applyBorder="1" applyAlignment="1">
      <alignment wrapText="1"/>
    </xf>
    <xf numFmtId="164" fontId="10" fillId="0" borderId="0" xfId="1" applyNumberFormat="1" applyFont="1" applyFill="1" applyBorder="1" applyAlignment="1">
      <alignment wrapText="1"/>
    </xf>
    <xf numFmtId="0" fontId="2" fillId="0" borderId="0" xfId="0" applyFont="1" applyFill="1" applyBorder="1"/>
    <xf numFmtId="164" fontId="0" fillId="0" borderId="0" xfId="1" applyNumberFormat="1" applyFont="1" applyFill="1" applyBorder="1"/>
    <xf numFmtId="164" fontId="0" fillId="0" borderId="0" xfId="0" applyNumberFormat="1" applyFill="1" applyBorder="1"/>
    <xf numFmtId="9" fontId="0" fillId="0" borderId="0" xfId="2" applyFont="1" applyFill="1" applyBorder="1"/>
    <xf numFmtId="16" fontId="0" fillId="0" borderId="0" xfId="0" applyNumberFormat="1" applyFill="1" applyBorder="1"/>
    <xf numFmtId="164" fontId="20" fillId="0" borderId="0" xfId="1" applyNumberFormat="1" applyFont="1" applyFill="1" applyBorder="1"/>
    <xf numFmtId="0" fontId="26" fillId="0" borderId="0" xfId="0" applyFont="1" applyFill="1" applyBorder="1"/>
    <xf numFmtId="164" fontId="0" fillId="3" borderId="0" xfId="1" applyNumberFormat="1" applyFont="1" applyFill="1" applyBorder="1"/>
    <xf numFmtId="0" fontId="10" fillId="2" borderId="8" xfId="0" applyFont="1" applyFill="1" applyBorder="1"/>
    <xf numFmtId="0" fontId="10" fillId="0" borderId="13" xfId="0" applyFont="1" applyBorder="1" applyAlignment="1">
      <alignment wrapText="1"/>
    </xf>
    <xf numFmtId="0" fontId="4" fillId="0" borderId="4" xfId="0" applyFont="1" applyBorder="1"/>
    <xf numFmtId="166" fontId="6" fillId="5" borderId="0" xfId="0" applyNumberFormat="1" applyFont="1" applyFill="1" applyBorder="1"/>
    <xf numFmtId="166" fontId="5" fillId="0" borderId="0" xfId="0" applyNumberFormat="1" applyFont="1" applyFill="1" applyBorder="1"/>
    <xf numFmtId="0" fontId="0" fillId="4" borderId="0" xfId="0" applyFill="1" applyBorder="1"/>
    <xf numFmtId="0" fontId="2" fillId="0" borderId="12" xfId="0" applyFont="1" applyBorder="1"/>
    <xf numFmtId="0" fontId="11" fillId="0" borderId="13" xfId="0" applyFont="1" applyBorder="1"/>
    <xf numFmtId="164" fontId="6" fillId="0" borderId="11" xfId="1" applyNumberFormat="1" applyFont="1" applyFill="1" applyBorder="1"/>
    <xf numFmtId="43" fontId="5" fillId="0" borderId="0" xfId="0" applyNumberFormat="1" applyFont="1" applyBorder="1"/>
    <xf numFmtId="16" fontId="2" fillId="0" borderId="0" xfId="0" applyNumberFormat="1" applyFont="1"/>
    <xf numFmtId="0" fontId="19" fillId="0" borderId="0" xfId="0" applyFont="1" applyBorder="1"/>
    <xf numFmtId="0" fontId="19" fillId="0" borderId="0" xfId="0" applyFont="1" applyAlignment="1">
      <alignment wrapText="1"/>
    </xf>
    <xf numFmtId="0" fontId="35" fillId="0" borderId="0" xfId="0" applyFont="1" applyAlignment="1">
      <alignment vertical="justify" wrapText="1"/>
    </xf>
    <xf numFmtId="164" fontId="19" fillId="0" borderId="0" xfId="1" applyNumberFormat="1" applyFont="1" applyAlignment="1">
      <alignment wrapText="1"/>
    </xf>
    <xf numFmtId="164" fontId="18" fillId="0" borderId="0" xfId="1" applyNumberFormat="1" applyFont="1" applyAlignment="1">
      <alignment wrapText="1"/>
    </xf>
    <xf numFmtId="164" fontId="18" fillId="0" borderId="0" xfId="0" applyNumberFormat="1" applyFont="1"/>
    <xf numFmtId="164" fontId="18" fillId="0" borderId="0" xfId="0" applyNumberFormat="1" applyFont="1" applyAlignment="1">
      <alignment wrapText="1"/>
    </xf>
    <xf numFmtId="0" fontId="19" fillId="0" borderId="13" xfId="0" applyFont="1" applyBorder="1"/>
    <xf numFmtId="164" fontId="19" fillId="0" borderId="13" xfId="0" applyNumberFormat="1" applyFont="1" applyBorder="1"/>
    <xf numFmtId="164" fontId="10" fillId="0" borderId="0" xfId="1" applyNumberFormat="1" applyFont="1" applyBorder="1"/>
    <xf numFmtId="16" fontId="10" fillId="0" borderId="0" xfId="0" applyNumberFormat="1" applyFont="1" applyBorder="1"/>
    <xf numFmtId="0" fontId="27" fillId="0" borderId="0" xfId="0" applyFont="1" applyBorder="1"/>
    <xf numFmtId="0" fontId="24" fillId="0" borderId="0" xfId="0" applyFont="1" applyFill="1" applyBorder="1"/>
    <xf numFmtId="0" fontId="24" fillId="0" borderId="0" xfId="0" applyFont="1" applyBorder="1"/>
    <xf numFmtId="164" fontId="6" fillId="0" borderId="0" xfId="1" applyNumberFormat="1" applyFont="1" applyBorder="1"/>
    <xf numFmtId="164" fontId="6" fillId="0" borderId="12" xfId="1" applyNumberFormat="1" applyFont="1" applyBorder="1"/>
    <xf numFmtId="164" fontId="6" fillId="0" borderId="9" xfId="1" applyNumberFormat="1" applyFont="1" applyBorder="1"/>
    <xf numFmtId="164" fontId="8" fillId="0" borderId="0" xfId="1" applyNumberFormat="1" applyFont="1" applyBorder="1"/>
    <xf numFmtId="0" fontId="7" fillId="0" borderId="1" xfId="0" applyFont="1" applyBorder="1"/>
    <xf numFmtId="164" fontId="2" fillId="0" borderId="14" xfId="1" applyNumberFormat="1" applyFont="1" applyFill="1" applyBorder="1"/>
    <xf numFmtId="164" fontId="0" fillId="0" borderId="11" xfId="1" applyNumberFormat="1" applyFont="1" applyFill="1" applyBorder="1"/>
    <xf numFmtId="164" fontId="5" fillId="0" borderId="11" xfId="1" applyNumberFormat="1" applyFont="1" applyFill="1" applyBorder="1"/>
    <xf numFmtId="164" fontId="6" fillId="0" borderId="15" xfId="1" applyNumberFormat="1" applyFont="1" applyFill="1" applyBorder="1"/>
    <xf numFmtId="164" fontId="6" fillId="0" borderId="12" xfId="1" applyNumberFormat="1" applyFont="1" applyFill="1" applyBorder="1"/>
    <xf numFmtId="164" fontId="5" fillId="0" borderId="29" xfId="1" applyNumberFormat="1" applyFont="1" applyFill="1" applyBorder="1"/>
    <xf numFmtId="164" fontId="5" fillId="0" borderId="7" xfId="1" applyNumberFormat="1" applyFont="1" applyBorder="1"/>
    <xf numFmtId="164" fontId="6" fillId="7" borderId="0" xfId="1" applyNumberFormat="1" applyFont="1" applyFill="1" applyBorder="1"/>
    <xf numFmtId="164" fontId="8" fillId="0" borderId="14" xfId="1" applyNumberFormat="1" applyFont="1" applyBorder="1"/>
    <xf numFmtId="164" fontId="8" fillId="0" borderId="11" xfId="1" applyNumberFormat="1" applyFont="1" applyBorder="1"/>
    <xf numFmtId="0" fontId="4" fillId="0" borderId="0" xfId="0" applyFont="1" applyBorder="1"/>
    <xf numFmtId="164" fontId="4" fillId="0" borderId="12" xfId="1" applyNumberFormat="1" applyFont="1" applyFill="1" applyBorder="1"/>
    <xf numFmtId="164" fontId="4" fillId="0" borderId="12" xfId="1" applyNumberFormat="1" applyFont="1" applyBorder="1"/>
    <xf numFmtId="0" fontId="6" fillId="0" borderId="0" xfId="0" applyFont="1" applyFill="1" applyBorder="1" applyAlignment="1">
      <alignment horizontal="left"/>
    </xf>
    <xf numFmtId="0" fontId="10" fillId="11" borderId="8" xfId="0" applyFont="1" applyFill="1" applyBorder="1"/>
    <xf numFmtId="0" fontId="10" fillId="11" borderId="9" xfId="0" applyFont="1" applyFill="1" applyBorder="1"/>
    <xf numFmtId="16" fontId="10" fillId="11" borderId="9" xfId="0" applyNumberFormat="1" applyFont="1" applyFill="1" applyBorder="1"/>
    <xf numFmtId="0" fontId="27" fillId="11" borderId="9" xfId="0" applyFont="1" applyFill="1" applyBorder="1"/>
    <xf numFmtId="0" fontId="2" fillId="0" borderId="0" xfId="0" applyFont="1" applyFill="1" applyBorder="1" applyAlignment="1">
      <alignment wrapText="1"/>
    </xf>
    <xf numFmtId="164" fontId="2" fillId="0" borderId="0" xfId="1" applyNumberFormat="1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164" fontId="1" fillId="0" borderId="0" xfId="1" applyNumberFormat="1" applyFont="1" applyFill="1" applyBorder="1" applyAlignment="1">
      <alignment wrapText="1"/>
    </xf>
    <xf numFmtId="0" fontId="2" fillId="0" borderId="19" xfId="0" applyFont="1" applyBorder="1" applyAlignment="1">
      <alignment wrapText="1"/>
    </xf>
    <xf numFmtId="0" fontId="0" fillId="0" borderId="0" xfId="0" applyFill="1" applyBorder="1" applyAlignment="1">
      <alignment wrapText="1"/>
    </xf>
    <xf numFmtId="14" fontId="2" fillId="0" borderId="0" xfId="0" applyNumberFormat="1" applyFont="1" applyFill="1" applyBorder="1" applyAlignment="1">
      <alignment wrapText="1"/>
    </xf>
    <xf numFmtId="164" fontId="0" fillId="0" borderId="0" xfId="0" applyNumberFormat="1" applyFill="1" applyBorder="1" applyAlignment="1">
      <alignment wrapText="1"/>
    </xf>
    <xf numFmtId="14" fontId="0" fillId="0" borderId="0" xfId="0" applyNumberFormat="1" applyFill="1" applyBorder="1"/>
    <xf numFmtId="164" fontId="2" fillId="0" borderId="0" xfId="0" applyNumberFormat="1" applyFont="1" applyFill="1" applyBorder="1"/>
    <xf numFmtId="14" fontId="5" fillId="0" borderId="0" xfId="0" applyNumberFormat="1" applyFont="1" applyFill="1" applyBorder="1"/>
    <xf numFmtId="164" fontId="1" fillId="0" borderId="0" xfId="1" applyNumberFormat="1" applyFill="1" applyBorder="1"/>
    <xf numFmtId="0" fontId="25" fillId="0" borderId="0" xfId="0" applyFont="1" applyFill="1" applyBorder="1"/>
    <xf numFmtId="164" fontId="25" fillId="0" borderId="0" xfId="1" applyNumberFormat="1" applyFont="1" applyFill="1" applyBorder="1"/>
    <xf numFmtId="14" fontId="24" fillId="0" borderId="0" xfId="0" applyNumberFormat="1" applyFont="1" applyFill="1" applyBorder="1"/>
    <xf numFmtId="0" fontId="24" fillId="0" borderId="0" xfId="0" applyFont="1" applyFill="1" applyBorder="1" applyAlignment="1">
      <alignment horizontal="left"/>
    </xf>
    <xf numFmtId="164" fontId="24" fillId="0" borderId="0" xfId="1" applyNumberFormat="1" applyFont="1" applyFill="1" applyBorder="1"/>
    <xf numFmtId="14" fontId="26" fillId="0" borderId="0" xfId="0" applyNumberFormat="1" applyFont="1" applyFill="1" applyBorder="1"/>
    <xf numFmtId="164" fontId="26" fillId="0" borderId="0" xfId="1" applyNumberFormat="1" applyFont="1" applyFill="1" applyBorder="1"/>
    <xf numFmtId="0" fontId="2" fillId="0" borderId="2" xfId="0" applyNumberFormat="1" applyFont="1" applyBorder="1"/>
    <xf numFmtId="0" fontId="2" fillId="0" borderId="3" xfId="0" applyNumberFormat="1" applyFont="1" applyBorder="1"/>
    <xf numFmtId="0" fontId="2" fillId="0" borderId="0" xfId="0" applyNumberFormat="1" applyFont="1"/>
    <xf numFmtId="0" fontId="2" fillId="0" borderId="0" xfId="0" applyNumberFormat="1" applyFont="1" applyFill="1" applyBorder="1"/>
    <xf numFmtId="166" fontId="5" fillId="0" borderId="0" xfId="0" applyNumberFormat="1" applyFont="1" applyFill="1"/>
    <xf numFmtId="164" fontId="0" fillId="3" borderId="0" xfId="0" applyNumberFormat="1" applyFill="1" applyBorder="1"/>
    <xf numFmtId="164" fontId="19" fillId="2" borderId="0" xfId="1" applyNumberFormat="1" applyFont="1" applyFill="1"/>
    <xf numFmtId="164" fontId="10" fillId="2" borderId="13" xfId="1" applyNumberFormat="1" applyFont="1" applyFill="1" applyBorder="1"/>
    <xf numFmtId="164" fontId="10" fillId="2" borderId="0" xfId="1" applyNumberFormat="1" applyFont="1" applyFill="1" applyBorder="1"/>
    <xf numFmtId="164" fontId="10" fillId="2" borderId="10" xfId="1" applyNumberFormat="1" applyFont="1" applyFill="1" applyBorder="1"/>
    <xf numFmtId="43" fontId="10" fillId="2" borderId="10" xfId="1" applyNumberFormat="1" applyFont="1" applyFill="1" applyBorder="1"/>
    <xf numFmtId="164" fontId="15" fillId="2" borderId="0" xfId="1" applyNumberFormat="1" applyFont="1" applyFill="1" applyAlignment="1">
      <alignment wrapText="1"/>
    </xf>
    <xf numFmtId="164" fontId="10" fillId="2" borderId="0" xfId="1" applyNumberFormat="1" applyFont="1" applyFill="1" applyAlignment="1">
      <alignment wrapText="1"/>
    </xf>
    <xf numFmtId="0" fontId="2" fillId="0" borderId="22" xfId="0" applyFont="1" applyBorder="1"/>
    <xf numFmtId="16" fontId="2" fillId="0" borderId="22" xfId="0" applyNumberFormat="1" applyFont="1" applyBorder="1"/>
    <xf numFmtId="6" fontId="0" fillId="0" borderId="0" xfId="0" applyNumberFormat="1"/>
    <xf numFmtId="9" fontId="1" fillId="0" borderId="0" xfId="2" applyFont="1" applyFill="1" applyBorder="1"/>
    <xf numFmtId="0" fontId="6" fillId="3" borderId="0" xfId="0" applyFont="1" applyFill="1" applyBorder="1"/>
    <xf numFmtId="0" fontId="37" fillId="0" borderId="0" xfId="0" applyFont="1" applyFill="1" applyBorder="1"/>
    <xf numFmtId="0" fontId="33" fillId="0" borderId="0" xfId="0" applyFont="1" applyFill="1" applyBorder="1"/>
    <xf numFmtId="164" fontId="0" fillId="0" borderId="32" xfId="1" applyNumberFormat="1" applyFont="1" applyBorder="1"/>
    <xf numFmtId="164" fontId="20" fillId="0" borderId="32" xfId="1" applyNumberFormat="1" applyFont="1" applyBorder="1"/>
    <xf numFmtId="164" fontId="0" fillId="0" borderId="33" xfId="1" applyNumberFormat="1" applyFont="1" applyBorder="1"/>
    <xf numFmtId="164" fontId="20" fillId="0" borderId="34" xfId="1" applyNumberFormat="1" applyFont="1" applyBorder="1"/>
    <xf numFmtId="0" fontId="0" fillId="0" borderId="33" xfId="0" applyBorder="1"/>
    <xf numFmtId="0" fontId="0" fillId="10" borderId="0" xfId="0" applyFill="1" applyBorder="1"/>
    <xf numFmtId="164" fontId="11" fillId="0" borderId="0" xfId="1" applyNumberFormat="1" applyFont="1" applyBorder="1" applyAlignment="1">
      <alignment wrapText="1"/>
    </xf>
    <xf numFmtId="0" fontId="5" fillId="0" borderId="0" xfId="0" applyFont="1" applyFill="1" applyAlignment="1"/>
    <xf numFmtId="0" fontId="5" fillId="0" borderId="0" xfId="0" applyFont="1" applyFill="1" applyBorder="1" applyAlignment="1"/>
    <xf numFmtId="0" fontId="10" fillId="0" borderId="0" xfId="0" applyFont="1" applyFill="1" applyBorder="1" applyAlignment="1"/>
    <xf numFmtId="0" fontId="11" fillId="0" borderId="0" xfId="0" applyFont="1" applyFill="1" applyBorder="1" applyAlignment="1"/>
    <xf numFmtId="0" fontId="38" fillId="0" borderId="0" xfId="0" applyFont="1" applyFill="1" applyBorder="1"/>
    <xf numFmtId="0" fontId="4" fillId="0" borderId="0" xfId="0" applyFont="1" applyFill="1" applyBorder="1"/>
    <xf numFmtId="164" fontId="27" fillId="0" borderId="31" xfId="1" applyNumberFormat="1" applyFont="1" applyBorder="1" applyAlignment="1">
      <alignment wrapText="1"/>
    </xf>
    <xf numFmtId="0" fontId="24" fillId="0" borderId="35" xfId="0" applyFont="1" applyBorder="1"/>
    <xf numFmtId="166" fontId="6" fillId="0" borderId="0" xfId="0" applyNumberFormat="1" applyFont="1" applyFill="1"/>
    <xf numFmtId="0" fontId="6" fillId="0" borderId="0" xfId="0" applyFont="1" applyFill="1" applyAlignment="1"/>
    <xf numFmtId="0" fontId="13" fillId="0" borderId="0" xfId="0" applyFont="1" applyFill="1" applyBorder="1"/>
    <xf numFmtId="164" fontId="13" fillId="0" borderId="0" xfId="1" applyNumberFormat="1" applyFont="1" applyFill="1" applyBorder="1"/>
    <xf numFmtId="164" fontId="13" fillId="0" borderId="0" xfId="0" applyNumberFormat="1" applyFont="1" applyFill="1" applyBorder="1"/>
    <xf numFmtId="9" fontId="13" fillId="0" borderId="0" xfId="2" applyFont="1" applyFill="1" applyBorder="1"/>
    <xf numFmtId="164" fontId="15" fillId="0" borderId="0" xfId="1" applyNumberFormat="1" applyFont="1" applyFill="1" applyBorder="1"/>
    <xf numFmtId="9" fontId="5" fillId="0" borderId="0" xfId="0" applyNumberFormat="1" applyFont="1" applyBorder="1"/>
    <xf numFmtId="9" fontId="10" fillId="0" borderId="0" xfId="0" applyNumberFormat="1" applyFont="1" applyBorder="1" applyAlignment="1">
      <alignment wrapText="1"/>
    </xf>
    <xf numFmtId="9" fontId="6" fillId="0" borderId="0" xfId="0" applyNumberFormat="1" applyFont="1" applyBorder="1"/>
    <xf numFmtId="9" fontId="11" fillId="0" borderId="0" xfId="2" applyFont="1" applyFill="1" applyBorder="1"/>
    <xf numFmtId="9" fontId="11" fillId="0" borderId="0" xfId="0" applyNumberFormat="1" applyFont="1" applyBorder="1"/>
    <xf numFmtId="0" fontId="0" fillId="0" borderId="0" xfId="0" applyFont="1" applyFill="1" applyBorder="1" applyAlignment="1">
      <alignment horizontal="left"/>
    </xf>
    <xf numFmtId="43" fontId="5" fillId="0" borderId="0" xfId="1" applyNumberFormat="1" applyFont="1" applyBorder="1"/>
    <xf numFmtId="164" fontId="6" fillId="0" borderId="8" xfId="1" applyNumberFormat="1" applyFont="1" applyFill="1" applyBorder="1"/>
    <xf numFmtId="0" fontId="6" fillId="0" borderId="9" xfId="0" applyFont="1" applyFill="1" applyBorder="1"/>
    <xf numFmtId="1" fontId="6" fillId="0" borderId="9" xfId="0" applyNumberFormat="1" applyFont="1" applyFill="1" applyBorder="1"/>
    <xf numFmtId="164" fontId="6" fillId="0" borderId="9" xfId="1" applyNumberFormat="1" applyFont="1" applyFill="1" applyBorder="1"/>
    <xf numFmtId="0" fontId="6" fillId="0" borderId="10" xfId="0" applyFont="1" applyFill="1" applyBorder="1"/>
    <xf numFmtId="166" fontId="10" fillId="0" borderId="0" xfId="0" applyNumberFormat="1" applyFont="1" applyFill="1" applyBorder="1"/>
    <xf numFmtId="0" fontId="10" fillId="2" borderId="0" xfId="0" applyFont="1" applyFill="1" applyAlignment="1">
      <alignment wrapText="1"/>
    </xf>
    <xf numFmtId="164" fontId="19" fillId="2" borderId="0" xfId="1" applyNumberFormat="1" applyFont="1" applyFill="1" applyAlignment="1">
      <alignment wrapText="1"/>
    </xf>
    <xf numFmtId="164" fontId="2" fillId="2" borderId="0" xfId="1" applyNumberFormat="1" applyFont="1" applyFill="1" applyAlignment="1">
      <alignment wrapText="1"/>
    </xf>
    <xf numFmtId="164" fontId="2" fillId="2" borderId="0" xfId="1" applyNumberFormat="1" applyFont="1" applyFill="1" applyAlignment="1"/>
    <xf numFmtId="164" fontId="2" fillId="2" borderId="0" xfId="0" applyNumberFormat="1" applyFont="1" applyFill="1"/>
    <xf numFmtId="164" fontId="5" fillId="2" borderId="0" xfId="1" applyNumberFormat="1" applyFont="1" applyFill="1" applyAlignment="1">
      <alignment wrapText="1"/>
    </xf>
    <xf numFmtId="0" fontId="11" fillId="2" borderId="0" xfId="0" applyFont="1" applyFill="1" applyBorder="1"/>
    <xf numFmtId="0" fontId="6" fillId="2" borderId="0" xfId="0" applyFont="1" applyFill="1" applyBorder="1"/>
    <xf numFmtId="0" fontId="0" fillId="2" borderId="20" xfId="0" applyFill="1" applyBorder="1"/>
    <xf numFmtId="0" fontId="2" fillId="2" borderId="13" xfId="0" applyFont="1" applyFill="1" applyBorder="1"/>
    <xf numFmtId="0" fontId="11" fillId="4" borderId="0" xfId="0" applyFont="1" applyFill="1" applyBorder="1"/>
    <xf numFmtId="0" fontId="6" fillId="5" borderId="0" xfId="0" applyFont="1" applyFill="1" applyBorder="1"/>
    <xf numFmtId="166" fontId="11" fillId="5" borderId="0" xfId="0" applyNumberFormat="1" applyFont="1" applyFill="1" applyBorder="1"/>
    <xf numFmtId="164" fontId="11" fillId="5" borderId="0" xfId="1" applyNumberFormat="1" applyFont="1" applyFill="1" applyBorder="1"/>
    <xf numFmtId="0" fontId="11" fillId="5" borderId="0" xfId="0" applyFont="1" applyFill="1" applyBorder="1"/>
    <xf numFmtId="1" fontId="11" fillId="5" borderId="0" xfId="0" applyNumberFormat="1" applyFont="1" applyFill="1" applyBorder="1"/>
    <xf numFmtId="164" fontId="10" fillId="5" borderId="0" xfId="1" applyNumberFormat="1" applyFont="1" applyFill="1" applyBorder="1"/>
    <xf numFmtId="0" fontId="10" fillId="5" borderId="0" xfId="0" applyFont="1" applyFill="1" applyBorder="1"/>
    <xf numFmtId="164" fontId="11" fillId="2" borderId="0" xfId="1" applyNumberFormat="1" applyFont="1" applyFill="1" applyBorder="1" applyAlignment="1">
      <alignment wrapText="1"/>
    </xf>
    <xf numFmtId="3" fontId="0" fillId="0" borderId="32" xfId="0" applyNumberFormat="1" applyBorder="1"/>
    <xf numFmtId="0" fontId="0" fillId="0" borderId="34" xfId="0" applyBorder="1"/>
    <xf numFmtId="16" fontId="10" fillId="0" borderId="0" xfId="0" applyNumberFormat="1" applyFont="1"/>
    <xf numFmtId="0" fontId="11" fillId="0" borderId="0" xfId="0" applyFont="1" applyFill="1" applyBorder="1" applyAlignment="1">
      <alignment wrapText="1"/>
    </xf>
    <xf numFmtId="164" fontId="11" fillId="0" borderId="0" xfId="1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164" fontId="0" fillId="0" borderId="0" xfId="0" applyNumberFormat="1"/>
    <xf numFmtId="164" fontId="11" fillId="0" borderId="0" xfId="1" applyNumberFormat="1" applyFont="1"/>
    <xf numFmtId="0" fontId="10" fillId="0" borderId="0" xfId="0" applyFont="1"/>
    <xf numFmtId="0" fontId="11" fillId="0" borderId="0" xfId="0" applyFont="1" applyAlignment="1">
      <alignment wrapText="1"/>
    </xf>
    <xf numFmtId="164" fontId="11" fillId="0" borderId="0" xfId="1" applyNumberFormat="1" applyFont="1" applyAlignment="1">
      <alignment wrapText="1"/>
    </xf>
    <xf numFmtId="0" fontId="11" fillId="0" borderId="0" xfId="0" applyFont="1"/>
    <xf numFmtId="16" fontId="11" fillId="0" borderId="0" xfId="0" applyNumberFormat="1" applyFont="1"/>
    <xf numFmtId="0" fontId="27" fillId="0" borderId="0" xfId="0" applyFont="1"/>
    <xf numFmtId="0" fontId="5" fillId="0" borderId="0" xfId="0" applyFont="1" applyFill="1" applyBorder="1"/>
    <xf numFmtId="164" fontId="6" fillId="0" borderId="0" xfId="1" applyNumberFormat="1" applyFont="1" applyFill="1" applyBorder="1"/>
    <xf numFmtId="0" fontId="6" fillId="0" borderId="0" xfId="0" applyFont="1" applyFill="1" applyBorder="1"/>
    <xf numFmtId="1" fontId="6" fillId="0" borderId="0" xfId="0" applyNumberFormat="1" applyFont="1" applyFill="1" applyBorder="1"/>
    <xf numFmtId="3" fontId="5" fillId="0" borderId="0" xfId="0" applyNumberFormat="1" applyFont="1" applyFill="1" applyBorder="1"/>
    <xf numFmtId="3" fontId="5" fillId="0" borderId="13" xfId="0" applyNumberFormat="1" applyFont="1" applyFill="1" applyBorder="1"/>
    <xf numFmtId="164" fontId="5" fillId="0" borderId="8" xfId="1" applyNumberFormat="1" applyFont="1" applyFill="1" applyBorder="1"/>
    <xf numFmtId="164" fontId="5" fillId="0" borderId="9" xfId="1" applyNumberFormat="1" applyFont="1" applyFill="1" applyBorder="1"/>
    <xf numFmtId="164" fontId="5" fillId="0" borderId="10" xfId="1" applyNumberFormat="1" applyFont="1" applyFill="1" applyBorder="1"/>
    <xf numFmtId="164" fontId="10" fillId="2" borderId="0" xfId="1" applyNumberFormat="1" applyFont="1" applyFill="1"/>
    <xf numFmtId="0" fontId="6" fillId="0" borderId="0" xfId="0" applyFont="1" applyFill="1" applyBorder="1" applyAlignment="1"/>
    <xf numFmtId="164" fontId="5" fillId="4" borderId="0" xfId="1" applyNumberFormat="1" applyFont="1" applyFill="1" applyBorder="1"/>
    <xf numFmtId="164" fontId="11" fillId="0" borderId="0" xfId="1" applyNumberFormat="1" applyFont="1" applyAlignment="1">
      <alignment horizontal="left" wrapText="1"/>
    </xf>
    <xf numFmtId="164" fontId="18" fillId="0" borderId="0" xfId="1" applyNumberFormat="1" applyFont="1" applyAlignment="1">
      <alignment horizontal="left" wrapText="1"/>
    </xf>
    <xf numFmtId="16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164" fontId="0" fillId="0" borderId="0" xfId="1" applyNumberFormat="1" applyFont="1" applyAlignment="1">
      <alignment horizontal="left" wrapText="1"/>
    </xf>
    <xf numFmtId="164" fontId="0" fillId="5" borderId="0" xfId="1" applyNumberFormat="1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10" fillId="11" borderId="9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Fill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0" fillId="0" borderId="9" xfId="0" applyFont="1" applyBorder="1" applyAlignment="1">
      <alignment horizontal="left" wrapText="1"/>
    </xf>
    <xf numFmtId="164" fontId="11" fillId="0" borderId="0" xfId="1" applyNumberFormat="1" applyFont="1" applyAlignment="1">
      <alignment horizontal="left"/>
    </xf>
    <xf numFmtId="164" fontId="10" fillId="0" borderId="0" xfId="1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4" fontId="13" fillId="0" borderId="0" xfId="1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164" fontId="15" fillId="0" borderId="0" xfId="1" applyNumberFormat="1" applyFont="1" applyAlignment="1">
      <alignment horizontal="left" wrapText="1"/>
    </xf>
    <xf numFmtId="0" fontId="5" fillId="4" borderId="0" xfId="0" applyFont="1" applyFill="1" applyBorder="1"/>
    <xf numFmtId="0" fontId="5" fillId="0" borderId="0" xfId="0" applyFont="1" applyFill="1" applyBorder="1" applyAlignment="1">
      <alignment horizontal="left"/>
    </xf>
    <xf numFmtId="0" fontId="30" fillId="0" borderId="0" xfId="0" applyFont="1" applyFill="1" applyBorder="1" applyAlignment="1"/>
    <xf numFmtId="0" fontId="14" fillId="0" borderId="0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2" fillId="0" borderId="18" xfId="0" applyFont="1" applyFill="1" applyBorder="1"/>
    <xf numFmtId="14" fontId="21" fillId="0" borderId="18" xfId="0" applyNumberFormat="1" applyFont="1" applyFill="1" applyBorder="1"/>
    <xf numFmtId="0" fontId="0" fillId="0" borderId="18" xfId="0" applyFill="1" applyBorder="1"/>
    <xf numFmtId="164" fontId="0" fillId="0" borderId="18" xfId="1" applyNumberFormat="1" applyFont="1" applyFill="1" applyBorder="1"/>
    <xf numFmtId="164" fontId="2" fillId="0" borderId="18" xfId="1" applyNumberFormat="1" applyFont="1" applyFill="1" applyBorder="1" applyAlignment="1">
      <alignment wrapText="1"/>
    </xf>
    <xf numFmtId="164" fontId="0" fillId="0" borderId="18" xfId="0" applyNumberFormat="1" applyFill="1" applyBorder="1"/>
    <xf numFmtId="14" fontId="0" fillId="0" borderId="18" xfId="0" applyNumberFormat="1" applyFill="1" applyBorder="1"/>
    <xf numFmtId="0" fontId="2" fillId="0" borderId="37" xfId="0" applyFont="1" applyFill="1" applyBorder="1"/>
    <xf numFmtId="14" fontId="2" fillId="0" borderId="38" xfId="0" applyNumberFormat="1" applyFont="1" applyFill="1" applyBorder="1"/>
    <xf numFmtId="0" fontId="2" fillId="0" borderId="38" xfId="0" applyFont="1" applyFill="1" applyBorder="1"/>
    <xf numFmtId="164" fontId="2" fillId="0" borderId="38" xfId="1" applyNumberFormat="1" applyFont="1" applyFill="1" applyBorder="1"/>
    <xf numFmtId="164" fontId="41" fillId="0" borderId="38" xfId="1" applyNumberFormat="1" applyFont="1" applyFill="1" applyBorder="1"/>
    <xf numFmtId="164" fontId="2" fillId="0" borderId="38" xfId="1" applyNumberFormat="1" applyFont="1" applyFill="1" applyBorder="1" applyAlignment="1">
      <alignment wrapText="1"/>
    </xf>
    <xf numFmtId="164" fontId="2" fillId="0" borderId="38" xfId="0" applyNumberFormat="1" applyFont="1" applyFill="1" applyBorder="1"/>
    <xf numFmtId="0" fontId="2" fillId="0" borderId="39" xfId="0" applyFont="1" applyFill="1" applyBorder="1"/>
    <xf numFmtId="0" fontId="2" fillId="0" borderId="24" xfId="0" applyFont="1" applyFill="1" applyBorder="1"/>
    <xf numFmtId="0" fontId="0" fillId="0" borderId="25" xfId="0" applyFill="1" applyBorder="1"/>
    <xf numFmtId="0" fontId="2" fillId="0" borderId="26" xfId="0" applyFont="1" applyFill="1" applyBorder="1"/>
    <xf numFmtId="14" fontId="0" fillId="0" borderId="17" xfId="0" applyNumberFormat="1" applyFill="1" applyBorder="1"/>
    <xf numFmtId="0" fontId="0" fillId="0" borderId="17" xfId="0" applyFill="1" applyBorder="1"/>
    <xf numFmtId="164" fontId="0" fillId="0" borderId="17" xfId="1" applyNumberFormat="1" applyFont="1" applyFill="1" applyBorder="1"/>
    <xf numFmtId="164" fontId="2" fillId="0" borderId="17" xfId="1" applyNumberFormat="1" applyFont="1" applyFill="1" applyBorder="1" applyAlignment="1">
      <alignment wrapText="1"/>
    </xf>
    <xf numFmtId="164" fontId="0" fillId="0" borderId="17" xfId="0" applyNumberFormat="1" applyFill="1" applyBorder="1"/>
    <xf numFmtId="0" fontId="0" fillId="0" borderId="27" xfId="0" applyFill="1" applyBorder="1"/>
    <xf numFmtId="3" fontId="10" fillId="0" borderId="0" xfId="0" applyNumberFormat="1" applyFont="1" applyFill="1"/>
    <xf numFmtId="3" fontId="10" fillId="5" borderId="0" xfId="0" applyNumberFormat="1" applyFont="1" applyFill="1" applyBorder="1"/>
    <xf numFmtId="3" fontId="11" fillId="5" borderId="0" xfId="0" applyNumberFormat="1" applyFont="1" applyFill="1" applyBorder="1"/>
    <xf numFmtId="3" fontId="11" fillId="0" borderId="0" xfId="0" applyNumberFormat="1" applyFont="1"/>
    <xf numFmtId="3" fontId="11" fillId="0" borderId="0" xfId="0" applyNumberFormat="1" applyFont="1" applyFill="1"/>
    <xf numFmtId="0" fontId="32" fillId="0" borderId="0" xfId="0" applyFont="1" applyFill="1" applyBorder="1"/>
    <xf numFmtId="0" fontId="6" fillId="0" borderId="8" xfId="0" applyFont="1" applyFill="1" applyBorder="1" applyAlignment="1"/>
    <xf numFmtId="0" fontId="6" fillId="0" borderId="13" xfId="0" applyFont="1" applyFill="1" applyBorder="1" applyAlignment="1"/>
    <xf numFmtId="0" fontId="40" fillId="0" borderId="0" xfId="0" applyFont="1"/>
    <xf numFmtId="0" fontId="40" fillId="0" borderId="0" xfId="0" applyFont="1" applyFill="1" applyBorder="1"/>
    <xf numFmtId="0" fontId="4" fillId="3" borderId="8" xfId="0" applyFont="1" applyFill="1" applyBorder="1"/>
    <xf numFmtId="164" fontId="4" fillId="3" borderId="9" xfId="1" applyNumberFormat="1" applyFont="1" applyFill="1" applyBorder="1"/>
    <xf numFmtId="164" fontId="4" fillId="3" borderId="10" xfId="0" applyNumberFormat="1" applyFont="1" applyFill="1" applyBorder="1"/>
    <xf numFmtId="164" fontId="40" fillId="0" borderId="0" xfId="1" applyNumberFormat="1" applyFont="1" applyFill="1" applyBorder="1"/>
    <xf numFmtId="9" fontId="40" fillId="0" borderId="0" xfId="2" applyFont="1" applyFill="1" applyBorder="1"/>
    <xf numFmtId="164" fontId="4" fillId="0" borderId="0" xfId="1" applyNumberFormat="1" applyFont="1" applyFill="1" applyBorder="1"/>
    <xf numFmtId="164" fontId="40" fillId="0" borderId="0" xfId="0" applyNumberFormat="1" applyFont="1" applyFill="1" applyBorder="1"/>
    <xf numFmtId="0" fontId="4" fillId="0" borderId="8" xfId="0" applyFont="1" applyFill="1" applyBorder="1"/>
    <xf numFmtId="164" fontId="4" fillId="0" borderId="10" xfId="1" applyNumberFormat="1" applyFont="1" applyFill="1" applyBorder="1"/>
    <xf numFmtId="164" fontId="4" fillId="0" borderId="13" xfId="0" applyNumberFormat="1" applyFont="1" applyFill="1" applyBorder="1"/>
    <xf numFmtId="16" fontId="40" fillId="0" borderId="0" xfId="0" applyNumberFormat="1" applyFont="1" applyFill="1" applyBorder="1"/>
    <xf numFmtId="164" fontId="4" fillId="0" borderId="0" xfId="0" applyNumberFormat="1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164" fontId="4" fillId="0" borderId="9" xfId="1" applyNumberFormat="1" applyFont="1" applyFill="1" applyBorder="1"/>
    <xf numFmtId="164" fontId="4" fillId="0" borderId="10" xfId="0" applyNumberFormat="1" applyFont="1" applyFill="1" applyBorder="1"/>
    <xf numFmtId="164" fontId="4" fillId="0" borderId="9" xfId="0" applyNumberFormat="1" applyFont="1" applyFill="1" applyBorder="1"/>
    <xf numFmtId="43" fontId="40" fillId="0" borderId="0" xfId="1" applyNumberFormat="1" applyFont="1" applyFill="1" applyBorder="1"/>
    <xf numFmtId="0" fontId="4" fillId="0" borderId="0" xfId="0" applyFont="1" applyFill="1" applyBorder="1" applyAlignment="1">
      <alignment horizontal="center"/>
    </xf>
    <xf numFmtId="9" fontId="4" fillId="0" borderId="0" xfId="0" applyNumberFormat="1" applyFont="1" applyFill="1" applyBorder="1"/>
    <xf numFmtId="9" fontId="40" fillId="0" borderId="0" xfId="0" applyNumberFormat="1" applyFont="1" applyFill="1" applyBorder="1"/>
    <xf numFmtId="49" fontId="4" fillId="0" borderId="0" xfId="0" applyNumberFormat="1" applyFont="1" applyFill="1" applyBorder="1" applyAlignment="1">
      <alignment horizontal="center" wrapText="1"/>
    </xf>
    <xf numFmtId="49" fontId="4" fillId="0" borderId="0" xfId="1" applyNumberFormat="1" applyFont="1" applyFill="1" applyBorder="1" applyAlignment="1">
      <alignment horizontal="center" wrapText="1"/>
    </xf>
    <xf numFmtId="49" fontId="4" fillId="0" borderId="0" xfId="2" applyNumberFormat="1" applyFont="1" applyFill="1" applyBorder="1" applyAlignment="1">
      <alignment horizontal="center" wrapText="1"/>
    </xf>
    <xf numFmtId="9" fontId="6" fillId="0" borderId="0" xfId="0" applyNumberFormat="1" applyFont="1" applyFill="1" applyBorder="1"/>
    <xf numFmtId="9" fontId="6" fillId="0" borderId="0" xfId="2" applyFont="1" applyFill="1" applyBorder="1"/>
    <xf numFmtId="164" fontId="6" fillId="3" borderId="0" xfId="1" applyNumberFormat="1" applyFont="1" applyFill="1" applyBorder="1"/>
    <xf numFmtId="0" fontId="6" fillId="4" borderId="0" xfId="0" applyFont="1" applyFill="1" applyBorder="1"/>
    <xf numFmtId="16" fontId="6" fillId="0" borderId="0" xfId="0" applyNumberFormat="1" applyFont="1" applyFill="1" applyBorder="1"/>
    <xf numFmtId="0" fontId="6" fillId="0" borderId="0" xfId="0" applyFont="1" applyFill="1" applyAlignment="1">
      <alignment horizontal="right"/>
    </xf>
    <xf numFmtId="9" fontId="6" fillId="0" borderId="0" xfId="2" applyFont="1" applyBorder="1"/>
    <xf numFmtId="43" fontId="6" fillId="0" borderId="0" xfId="1" applyNumberFormat="1" applyFont="1" applyFill="1" applyBorder="1"/>
    <xf numFmtId="164" fontId="11" fillId="0" borderId="0" xfId="0" applyNumberFormat="1" applyFont="1" applyFill="1" applyBorder="1"/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17" fontId="5" fillId="0" borderId="0" xfId="0" applyNumberFormat="1" applyFont="1" applyFill="1" applyBorder="1"/>
    <xf numFmtId="17" fontId="6" fillId="0" borderId="0" xfId="0" applyNumberFormat="1" applyFont="1" applyFill="1" applyBorder="1"/>
    <xf numFmtId="164" fontId="6" fillId="4" borderId="0" xfId="1" applyNumberFormat="1" applyFont="1" applyFill="1" applyBorder="1"/>
    <xf numFmtId="16" fontId="11" fillId="0" borderId="0" xfId="0" applyNumberFormat="1" applyFont="1" applyFill="1" applyBorder="1"/>
    <xf numFmtId="0" fontId="5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11" fillId="0" borderId="0" xfId="0" applyFont="1" applyFill="1" applyBorder="1" applyAlignment="1">
      <alignment horizontal="right"/>
    </xf>
    <xf numFmtId="164" fontId="6" fillId="3" borderId="0" xfId="0" applyNumberFormat="1" applyFont="1" applyFill="1" applyBorder="1"/>
    <xf numFmtId="0" fontId="6" fillId="6" borderId="0" xfId="0" applyFont="1" applyFill="1" applyBorder="1"/>
    <xf numFmtId="164" fontId="6" fillId="6" borderId="0" xfId="0" applyNumberFormat="1" applyFont="1" applyFill="1" applyBorder="1"/>
    <xf numFmtId="164" fontId="6" fillId="6" borderId="0" xfId="1" applyNumberFormat="1" applyFont="1" applyFill="1" applyBorder="1"/>
    <xf numFmtId="9" fontId="6" fillId="6" borderId="0" xfId="2" applyFont="1" applyFill="1" applyBorder="1"/>
    <xf numFmtId="9" fontId="5" fillId="0" borderId="0" xfId="2" applyFont="1" applyFill="1" applyBorder="1"/>
    <xf numFmtId="0" fontId="5" fillId="2" borderId="0" xfId="0" applyFont="1" applyFill="1" applyBorder="1"/>
    <xf numFmtId="43" fontId="5" fillId="0" borderId="0" xfId="1" applyFont="1" applyFill="1" applyBorder="1"/>
    <xf numFmtId="43" fontId="6" fillId="0" borderId="0" xfId="1" applyFont="1" applyFill="1" applyBorder="1"/>
    <xf numFmtId="164" fontId="2" fillId="0" borderId="0" xfId="0" applyNumberFormat="1" applyFont="1" applyBorder="1"/>
    <xf numFmtId="0" fontId="11" fillId="0" borderId="0" xfId="0" applyFont="1" applyFill="1" applyBorder="1" applyAlignment="1">
      <alignment horizontal="right" vertical="justify" wrapText="1"/>
    </xf>
    <xf numFmtId="0" fontId="11" fillId="0" borderId="0" xfId="0" applyFont="1" applyBorder="1" applyAlignment="1">
      <alignment wrapText="1"/>
    </xf>
    <xf numFmtId="43" fontId="5" fillId="0" borderId="0" xfId="0" applyNumberFormat="1" applyFont="1" applyFill="1" applyBorder="1"/>
    <xf numFmtId="165" fontId="11" fillId="0" borderId="0" xfId="1" applyNumberFormat="1" applyFont="1" applyBorder="1" applyAlignment="1">
      <alignment wrapText="1"/>
    </xf>
    <xf numFmtId="165" fontId="10" fillId="0" borderId="0" xfId="0" applyNumberFormat="1" applyFont="1" applyBorder="1"/>
    <xf numFmtId="165" fontId="32" fillId="0" borderId="0" xfId="0" applyNumberFormat="1" applyFont="1" applyBorder="1"/>
    <xf numFmtId="164" fontId="11" fillId="4" borderId="0" xfId="1" applyNumberFormat="1" applyFont="1" applyFill="1" applyBorder="1"/>
    <xf numFmtId="164" fontId="11" fillId="2" borderId="0" xfId="1" applyNumberFormat="1" applyFont="1" applyFill="1" applyBorder="1"/>
    <xf numFmtId="165" fontId="11" fillId="0" borderId="0" xfId="0" applyNumberFormat="1" applyFont="1" applyBorder="1"/>
    <xf numFmtId="0" fontId="6" fillId="0" borderId="0" xfId="0" applyFont="1" applyFill="1" applyBorder="1" applyAlignment="1">
      <alignment vertical="justify" wrapText="1"/>
    </xf>
    <xf numFmtId="0" fontId="18" fillId="2" borderId="0" xfId="0" applyFont="1" applyFill="1" applyBorder="1"/>
    <xf numFmtId="43" fontId="6" fillId="0" borderId="0" xfId="0" applyNumberFormat="1" applyFont="1" applyBorder="1"/>
    <xf numFmtId="0" fontId="11" fillId="0" borderId="0" xfId="0" applyFont="1" applyFill="1" applyBorder="1" applyAlignment="1">
      <alignment horizontal="right" vertical="justify"/>
    </xf>
    <xf numFmtId="164" fontId="10" fillId="4" borderId="0" xfId="1" applyNumberFormat="1" applyFont="1" applyFill="1" applyBorder="1"/>
    <xf numFmtId="9" fontId="6" fillId="3" borderId="0" xfId="0" applyNumberFormat="1" applyFont="1" applyFill="1" applyBorder="1"/>
    <xf numFmtId="164" fontId="0" fillId="0" borderId="34" xfId="1" applyNumberFormat="1" applyFont="1" applyBorder="1"/>
    <xf numFmtId="3" fontId="0" fillId="0" borderId="20" xfId="0" applyNumberFormat="1" applyBorder="1"/>
    <xf numFmtId="0" fontId="0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164" fontId="2" fillId="0" borderId="40" xfId="1" applyNumberFormat="1" applyFont="1" applyFill="1" applyBorder="1"/>
    <xf numFmtId="164" fontId="2" fillId="0" borderId="2" xfId="1" applyNumberFormat="1" applyFont="1" applyFill="1" applyBorder="1"/>
    <xf numFmtId="164" fontId="2" fillId="0" borderId="3" xfId="1" applyNumberFormat="1" applyFont="1" applyFill="1" applyBorder="1"/>
    <xf numFmtId="0" fontId="2" fillId="0" borderId="6" xfId="0" applyFont="1" applyBorder="1" applyAlignment="1">
      <alignment horizontal="left"/>
    </xf>
    <xf numFmtId="164" fontId="2" fillId="0" borderId="6" xfId="1" applyNumberFormat="1" applyFont="1" applyFill="1" applyBorder="1"/>
    <xf numFmtId="164" fontId="2" fillId="0" borderId="21" xfId="1" applyNumberFormat="1" applyFont="1" applyFill="1" applyBorder="1"/>
    <xf numFmtId="164" fontId="0" fillId="2" borderId="18" xfId="1" applyNumberFormat="1" applyFont="1" applyFill="1" applyBorder="1"/>
    <xf numFmtId="164" fontId="5" fillId="3" borderId="0" xfId="1" applyNumberFormat="1" applyFont="1" applyFill="1" applyBorder="1"/>
    <xf numFmtId="16" fontId="0" fillId="0" borderId="0" xfId="0" applyNumberFormat="1" applyBorder="1"/>
    <xf numFmtId="164" fontId="5" fillId="0" borderId="30" xfId="1" applyNumberFormat="1" applyFont="1" applyBorder="1"/>
    <xf numFmtId="0" fontId="24" fillId="0" borderId="30" xfId="0" applyFont="1" applyBorder="1"/>
    <xf numFmtId="0" fontId="15" fillId="0" borderId="0" xfId="0" applyFont="1" applyFill="1" applyBorder="1"/>
    <xf numFmtId="164" fontId="0" fillId="2" borderId="0" xfId="1" applyNumberFormat="1" applyFont="1" applyFill="1" applyBorder="1"/>
    <xf numFmtId="0" fontId="0" fillId="0" borderId="8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9" xfId="0" applyBorder="1"/>
    <xf numFmtId="0" fontId="0" fillId="0" borderId="10" xfId="0" applyBorder="1"/>
    <xf numFmtId="0" fontId="0" fillId="0" borderId="19" xfId="0" applyBorder="1"/>
    <xf numFmtId="0" fontId="0" fillId="0" borderId="2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4" xfId="0" applyBorder="1"/>
    <xf numFmtId="0" fontId="0" fillId="4" borderId="5" xfId="0" applyFill="1" applyBorder="1"/>
    <xf numFmtId="0" fontId="0" fillId="4" borderId="6" xfId="0" applyFill="1" applyBorder="1"/>
    <xf numFmtId="0" fontId="2" fillId="0" borderId="23" xfId="0" applyFont="1" applyBorder="1"/>
    <xf numFmtId="0" fontId="2" fillId="0" borderId="30" xfId="0" applyFont="1" applyBorder="1"/>
    <xf numFmtId="0" fontId="11" fillId="6" borderId="0" xfId="0" applyFont="1" applyFill="1" applyBorder="1"/>
    <xf numFmtId="164" fontId="11" fillId="6" borderId="0" xfId="1" applyNumberFormat="1" applyFont="1" applyFill="1" applyBorder="1"/>
    <xf numFmtId="9" fontId="11" fillId="6" borderId="0" xfId="2" applyFont="1" applyFill="1" applyBorder="1"/>
    <xf numFmtId="0" fontId="0" fillId="2" borderId="13" xfId="0" applyFill="1" applyBorder="1"/>
    <xf numFmtId="0" fontId="36" fillId="0" borderId="0" xfId="0" applyFont="1" applyFill="1" applyBorder="1"/>
    <xf numFmtId="0" fontId="0" fillId="0" borderId="23" xfId="0" applyBorder="1"/>
    <xf numFmtId="0" fontId="0" fillId="0" borderId="12" xfId="0" applyBorder="1"/>
    <xf numFmtId="0" fontId="0" fillId="0" borderId="30" xfId="0" applyBorder="1"/>
    <xf numFmtId="166" fontId="11" fillId="0" borderId="0" xfId="0" applyNumberFormat="1" applyFont="1" applyFill="1" applyBorder="1"/>
    <xf numFmtId="1" fontId="11" fillId="0" borderId="0" xfId="0" applyNumberFormat="1" applyFont="1" applyFill="1" applyBorder="1"/>
    <xf numFmtId="0" fontId="11" fillId="0" borderId="0" xfId="0" applyFont="1" applyFill="1" applyBorder="1" applyAlignment="1">
      <alignment horizontal="left"/>
    </xf>
    <xf numFmtId="0" fontId="32" fillId="0" borderId="0" xfId="0" applyFont="1" applyFill="1" applyBorder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164" fontId="6" fillId="4" borderId="0" xfId="0" applyNumberFormat="1" applyFont="1" applyFill="1" applyBorder="1"/>
    <xf numFmtId="9" fontId="6" fillId="4" borderId="0" xfId="2" applyFont="1" applyFill="1" applyBorder="1"/>
    <xf numFmtId="164" fontId="15" fillId="0" borderId="0" xfId="0" applyNumberFormat="1" applyFont="1" applyFill="1" applyBorder="1"/>
    <xf numFmtId="9" fontId="15" fillId="0" borderId="0" xfId="2" applyFont="1" applyFill="1" applyBorder="1"/>
    <xf numFmtId="17" fontId="13" fillId="0" borderId="0" xfId="0" applyNumberFormat="1" applyFont="1" applyFill="1" applyBorder="1"/>
    <xf numFmtId="0" fontId="0" fillId="2" borderId="0" xfId="0" applyFill="1" applyBorder="1"/>
    <xf numFmtId="0" fontId="5" fillId="0" borderId="0" xfId="0" applyFont="1" applyFill="1" applyAlignment="1">
      <alignment horizontal="left"/>
    </xf>
    <xf numFmtId="0" fontId="30" fillId="5" borderId="0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/>
    </xf>
    <xf numFmtId="3" fontId="6" fillId="0" borderId="0" xfId="0" applyNumberFormat="1" applyFont="1" applyFill="1" applyBorder="1" applyAlignment="1">
      <alignment horizontal="left"/>
    </xf>
    <xf numFmtId="0" fontId="39" fillId="5" borderId="0" xfId="0" applyFont="1" applyFill="1" applyBorder="1" applyAlignment="1">
      <alignment horizontal="left"/>
    </xf>
    <xf numFmtId="0" fontId="39" fillId="0" borderId="0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15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>
      <alignment wrapText="1"/>
    </xf>
    <xf numFmtId="17" fontId="2" fillId="0" borderId="13" xfId="0" applyNumberFormat="1" applyFont="1" applyBorder="1"/>
    <xf numFmtId="0" fontId="41" fillId="0" borderId="8" xfId="0" applyFont="1" applyBorder="1"/>
    <xf numFmtId="0" fontId="41" fillId="0" borderId="10" xfId="0" applyFont="1" applyBorder="1"/>
    <xf numFmtId="0" fontId="24" fillId="0" borderId="35" xfId="0" applyFont="1" applyFill="1" applyBorder="1"/>
    <xf numFmtId="0" fontId="0" fillId="0" borderId="20" xfId="0" applyFill="1" applyBorder="1"/>
    <xf numFmtId="0" fontId="2" fillId="0" borderId="20" xfId="0" applyFont="1" applyFill="1" applyBorder="1"/>
    <xf numFmtId="164" fontId="1" fillId="3" borderId="0" xfId="1" applyNumberFormat="1" applyFont="1" applyFill="1" applyBorder="1"/>
    <xf numFmtId="9" fontId="1" fillId="3" borderId="0" xfId="2" applyFont="1" applyFill="1" applyBorder="1"/>
    <xf numFmtId="17" fontId="10" fillId="0" borderId="0" xfId="0" applyNumberFormat="1" applyFont="1" applyFill="1" applyBorder="1"/>
    <xf numFmtId="164" fontId="13" fillId="0" borderId="0" xfId="2" applyNumberFormat="1" applyFont="1" applyFill="1" applyBorder="1"/>
    <xf numFmtId="17" fontId="15" fillId="0" borderId="0" xfId="0" applyNumberFormat="1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2" borderId="9" xfId="0" applyFont="1" applyFill="1" applyBorder="1"/>
    <xf numFmtId="0" fontId="0" fillId="6" borderId="0" xfId="0" applyFill="1"/>
    <xf numFmtId="0" fontId="0" fillId="12" borderId="0" xfId="0" applyFill="1"/>
    <xf numFmtId="0" fontId="2" fillId="0" borderId="13" xfId="0" applyFont="1" applyFill="1" applyBorder="1"/>
    <xf numFmtId="43" fontId="0" fillId="0" borderId="0" xfId="1" applyFont="1"/>
    <xf numFmtId="43" fontId="0" fillId="0" borderId="0" xfId="1" applyNumberFormat="1" applyFont="1"/>
    <xf numFmtId="9" fontId="2" fillId="0" borderId="0" xfId="2" applyFont="1" applyFill="1" applyBorder="1"/>
    <xf numFmtId="0" fontId="44" fillId="0" borderId="0" xfId="0" applyFont="1" applyFill="1" applyBorder="1"/>
    <xf numFmtId="0" fontId="45" fillId="0" borderId="0" xfId="0" applyFont="1" applyFill="1" applyBorder="1"/>
    <xf numFmtId="0" fontId="10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64" fontId="41" fillId="0" borderId="0" xfId="1" applyNumberFormat="1" applyFont="1" applyFill="1" applyBorder="1"/>
    <xf numFmtId="12" fontId="0" fillId="0" borderId="0" xfId="0" applyNumberFormat="1" applyFill="1" applyBorder="1"/>
    <xf numFmtId="164" fontId="0" fillId="4" borderId="0" xfId="1" applyNumberFormat="1" applyFont="1" applyFill="1" applyBorder="1"/>
    <xf numFmtId="0" fontId="13" fillId="4" borderId="0" xfId="0" applyFont="1" applyFill="1" applyBorder="1"/>
    <xf numFmtId="164" fontId="2" fillId="4" borderId="0" xfId="1" applyNumberFormat="1" applyFont="1" applyFill="1" applyBorder="1"/>
    <xf numFmtId="0" fontId="43" fillId="0" borderId="0" xfId="0" applyFont="1"/>
    <xf numFmtId="0" fontId="5" fillId="0" borderId="23" xfId="0" applyFont="1" applyFill="1" applyBorder="1"/>
    <xf numFmtId="0" fontId="5" fillId="0" borderId="12" xfId="0" applyFont="1" applyFill="1" applyBorder="1"/>
    <xf numFmtId="14" fontId="0" fillId="0" borderId="12" xfId="0" applyNumberFormat="1" applyFill="1" applyBorder="1"/>
    <xf numFmtId="164" fontId="1" fillId="0" borderId="12" xfId="1" applyNumberFormat="1" applyFill="1" applyBorder="1"/>
    <xf numFmtId="164" fontId="2" fillId="0" borderId="12" xfId="1" applyNumberFormat="1" applyFont="1" applyFill="1" applyBorder="1" applyAlignment="1">
      <alignment wrapText="1"/>
    </xf>
    <xf numFmtId="164" fontId="2" fillId="0" borderId="30" xfId="1" applyNumberFormat="1" applyFont="1" applyFill="1" applyBorder="1" applyAlignment="1">
      <alignment wrapText="1"/>
    </xf>
    <xf numFmtId="0" fontId="5" fillId="0" borderId="37" xfId="0" applyFont="1" applyFill="1" applyBorder="1"/>
    <xf numFmtId="0" fontId="5" fillId="0" borderId="38" xfId="0" applyFont="1" applyFill="1" applyBorder="1"/>
    <xf numFmtId="14" fontId="0" fillId="0" borderId="38" xfId="0" applyNumberFormat="1" applyFill="1" applyBorder="1"/>
    <xf numFmtId="164" fontId="1" fillId="0" borderId="38" xfId="1" applyNumberFormat="1" applyFill="1" applyBorder="1"/>
    <xf numFmtId="164" fontId="5" fillId="0" borderId="38" xfId="1" applyNumberFormat="1" applyFont="1" applyFill="1" applyBorder="1"/>
    <xf numFmtId="164" fontId="2" fillId="0" borderId="39" xfId="1" applyNumberFormat="1" applyFont="1" applyFill="1" applyBorder="1" applyAlignment="1">
      <alignment wrapText="1"/>
    </xf>
    <xf numFmtId="0" fontId="5" fillId="0" borderId="26" xfId="0" applyFont="1" applyFill="1" applyBorder="1"/>
    <xf numFmtId="0" fontId="5" fillId="0" borderId="17" xfId="0" applyFont="1" applyFill="1" applyBorder="1"/>
    <xf numFmtId="164" fontId="1" fillId="0" borderId="17" xfId="1" applyNumberFormat="1" applyFill="1" applyBorder="1"/>
    <xf numFmtId="164" fontId="5" fillId="0" borderId="17" xfId="1" applyNumberFormat="1" applyFont="1" applyFill="1" applyBorder="1"/>
    <xf numFmtId="164" fontId="2" fillId="0" borderId="27" xfId="1" applyNumberFormat="1" applyFont="1" applyFill="1" applyBorder="1" applyAlignment="1">
      <alignment wrapText="1"/>
    </xf>
    <xf numFmtId="0" fontId="36" fillId="0" borderId="0" xfId="0" applyFont="1" applyFill="1" applyBorder="1" applyAlignment="1">
      <alignment wrapText="1"/>
    </xf>
    <xf numFmtId="17" fontId="2" fillId="0" borderId="0" xfId="0" applyNumberFormat="1" applyFont="1" applyFill="1" applyBorder="1"/>
    <xf numFmtId="17" fontId="37" fillId="0" borderId="0" xfId="0" applyNumberFormat="1" applyFont="1" applyFill="1" applyBorder="1"/>
    <xf numFmtId="0" fontId="2" fillId="0" borderId="13" xfId="0" applyFon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" fontId="6" fillId="4" borderId="0" xfId="0" applyNumberFormat="1" applyFont="1" applyFill="1" applyBorder="1"/>
    <xf numFmtId="0" fontId="31" fillId="0" borderId="0" xfId="0" applyFont="1" applyFill="1" applyBorder="1"/>
    <xf numFmtId="164" fontId="13" fillId="4" borderId="0" xfId="1" applyNumberFormat="1" applyFont="1" applyFill="1" applyBorder="1"/>
    <xf numFmtId="164" fontId="13" fillId="4" borderId="0" xfId="2" applyNumberFormat="1" applyFont="1" applyFill="1" applyBorder="1"/>
    <xf numFmtId="9" fontId="1" fillId="4" borderId="0" xfId="2" applyFont="1" applyFill="1" applyBorder="1"/>
    <xf numFmtId="164" fontId="1" fillId="4" borderId="0" xfId="1" applyNumberFormat="1" applyFont="1" applyFill="1" applyBorder="1"/>
    <xf numFmtId="0" fontId="46" fillId="0" borderId="0" xfId="0" applyFont="1" applyFill="1" applyBorder="1"/>
    <xf numFmtId="0" fontId="11" fillId="6" borderId="0" xfId="0" applyFont="1" applyFill="1" applyBorder="1" applyAlignment="1">
      <alignment wrapText="1"/>
    </xf>
    <xf numFmtId="164" fontId="11" fillId="4" borderId="0" xfId="0" applyNumberFormat="1" applyFont="1" applyFill="1" applyBorder="1"/>
    <xf numFmtId="9" fontId="11" fillId="4" borderId="0" xfId="2" applyFont="1" applyFill="1" applyBorder="1"/>
    <xf numFmtId="3" fontId="5" fillId="0" borderId="0" xfId="0" applyNumberFormat="1" applyFont="1" applyFill="1" applyBorder="1" applyAlignment="1">
      <alignment horizontal="left"/>
    </xf>
    <xf numFmtId="164" fontId="19" fillId="0" borderId="0" xfId="0" applyNumberFormat="1" applyFont="1" applyBorder="1"/>
    <xf numFmtId="0" fontId="30" fillId="0" borderId="0" xfId="0" applyFont="1" applyFill="1" applyBorder="1" applyAlignment="1">
      <alignment horizontal="center"/>
    </xf>
    <xf numFmtId="9" fontId="6" fillId="4" borderId="0" xfId="0" applyNumberFormat="1" applyFont="1" applyFill="1" applyBorder="1"/>
    <xf numFmtId="0" fontId="38" fillId="4" borderId="0" xfId="0" applyFont="1" applyFill="1" applyBorder="1"/>
    <xf numFmtId="164" fontId="13" fillId="4" borderId="0" xfId="0" applyNumberFormat="1" applyFont="1" applyFill="1" applyBorder="1"/>
    <xf numFmtId="9" fontId="13" fillId="4" borderId="0" xfId="2" applyFont="1" applyFill="1" applyBorder="1"/>
    <xf numFmtId="164" fontId="15" fillId="4" borderId="0" xfId="1" applyNumberFormat="1" applyFont="1" applyFill="1" applyBorder="1"/>
    <xf numFmtId="0" fontId="33" fillId="4" borderId="0" xfId="0" applyFont="1" applyFill="1" applyBorder="1"/>
    <xf numFmtId="164" fontId="0" fillId="4" borderId="0" xfId="0" applyNumberFormat="1" applyFill="1" applyBorder="1"/>
    <xf numFmtId="0" fontId="2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5" fillId="0" borderId="8" xfId="0" applyFont="1" applyFill="1" applyBorder="1"/>
    <xf numFmtId="15" fontId="44" fillId="0" borderId="0" xfId="0" applyNumberFormat="1" applyFont="1" applyFill="1" applyBorder="1"/>
    <xf numFmtId="0" fontId="5" fillId="4" borderId="0" xfId="0" applyFont="1" applyFill="1"/>
    <xf numFmtId="16" fontId="11" fillId="4" borderId="0" xfId="0" applyNumberFormat="1" applyFont="1" applyFill="1" applyBorder="1"/>
    <xf numFmtId="0" fontId="47" fillId="0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right"/>
    </xf>
    <xf numFmtId="0" fontId="6" fillId="4" borderId="0" xfId="0" applyFont="1" applyFill="1" applyBorder="1" applyAlignment="1">
      <alignment horizontal="right"/>
    </xf>
    <xf numFmtId="0" fontId="44" fillId="4" borderId="0" xfId="0" applyFont="1" applyFill="1" applyBorder="1"/>
    <xf numFmtId="43" fontId="6" fillId="4" borderId="0" xfId="1" applyNumberFormat="1" applyFont="1" applyFill="1" applyBorder="1"/>
    <xf numFmtId="16" fontId="5" fillId="4" borderId="0" xfId="0" applyNumberFormat="1" applyFont="1" applyFill="1" applyBorder="1"/>
    <xf numFmtId="0" fontId="37" fillId="4" borderId="0" xfId="0" applyFont="1" applyFill="1" applyBorder="1"/>
    <xf numFmtId="0" fontId="5" fillId="3" borderId="0" xfId="0" applyFont="1" applyFill="1" applyBorder="1" applyAlignment="1">
      <alignment horizontal="left"/>
    </xf>
    <xf numFmtId="9" fontId="6" fillId="3" borderId="0" xfId="2" applyFont="1" applyFill="1" applyBorder="1"/>
    <xf numFmtId="0" fontId="6" fillId="3" borderId="0" xfId="0" applyFont="1" applyFill="1" applyBorder="1" applyAlignment="1">
      <alignment horizontal="left"/>
    </xf>
    <xf numFmtId="0" fontId="0" fillId="3" borderId="0" xfId="0" applyFont="1" applyFill="1" applyBorder="1"/>
    <xf numFmtId="164" fontId="13" fillId="3" borderId="0" xfId="1" applyNumberFormat="1" applyFont="1" applyFill="1" applyBorder="1"/>
    <xf numFmtId="164" fontId="13" fillId="3" borderId="0" xfId="2" applyNumberFormat="1" applyFont="1" applyFill="1" applyBorder="1"/>
    <xf numFmtId="0" fontId="2" fillId="3" borderId="0" xfId="0" applyFont="1" applyFill="1" applyBorder="1" applyAlignment="1">
      <alignment horizontal="left"/>
    </xf>
    <xf numFmtId="164" fontId="2" fillId="3" borderId="0" xfId="1" applyNumberFormat="1" applyFont="1" applyFill="1" applyBorder="1"/>
    <xf numFmtId="0" fontId="11" fillId="3" borderId="0" xfId="0" applyFont="1" applyFill="1" applyBorder="1"/>
    <xf numFmtId="164" fontId="11" fillId="3" borderId="0" xfId="1" applyNumberFormat="1" applyFont="1" applyFill="1" applyBorder="1"/>
    <xf numFmtId="164" fontId="11" fillId="3" borderId="0" xfId="0" applyNumberFormat="1" applyFont="1" applyFill="1" applyBorder="1"/>
    <xf numFmtId="9" fontId="11" fillId="3" borderId="0" xfId="2" applyFont="1" applyFill="1" applyBorder="1"/>
    <xf numFmtId="164" fontId="10" fillId="3" borderId="0" xfId="1" applyNumberFormat="1" applyFont="1" applyFill="1" applyBorder="1"/>
    <xf numFmtId="0" fontId="13" fillId="3" borderId="0" xfId="0" applyFont="1" applyFill="1" applyBorder="1"/>
    <xf numFmtId="164" fontId="13" fillId="3" borderId="0" xfId="0" applyNumberFormat="1" applyFont="1" applyFill="1" applyBorder="1"/>
    <xf numFmtId="9" fontId="13" fillId="3" borderId="0" xfId="2" applyFont="1" applyFill="1" applyBorder="1"/>
    <xf numFmtId="164" fontId="15" fillId="3" borderId="0" xfId="1" applyNumberFormat="1" applyFont="1" applyFill="1" applyBorder="1"/>
    <xf numFmtId="0" fontId="0" fillId="3" borderId="0" xfId="0" applyFill="1" applyBorder="1" applyAlignment="1">
      <alignment horizontal="left"/>
    </xf>
    <xf numFmtId="3" fontId="5" fillId="3" borderId="0" xfId="0" applyNumberFormat="1" applyFont="1" applyFill="1" applyBorder="1"/>
    <xf numFmtId="9" fontId="6" fillId="6" borderId="0" xfId="0" applyNumberFormat="1" applyFont="1" applyFill="1" applyBorder="1"/>
    <xf numFmtId="0" fontId="0" fillId="6" borderId="0" xfId="0" applyFill="1" applyBorder="1" applyAlignment="1">
      <alignment horizontal="left"/>
    </xf>
    <xf numFmtId="164" fontId="1" fillId="6" borderId="0" xfId="1" applyNumberFormat="1" applyFont="1" applyFill="1" applyBorder="1"/>
    <xf numFmtId="164" fontId="0" fillId="6" borderId="0" xfId="1" applyNumberFormat="1" applyFont="1" applyFill="1" applyBorder="1"/>
    <xf numFmtId="9" fontId="1" fillId="6" borderId="0" xfId="2" applyFont="1" applyFill="1" applyBorder="1"/>
    <xf numFmtId="0" fontId="6" fillId="6" borderId="0" xfId="0" applyFont="1" applyFill="1" applyBorder="1" applyAlignment="1">
      <alignment horizontal="left"/>
    </xf>
    <xf numFmtId="3" fontId="0" fillId="0" borderId="4" xfId="0" applyNumberFormat="1" applyBorder="1"/>
    <xf numFmtId="164" fontId="0" fillId="0" borderId="4" xfId="0" applyNumberFormat="1" applyBorder="1"/>
    <xf numFmtId="164" fontId="0" fillId="0" borderId="36" xfId="1" applyNumberFormat="1" applyFont="1" applyBorder="1"/>
    <xf numFmtId="0" fontId="2" fillId="0" borderId="42" xfId="0" applyFont="1" applyBorder="1"/>
    <xf numFmtId="0" fontId="2" fillId="0" borderId="45" xfId="0" applyFont="1" applyBorder="1"/>
    <xf numFmtId="0" fontId="2" fillId="0" borderId="46" xfId="0" applyFont="1" applyBorder="1"/>
    <xf numFmtId="164" fontId="0" fillId="0" borderId="47" xfId="1" applyNumberFormat="1" applyFont="1" applyBorder="1"/>
    <xf numFmtId="164" fontId="0" fillId="0" borderId="48" xfId="1" applyNumberFormat="1" applyFont="1" applyBorder="1"/>
    <xf numFmtId="164" fontId="0" fillId="0" borderId="49" xfId="1" applyNumberFormat="1" applyFont="1" applyBorder="1"/>
    <xf numFmtId="0" fontId="0" fillId="0" borderId="48" xfId="0" applyBorder="1"/>
    <xf numFmtId="3" fontId="0" fillId="0" borderId="49" xfId="0" applyNumberFormat="1" applyBorder="1"/>
    <xf numFmtId="0" fontId="31" fillId="0" borderId="0" xfId="0" applyFont="1" applyFill="1"/>
    <xf numFmtId="0" fontId="48" fillId="0" borderId="0" xfId="0" applyFont="1" applyFill="1" applyBorder="1" applyAlignment="1">
      <alignment horizontal="center"/>
    </xf>
    <xf numFmtId="9" fontId="5" fillId="0" borderId="0" xfId="0" applyNumberFormat="1" applyFont="1" applyFill="1" applyBorder="1"/>
    <xf numFmtId="166" fontId="11" fillId="0" borderId="0" xfId="0" applyNumberFormat="1" applyFont="1" applyFill="1" applyBorder="1" applyAlignment="1">
      <alignment wrapText="1"/>
    </xf>
    <xf numFmtId="43" fontId="5" fillId="0" borderId="0" xfId="1" applyNumberFormat="1" applyFont="1" applyFill="1" applyBorder="1"/>
    <xf numFmtId="0" fontId="10" fillId="0" borderId="32" xfId="0" applyFont="1" applyFill="1" applyBorder="1" applyAlignment="1">
      <alignment wrapText="1"/>
    </xf>
    <xf numFmtId="0" fontId="10" fillId="0" borderId="0" xfId="0" applyFont="1" applyFill="1" applyBorder="1" applyAlignment="1">
      <alignment horizontal="right" vertical="justify" wrapText="1"/>
    </xf>
    <xf numFmtId="0" fontId="10" fillId="0" borderId="36" xfId="0" applyFont="1" applyBorder="1" applyAlignment="1">
      <alignment wrapText="1"/>
    </xf>
    <xf numFmtId="0" fontId="11" fillId="0" borderId="8" xfId="0" applyFont="1" applyBorder="1"/>
    <xf numFmtId="0" fontId="11" fillId="0" borderId="10" xfId="0" applyFont="1" applyBorder="1"/>
    <xf numFmtId="16" fontId="0" fillId="2" borderId="0" xfId="0" applyNumberFormat="1" applyFill="1"/>
    <xf numFmtId="0" fontId="24" fillId="2" borderId="35" xfId="0" applyFont="1" applyFill="1" applyBorder="1"/>
    <xf numFmtId="0" fontId="2" fillId="2" borderId="0" xfId="0" applyFont="1" applyFill="1" applyBorder="1"/>
    <xf numFmtId="0" fontId="2" fillId="2" borderId="20" xfId="0" applyFont="1" applyFill="1" applyBorder="1"/>
    <xf numFmtId="164" fontId="10" fillId="4" borderId="0" xfId="1" applyNumberFormat="1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164" fontId="20" fillId="4" borderId="0" xfId="1" applyNumberFormat="1" applyFont="1" applyFill="1" applyBorder="1"/>
    <xf numFmtId="43" fontId="5" fillId="4" borderId="0" xfId="1" applyNumberFormat="1" applyFont="1" applyFill="1" applyBorder="1"/>
    <xf numFmtId="164" fontId="11" fillId="4" borderId="0" xfId="1" applyNumberFormat="1" applyFont="1" applyFill="1" applyBorder="1" applyAlignment="1">
      <alignment wrapText="1"/>
    </xf>
    <xf numFmtId="43" fontId="6" fillId="4" borderId="0" xfId="0" applyNumberFormat="1" applyFont="1" applyFill="1" applyBorder="1"/>
    <xf numFmtId="164" fontId="6" fillId="4" borderId="0" xfId="1" applyNumberFormat="1" applyFont="1" applyFill="1"/>
    <xf numFmtId="0" fontId="11" fillId="2" borderId="13" xfId="0" applyFont="1" applyFill="1" applyBorder="1"/>
    <xf numFmtId="0" fontId="15" fillId="4" borderId="0" xfId="0" applyFont="1" applyFill="1" applyBorder="1"/>
    <xf numFmtId="3" fontId="5" fillId="2" borderId="13" xfId="0" applyNumberFormat="1" applyFont="1" applyFill="1" applyBorder="1"/>
    <xf numFmtId="166" fontId="6" fillId="3" borderId="0" xfId="0" applyNumberFormat="1" applyFont="1" applyFill="1" applyBorder="1"/>
    <xf numFmtId="0" fontId="0" fillId="3" borderId="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/>
    <xf numFmtId="3" fontId="19" fillId="0" borderId="0" xfId="0" applyNumberFormat="1" applyFont="1" applyFill="1" applyBorder="1"/>
    <xf numFmtId="164" fontId="19" fillId="0" borderId="0" xfId="1" applyNumberFormat="1" applyFont="1" applyFill="1" applyBorder="1"/>
    <xf numFmtId="0" fontId="5" fillId="0" borderId="13" xfId="0" applyFont="1" applyFill="1" applyBorder="1"/>
    <xf numFmtId="0" fontId="11" fillId="0" borderId="8" xfId="0" applyFont="1" applyFill="1" applyBorder="1" applyAlignment="1"/>
    <xf numFmtId="0" fontId="5" fillId="0" borderId="10" xfId="0" applyFont="1" applyFill="1" applyBorder="1"/>
    <xf numFmtId="164" fontId="5" fillId="0" borderId="19" xfId="1" applyNumberFormat="1" applyFont="1" applyFill="1" applyBorder="1"/>
    <xf numFmtId="164" fontId="5" fillId="0" borderId="20" xfId="1" applyNumberFormat="1" applyFont="1" applyFill="1" applyBorder="1"/>
    <xf numFmtId="164" fontId="5" fillId="0" borderId="21" xfId="1" applyNumberFormat="1" applyFont="1" applyFill="1" applyBorder="1"/>
    <xf numFmtId="3" fontId="6" fillId="3" borderId="0" xfId="0" applyNumberFormat="1" applyFont="1" applyFill="1" applyBorder="1" applyAlignment="1">
      <alignment horizontal="left"/>
    </xf>
    <xf numFmtId="3" fontId="32" fillId="0" borderId="0" xfId="0" applyNumberFormat="1" applyFont="1" applyFill="1" applyBorder="1" applyAlignment="1">
      <alignment horizontal="left"/>
    </xf>
    <xf numFmtId="164" fontId="20" fillId="3" borderId="0" xfId="1" applyNumberFormat="1" applyFont="1" applyFill="1" applyBorder="1"/>
    <xf numFmtId="164" fontId="11" fillId="0" borderId="8" xfId="0" applyNumberFormat="1" applyFont="1" applyFill="1" applyBorder="1" applyAlignment="1"/>
    <xf numFmtId="0" fontId="2" fillId="4" borderId="0" xfId="0" applyFont="1" applyFill="1"/>
    <xf numFmtId="0" fontId="2" fillId="0" borderId="21" xfId="0" applyFont="1" applyBorder="1"/>
    <xf numFmtId="0" fontId="2" fillId="0" borderId="50" xfId="0" applyFont="1" applyBorder="1"/>
    <xf numFmtId="0" fontId="2" fillId="0" borderId="15" xfId="0" applyFont="1" applyBorder="1"/>
    <xf numFmtId="0" fontId="2" fillId="0" borderId="51" xfId="0" applyFont="1" applyBorder="1"/>
    <xf numFmtId="164" fontId="2" fillId="0" borderId="51" xfId="1" applyNumberFormat="1" applyFont="1" applyBorder="1"/>
    <xf numFmtId="0" fontId="2" fillId="0" borderId="6" xfId="0" applyFont="1" applyBorder="1"/>
    <xf numFmtId="0" fontId="0" fillId="2" borderId="12" xfId="0" applyFill="1" applyBorder="1"/>
    <xf numFmtId="0" fontId="0" fillId="4" borderId="12" xfId="0" applyFill="1" applyBorder="1"/>
    <xf numFmtId="164" fontId="0" fillId="5" borderId="12" xfId="1" applyNumberFormat="1" applyFont="1" applyFill="1" applyBorder="1"/>
    <xf numFmtId="16" fontId="10" fillId="2" borderId="0" xfId="0" applyNumberFormat="1" applyFont="1" applyFill="1"/>
    <xf numFmtId="0" fontId="10" fillId="2" borderId="0" xfId="0" applyFont="1" applyFill="1" applyBorder="1"/>
    <xf numFmtId="0" fontId="10" fillId="2" borderId="13" xfId="0" applyFont="1" applyFill="1" applyBorder="1"/>
    <xf numFmtId="0" fontId="5" fillId="2" borderId="13" xfId="0" applyFont="1" applyFill="1" applyBorder="1"/>
    <xf numFmtId="0" fontId="2" fillId="2" borderId="8" xfId="0" applyFont="1" applyFill="1" applyBorder="1"/>
    <xf numFmtId="3" fontId="49" fillId="0" borderId="0" xfId="0" applyNumberFormat="1" applyFont="1" applyFill="1" applyBorder="1" applyAlignment="1">
      <alignment horizontal="left"/>
    </xf>
    <xf numFmtId="0" fontId="50" fillId="0" borderId="0" xfId="0" applyFont="1" applyFill="1" applyBorder="1"/>
    <xf numFmtId="3" fontId="11" fillId="6" borderId="0" xfId="0" applyNumberFormat="1" applyFont="1" applyFill="1" applyBorder="1"/>
    <xf numFmtId="0" fontId="32" fillId="6" borderId="0" xfId="0" applyFont="1" applyFill="1" applyBorder="1"/>
    <xf numFmtId="3" fontId="5" fillId="3" borderId="0" xfId="0" applyNumberFormat="1" applyFont="1" applyFill="1" applyBorder="1" applyAlignment="1">
      <alignment horizontal="left"/>
    </xf>
    <xf numFmtId="0" fontId="15" fillId="3" borderId="0" xfId="0" applyFont="1" applyFill="1" applyBorder="1"/>
    <xf numFmtId="3" fontId="11" fillId="3" borderId="0" xfId="0" applyNumberFormat="1" applyFont="1" applyFill="1" applyBorder="1"/>
    <xf numFmtId="0" fontId="11" fillId="2" borderId="8" xfId="0" applyFont="1" applyFill="1" applyBorder="1"/>
    <xf numFmtId="0" fontId="11" fillId="2" borderId="10" xfId="0" applyFont="1" applyFill="1" applyBorder="1"/>
    <xf numFmtId="0" fontId="11" fillId="4" borderId="0" xfId="0" applyFont="1" applyFill="1" applyBorder="1" applyAlignment="1"/>
    <xf numFmtId="16" fontId="32" fillId="2" borderId="0" xfId="0" applyNumberFormat="1" applyFont="1" applyFill="1"/>
    <xf numFmtId="0" fontId="42" fillId="2" borderId="0" xfId="0" applyFont="1" applyFill="1"/>
    <xf numFmtId="0" fontId="42" fillId="2" borderId="0" xfId="0" applyFont="1" applyFill="1" applyBorder="1"/>
    <xf numFmtId="0" fontId="32" fillId="2" borderId="0" xfId="0" applyFont="1" applyFill="1" applyBorder="1"/>
    <xf numFmtId="0" fontId="11" fillId="2" borderId="0" xfId="0" applyFont="1" applyFill="1" applyAlignment="1"/>
    <xf numFmtId="3" fontId="6" fillId="6" borderId="0" xfId="0" applyNumberFormat="1" applyFont="1" applyFill="1" applyBorder="1" applyAlignment="1">
      <alignment horizontal="left"/>
    </xf>
    <xf numFmtId="0" fontId="0" fillId="6" borderId="0" xfId="0" applyFont="1" applyFill="1" applyBorder="1" applyAlignment="1">
      <alignment horizontal="left"/>
    </xf>
    <xf numFmtId="164" fontId="41" fillId="6" borderId="0" xfId="1" applyNumberFormat="1" applyFont="1" applyFill="1" applyBorder="1"/>
    <xf numFmtId="164" fontId="0" fillId="6" borderId="0" xfId="0" applyNumberFormat="1" applyFill="1" applyBorder="1"/>
    <xf numFmtId="164" fontId="13" fillId="6" borderId="0" xfId="1" applyNumberFormat="1" applyFont="1" applyFill="1" applyBorder="1"/>
    <xf numFmtId="164" fontId="13" fillId="6" borderId="0" xfId="2" applyNumberFormat="1" applyFont="1" applyFill="1" applyBorder="1"/>
    <xf numFmtId="0" fontId="0" fillId="6" borderId="0" xfId="0" applyFill="1" applyBorder="1"/>
    <xf numFmtId="0" fontId="6" fillId="0" borderId="8" xfId="0" applyFont="1" applyFill="1" applyBorder="1"/>
    <xf numFmtId="0" fontId="6" fillId="0" borderId="9" xfId="0" applyFont="1" applyFill="1" applyBorder="1" applyAlignment="1"/>
    <xf numFmtId="3" fontId="5" fillId="3" borderId="0" xfId="0" applyNumberFormat="1" applyFont="1" applyFill="1"/>
    <xf numFmtId="0" fontId="6" fillId="3" borderId="0" xfId="0" applyFont="1" applyFill="1" applyAlignment="1">
      <alignment horizontal="left"/>
    </xf>
    <xf numFmtId="164" fontId="5" fillId="6" borderId="0" xfId="1" applyNumberFormat="1" applyFont="1" applyFill="1" applyBorder="1"/>
    <xf numFmtId="0" fontId="6" fillId="3" borderId="0" xfId="0" applyFont="1" applyFill="1"/>
    <xf numFmtId="0" fontId="2" fillId="0" borderId="8" xfId="0" applyFont="1" applyBorder="1" applyAlignment="1">
      <alignment horizontal="left"/>
    </xf>
    <xf numFmtId="164" fontId="2" fillId="0" borderId="12" xfId="1" applyNumberFormat="1" applyFont="1" applyBorder="1"/>
    <xf numFmtId="164" fontId="2" fillId="0" borderId="30" xfId="1" applyNumberFormat="1" applyFont="1" applyBorder="1"/>
    <xf numFmtId="0" fontId="6" fillId="4" borderId="0" xfId="0" applyFont="1" applyFill="1" applyAlignment="1"/>
    <xf numFmtId="17" fontId="33" fillId="0" borderId="0" xfId="0" applyNumberFormat="1" applyFont="1" applyFill="1" applyBorder="1"/>
    <xf numFmtId="0" fontId="0" fillId="4" borderId="0" xfId="0" applyFill="1" applyBorder="1" applyAlignment="1">
      <alignment horizontal="right"/>
    </xf>
    <xf numFmtId="43" fontId="2" fillId="0" borderId="0" xfId="1" applyFont="1" applyFill="1" applyBorder="1"/>
    <xf numFmtId="43" fontId="0" fillId="0" borderId="0" xfId="1" applyFont="1" applyFill="1" applyBorder="1"/>
    <xf numFmtId="43" fontId="1" fillId="0" borderId="0" xfId="1" applyFont="1" applyFill="1" applyBorder="1"/>
    <xf numFmtId="43" fontId="0" fillId="0" borderId="0" xfId="1" applyNumberFormat="1" applyFont="1" applyFill="1" applyBorder="1"/>
    <xf numFmtId="0" fontId="6" fillId="6" borderId="0" xfId="0" applyFont="1" applyFill="1" applyAlignment="1">
      <alignment horizontal="left"/>
    </xf>
    <xf numFmtId="17" fontId="36" fillId="0" borderId="0" xfId="0" applyNumberFormat="1" applyFont="1" applyFill="1" applyBorder="1" applyAlignment="1">
      <alignment wrapText="1"/>
    </xf>
    <xf numFmtId="17" fontId="38" fillId="0" borderId="0" xfId="0" applyNumberFormat="1" applyFont="1" applyFill="1" applyBorder="1" applyAlignment="1">
      <alignment wrapText="1"/>
    </xf>
    <xf numFmtId="0" fontId="51" fillId="0" borderId="0" xfId="0" applyFont="1" applyFill="1" applyBorder="1" applyAlignment="1">
      <alignment horizontal="right" vertical="justify" wrapText="1"/>
    </xf>
    <xf numFmtId="0" fontId="11" fillId="0" borderId="0" xfId="0" applyFont="1" applyFill="1" applyBorder="1" applyAlignment="1">
      <alignment horizontal="left" wrapText="1"/>
    </xf>
    <xf numFmtId="43" fontId="11" fillId="0" borderId="0" xfId="1" applyFont="1" applyBorder="1" applyAlignment="1">
      <alignment wrapText="1"/>
    </xf>
    <xf numFmtId="10" fontId="11" fillId="0" borderId="0" xfId="0" applyNumberFormat="1" applyFont="1" applyBorder="1" applyAlignment="1">
      <alignment wrapText="1"/>
    </xf>
    <xf numFmtId="166" fontId="13" fillId="0" borderId="0" xfId="0" applyNumberFormat="1" applyFont="1" applyBorder="1" applyAlignment="1">
      <alignment wrapText="1"/>
    </xf>
    <xf numFmtId="0" fontId="5" fillId="3" borderId="0" xfId="0" applyFont="1" applyFill="1" applyAlignment="1">
      <alignment horizontal="left"/>
    </xf>
    <xf numFmtId="0" fontId="11" fillId="3" borderId="0" xfId="0" applyFont="1" applyFill="1" applyBorder="1" applyAlignment="1">
      <alignment wrapText="1"/>
    </xf>
    <xf numFmtId="167" fontId="10" fillId="0" borderId="0" xfId="0" applyNumberFormat="1" applyFont="1" applyBorder="1" applyAlignment="1">
      <alignment wrapText="1"/>
    </xf>
    <xf numFmtId="167" fontId="11" fillId="0" borderId="0" xfId="0" applyNumberFormat="1" applyFont="1" applyBorder="1" applyAlignment="1">
      <alignment wrapText="1"/>
    </xf>
    <xf numFmtId="167" fontId="6" fillId="0" borderId="0" xfId="0" applyNumberFormat="1" applyFont="1" applyFill="1" applyBorder="1"/>
    <xf numFmtId="167" fontId="6" fillId="0" borderId="0" xfId="0" applyNumberFormat="1" applyFont="1" applyBorder="1"/>
    <xf numFmtId="167" fontId="13" fillId="0" borderId="0" xfId="0" applyNumberFormat="1" applyFont="1" applyFill="1" applyBorder="1"/>
    <xf numFmtId="167" fontId="0" fillId="0" borderId="0" xfId="0" applyNumberFormat="1" applyFill="1" applyBorder="1"/>
    <xf numFmtId="167" fontId="5" fillId="0" borderId="0" xfId="0" applyNumberFormat="1" applyFont="1" applyBorder="1"/>
    <xf numFmtId="167" fontId="11" fillId="0" borderId="0" xfId="0" applyNumberFormat="1" applyFont="1" applyFill="1" applyBorder="1"/>
    <xf numFmtId="167" fontId="2" fillId="0" borderId="0" xfId="0" applyNumberFormat="1" applyFont="1" applyFill="1" applyBorder="1"/>
    <xf numFmtId="167" fontId="6" fillId="0" borderId="0" xfId="0" applyNumberFormat="1" applyFont="1" applyFill="1"/>
    <xf numFmtId="167" fontId="6" fillId="4" borderId="0" xfId="0" applyNumberFormat="1" applyFont="1" applyFill="1" applyBorder="1"/>
    <xf numFmtId="167" fontId="13" fillId="4" borderId="0" xfId="0" applyNumberFormat="1" applyFont="1" applyFill="1" applyBorder="1"/>
    <xf numFmtId="167" fontId="0" fillId="4" borderId="0" xfId="0" applyNumberFormat="1" applyFill="1" applyBorder="1"/>
    <xf numFmtId="167" fontId="10" fillId="0" borderId="0" xfId="1" applyNumberFormat="1" applyFont="1" applyBorder="1" applyAlignment="1">
      <alignment wrapText="1"/>
    </xf>
    <xf numFmtId="167" fontId="11" fillId="0" borderId="0" xfId="1" applyNumberFormat="1" applyFont="1" applyBorder="1" applyAlignment="1">
      <alignment wrapText="1"/>
    </xf>
    <xf numFmtId="167" fontId="11" fillId="4" borderId="0" xfId="0" applyNumberFormat="1" applyFont="1" applyFill="1" applyBorder="1"/>
    <xf numFmtId="167" fontId="10" fillId="0" borderId="0" xfId="0" applyNumberFormat="1" applyFont="1" applyBorder="1"/>
    <xf numFmtId="167" fontId="11" fillId="0" borderId="0" xfId="0" applyNumberFormat="1" applyFont="1" applyBorder="1"/>
    <xf numFmtId="167" fontId="15" fillId="0" borderId="0" xfId="0" applyNumberFormat="1" applyFont="1" applyFill="1" applyBorder="1"/>
    <xf numFmtId="167" fontId="5" fillId="0" borderId="0" xfId="0" applyNumberFormat="1" applyFont="1" applyFill="1" applyBorder="1"/>
    <xf numFmtId="167" fontId="11" fillId="0" borderId="0" xfId="1" applyNumberFormat="1" applyFont="1" applyFill="1" applyBorder="1" applyAlignment="1">
      <alignment wrapText="1"/>
    </xf>
    <xf numFmtId="167" fontId="2" fillId="0" borderId="0" xfId="1" applyNumberFormat="1" applyFont="1" applyFill="1" applyBorder="1"/>
    <xf numFmtId="167" fontId="5" fillId="0" borderId="0" xfId="1" applyNumberFormat="1" applyFont="1" applyFill="1" applyBorder="1"/>
    <xf numFmtId="167" fontId="5" fillId="0" borderId="0" xfId="1" applyNumberFormat="1" applyFont="1" applyBorder="1"/>
    <xf numFmtId="167" fontId="5" fillId="4" borderId="0" xfId="0" applyNumberFormat="1" applyFont="1" applyFill="1" applyBorder="1"/>
    <xf numFmtId="167" fontId="10" fillId="0" borderId="0" xfId="1" applyNumberFormat="1" applyFont="1" applyBorder="1"/>
    <xf numFmtId="167" fontId="6" fillId="0" borderId="0" xfId="0" applyNumberFormat="1" applyFont="1"/>
    <xf numFmtId="164" fontId="13" fillId="0" borderId="0" xfId="1" applyNumberFormat="1" applyFont="1" applyBorder="1" applyAlignment="1">
      <alignment wrapText="1"/>
    </xf>
    <xf numFmtId="167" fontId="13" fillId="0" borderId="0" xfId="1" applyNumberFormat="1" applyFont="1" applyBorder="1" applyAlignment="1">
      <alignment wrapText="1"/>
    </xf>
    <xf numFmtId="43" fontId="0" fillId="6" borderId="0" xfId="1" applyNumberFormat="1" applyFont="1" applyFill="1" applyBorder="1"/>
    <xf numFmtId="9" fontId="0" fillId="6" borderId="0" xfId="2" applyFont="1" applyFill="1" applyBorder="1"/>
    <xf numFmtId="0" fontId="2" fillId="3" borderId="0" xfId="0" applyFont="1" applyFill="1" applyBorder="1"/>
    <xf numFmtId="43" fontId="0" fillId="3" borderId="0" xfId="1" applyNumberFormat="1" applyFont="1" applyFill="1" applyBorder="1"/>
    <xf numFmtId="9" fontId="0" fillId="3" borderId="0" xfId="2" applyFont="1" applyFill="1" applyBorder="1"/>
    <xf numFmtId="164" fontId="11" fillId="6" borderId="0" xfId="0" applyNumberFormat="1" applyFont="1" applyFill="1" applyBorder="1"/>
    <xf numFmtId="164" fontId="10" fillId="6" borderId="0" xfId="1" applyNumberFormat="1" applyFont="1" applyFill="1" applyBorder="1"/>
    <xf numFmtId="10" fontId="10" fillId="0" borderId="9" xfId="0" applyNumberFormat="1" applyFont="1" applyBorder="1" applyAlignment="1">
      <alignment wrapText="1"/>
    </xf>
    <xf numFmtId="164" fontId="10" fillId="0" borderId="10" xfId="1" applyNumberFormat="1" applyFont="1" applyBorder="1" applyAlignment="1">
      <alignment wrapText="1"/>
    </xf>
    <xf numFmtId="166" fontId="6" fillId="5" borderId="0" xfId="0" applyNumberFormat="1" applyFont="1" applyFill="1"/>
    <xf numFmtId="3" fontId="5" fillId="5" borderId="0" xfId="0" applyNumberFormat="1" applyFont="1" applyFill="1"/>
    <xf numFmtId="3" fontId="11" fillId="5" borderId="0" xfId="0" applyNumberFormat="1" applyFont="1" applyFill="1"/>
    <xf numFmtId="0" fontId="30" fillId="5" borderId="0" xfId="0" applyFont="1" applyFill="1" applyAlignment="1">
      <alignment horizontal="center"/>
    </xf>
    <xf numFmtId="164" fontId="6" fillId="5" borderId="0" xfId="1" applyNumberFormat="1" applyFont="1" applyFill="1"/>
    <xf numFmtId="0" fontId="6" fillId="5" borderId="0" xfId="0" applyFont="1" applyFill="1"/>
    <xf numFmtId="1" fontId="6" fillId="5" borderId="0" xfId="0" applyNumberFormat="1" applyFont="1" applyFill="1"/>
    <xf numFmtId="0" fontId="5" fillId="5" borderId="0" xfId="0" applyFont="1" applyFill="1"/>
    <xf numFmtId="0" fontId="14" fillId="0" borderId="0" xfId="0" applyFont="1" applyAlignment="1">
      <alignment horizontal="center"/>
    </xf>
    <xf numFmtId="0" fontId="6" fillId="4" borderId="0" xfId="0" applyFont="1" applyFill="1" applyAlignment="1">
      <alignment horizontal="left"/>
    </xf>
    <xf numFmtId="164" fontId="10" fillId="0" borderId="8" xfId="1" applyNumberFormat="1" applyFont="1" applyBorder="1" applyAlignment="1">
      <alignment wrapText="1"/>
    </xf>
    <xf numFmtId="164" fontId="2" fillId="6" borderId="0" xfId="1" applyNumberFormat="1" applyFont="1" applyFill="1" applyBorder="1"/>
    <xf numFmtId="0" fontId="32" fillId="0" borderId="0" xfId="0" applyFont="1" applyFill="1" applyAlignment="1">
      <alignment horizontal="left"/>
    </xf>
    <xf numFmtId="164" fontId="0" fillId="2" borderId="0" xfId="1" applyNumberFormat="1" applyFont="1" applyFill="1"/>
    <xf numFmtId="3" fontId="11" fillId="4" borderId="0" xfId="0" applyNumberFormat="1" applyFont="1" applyFill="1"/>
    <xf numFmtId="164" fontId="6" fillId="0" borderId="9" xfId="0" applyNumberFormat="1" applyFont="1" applyFill="1" applyBorder="1"/>
    <xf numFmtId="0" fontId="6" fillId="4" borderId="0" xfId="0" applyFont="1" applyFill="1" applyBorder="1" applyAlignment="1"/>
    <xf numFmtId="16" fontId="6" fillId="2" borderId="0" xfId="0" applyNumberFormat="1" applyFont="1" applyFill="1" applyBorder="1"/>
    <xf numFmtId="0" fontId="25" fillId="2" borderId="0" xfId="0" applyFont="1" applyFill="1" applyBorder="1"/>
    <xf numFmtId="0" fontId="5" fillId="13" borderId="0" xfId="0" applyFont="1" applyFill="1"/>
    <xf numFmtId="0" fontId="6" fillId="13" borderId="0" xfId="0" applyFont="1" applyFill="1"/>
    <xf numFmtId="0" fontId="5" fillId="13" borderId="0" xfId="0" applyFont="1" applyFill="1" applyBorder="1"/>
    <xf numFmtId="0" fontId="6" fillId="13" borderId="0" xfId="0" applyFont="1" applyFill="1" applyBorder="1"/>
    <xf numFmtId="0" fontId="11" fillId="13" borderId="0" xfId="0" applyFont="1" applyFill="1" applyBorder="1"/>
    <xf numFmtId="0" fontId="33" fillId="13" borderId="0" xfId="0" applyFont="1" applyFill="1" applyBorder="1"/>
    <xf numFmtId="0" fontId="2" fillId="13" borderId="0" xfId="0" applyFont="1" applyFill="1" applyBorder="1"/>
    <xf numFmtId="0" fontId="0" fillId="13" borderId="0" xfId="0" applyFill="1" applyBorder="1"/>
    <xf numFmtId="0" fontId="2" fillId="0" borderId="0" xfId="0" applyFont="1" applyAlignment="1">
      <alignment horizontal="left"/>
    </xf>
    <xf numFmtId="43" fontId="0" fillId="3" borderId="0" xfId="1" applyNumberFormat="1" applyFont="1" applyFill="1"/>
    <xf numFmtId="43" fontId="0" fillId="3" borderId="0" xfId="1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/>
    <xf numFmtId="0" fontId="0" fillId="2" borderId="4" xfId="0" applyFill="1" applyBorder="1"/>
    <xf numFmtId="0" fontId="2" fillId="2" borderId="4" xfId="0" applyFont="1" applyFill="1" applyBorder="1"/>
    <xf numFmtId="3" fontId="6" fillId="0" borderId="0" xfId="0" applyNumberFormat="1" applyFont="1" applyFill="1" applyAlignment="1"/>
    <xf numFmtId="17" fontId="2" fillId="0" borderId="0" xfId="0" applyNumberFormat="1" applyFont="1" applyFill="1" applyBorder="1" applyAlignment="1">
      <alignment horizontal="left"/>
    </xf>
    <xf numFmtId="0" fontId="6" fillId="6" borderId="0" xfId="0" applyFont="1" applyFill="1" applyBorder="1" applyAlignment="1">
      <alignment vertical="justify" wrapText="1"/>
    </xf>
    <xf numFmtId="164" fontId="11" fillId="6" borderId="0" xfId="1" applyNumberFormat="1" applyFont="1" applyFill="1" applyBorder="1" applyAlignment="1">
      <alignment wrapText="1"/>
    </xf>
    <xf numFmtId="9" fontId="11" fillId="6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43" fontId="6" fillId="3" borderId="0" xfId="1" applyNumberFormat="1" applyFont="1" applyFill="1" applyBorder="1"/>
    <xf numFmtId="1" fontId="10" fillId="0" borderId="0" xfId="1" applyNumberFormat="1" applyFont="1" applyBorder="1" applyAlignment="1">
      <alignment wrapText="1"/>
    </xf>
    <xf numFmtId="1" fontId="11" fillId="0" borderId="0" xfId="1" applyNumberFormat="1" applyFont="1" applyBorder="1" applyAlignment="1">
      <alignment wrapText="1"/>
    </xf>
    <xf numFmtId="1" fontId="6" fillId="0" borderId="0" xfId="1" applyNumberFormat="1" applyFont="1" applyFill="1" applyBorder="1"/>
    <xf numFmtId="1" fontId="6" fillId="0" borderId="0" xfId="1" applyNumberFormat="1" applyFont="1" applyBorder="1"/>
    <xf numFmtId="1" fontId="0" fillId="0" borderId="0" xfId="0" applyNumberFormat="1" applyFill="1" applyBorder="1"/>
    <xf numFmtId="1" fontId="5" fillId="0" borderId="0" xfId="1" applyNumberFormat="1" applyFont="1" applyBorder="1"/>
    <xf numFmtId="1" fontId="2" fillId="0" borderId="0" xfId="0" applyNumberFormat="1" applyFont="1" applyFill="1" applyBorder="1"/>
    <xf numFmtId="1" fontId="6" fillId="0" borderId="0" xfId="0" applyNumberFormat="1" applyFont="1" applyBorder="1"/>
    <xf numFmtId="1" fontId="6" fillId="4" borderId="0" xfId="0" applyNumberFormat="1" applyFont="1" applyFill="1" applyBorder="1"/>
    <xf numFmtId="1" fontId="11" fillId="4" borderId="0" xfId="0" applyNumberFormat="1" applyFont="1" applyFill="1" applyBorder="1"/>
    <xf numFmtId="1" fontId="0" fillId="4" borderId="0" xfId="0" applyNumberFormat="1" applyFill="1" applyBorder="1"/>
    <xf numFmtId="1" fontId="13" fillId="0" borderId="0" xfId="1" applyNumberFormat="1" applyFont="1" applyBorder="1" applyAlignment="1">
      <alignment wrapText="1"/>
    </xf>
    <xf numFmtId="1" fontId="5" fillId="0" borderId="0" xfId="0" applyNumberFormat="1" applyFont="1" applyBorder="1"/>
    <xf numFmtId="1" fontId="10" fillId="0" borderId="0" xfId="1" applyNumberFormat="1" applyFont="1" applyBorder="1"/>
    <xf numFmtId="1" fontId="11" fillId="0" borderId="0" xfId="1" applyNumberFormat="1" applyFont="1" applyBorder="1"/>
    <xf numFmtId="1" fontId="10" fillId="0" borderId="0" xfId="0" applyNumberFormat="1" applyFont="1" applyFill="1" applyBorder="1"/>
    <xf numFmtId="1" fontId="5" fillId="0" borderId="0" xfId="1" applyNumberFormat="1" applyFont="1" applyFill="1" applyBorder="1"/>
    <xf numFmtId="1" fontId="6" fillId="4" borderId="0" xfId="1" applyNumberFormat="1" applyFont="1" applyFill="1" applyBorder="1"/>
    <xf numFmtId="1" fontId="11" fillId="0" borderId="0" xfId="1" applyNumberFormat="1" applyFont="1" applyFill="1" applyBorder="1" applyAlignment="1">
      <alignment wrapText="1"/>
    </xf>
    <xf numFmtId="1" fontId="2" fillId="0" borderId="0" xfId="1" applyNumberFormat="1" applyFont="1" applyFill="1" applyBorder="1"/>
    <xf numFmtId="1" fontId="5" fillId="0" borderId="0" xfId="0" applyNumberFormat="1" applyFont="1" applyFill="1" applyBorder="1"/>
    <xf numFmtId="1" fontId="5" fillId="4" borderId="0" xfId="0" applyNumberFormat="1" applyFont="1" applyFill="1" applyBorder="1"/>
    <xf numFmtId="1" fontId="13" fillId="0" borderId="0" xfId="0" applyNumberFormat="1" applyFont="1" applyFill="1" applyBorder="1"/>
    <xf numFmtId="1" fontId="6" fillId="0" borderId="0" xfId="1" applyNumberFormat="1" applyFont="1"/>
    <xf numFmtId="0" fontId="0" fillId="3" borderId="8" xfId="0" applyFill="1" applyBorder="1" applyAlignment="1">
      <alignment horizontal="left"/>
    </xf>
    <xf numFmtId="164" fontId="0" fillId="3" borderId="9" xfId="1" applyNumberFormat="1" applyFont="1" applyFill="1" applyBorder="1"/>
    <xf numFmtId="9" fontId="0" fillId="3" borderId="9" xfId="2" applyFont="1" applyFill="1" applyBorder="1"/>
    <xf numFmtId="164" fontId="0" fillId="3" borderId="10" xfId="1" applyNumberFormat="1" applyFont="1" applyFill="1" applyBorder="1"/>
    <xf numFmtId="3" fontId="11" fillId="3" borderId="0" xfId="0" applyNumberFormat="1" applyFont="1" applyFill="1"/>
    <xf numFmtId="0" fontId="38" fillId="0" borderId="0" xfId="0" applyFont="1" applyFill="1" applyBorder="1" applyAlignment="1">
      <alignment wrapText="1"/>
    </xf>
    <xf numFmtId="0" fontId="11" fillId="3" borderId="0" xfId="0" applyFont="1" applyFill="1" applyBorder="1" applyAlignment="1">
      <alignment horizontal="left" wrapText="1"/>
    </xf>
    <xf numFmtId="164" fontId="11" fillId="3" borderId="0" xfId="1" applyNumberFormat="1" applyFont="1" applyFill="1" applyBorder="1" applyAlignment="1">
      <alignment wrapText="1"/>
    </xf>
    <xf numFmtId="10" fontId="11" fillId="3" borderId="0" xfId="0" applyNumberFormat="1" applyFont="1" applyFill="1" applyBorder="1" applyAlignment="1">
      <alignment wrapText="1"/>
    </xf>
    <xf numFmtId="0" fontId="20" fillId="0" borderId="0" xfId="0" applyFont="1"/>
    <xf numFmtId="16" fontId="20" fillId="0" borderId="0" xfId="0" applyNumberFormat="1" applyFont="1"/>
    <xf numFmtId="0" fontId="52" fillId="0" borderId="35" xfId="0" applyFont="1" applyBorder="1"/>
    <xf numFmtId="0" fontId="41" fillId="0" borderId="0" xfId="0" applyFont="1" applyBorder="1"/>
    <xf numFmtId="0" fontId="20" fillId="0" borderId="20" xfId="0" applyFont="1" applyBorder="1"/>
    <xf numFmtId="0" fontId="41" fillId="0" borderId="20" xfId="0" applyFont="1" applyBorder="1"/>
    <xf numFmtId="0" fontId="20" fillId="0" borderId="13" xfId="0" applyFont="1" applyBorder="1"/>
    <xf numFmtId="0" fontId="41" fillId="0" borderId="13" xfId="0" applyFont="1" applyBorder="1"/>
    <xf numFmtId="0" fontId="20" fillId="2" borderId="0" xfId="0" applyFont="1" applyFill="1"/>
    <xf numFmtId="16" fontId="20" fillId="2" borderId="0" xfId="0" applyNumberFormat="1" applyFont="1" applyFill="1"/>
    <xf numFmtId="0" fontId="52" fillId="2" borderId="35" xfId="0" applyFont="1" applyFill="1" applyBorder="1"/>
    <xf numFmtId="0" fontId="41" fillId="2" borderId="0" xfId="0" applyFont="1" applyFill="1" applyBorder="1"/>
    <xf numFmtId="0" fontId="20" fillId="2" borderId="20" xfId="0" applyFont="1" applyFill="1" applyBorder="1"/>
    <xf numFmtId="0" fontId="41" fillId="2" borderId="20" xfId="0" applyFont="1" applyFill="1" applyBorder="1"/>
    <xf numFmtId="0" fontId="41" fillId="2" borderId="13" xfId="0" applyFont="1" applyFill="1" applyBorder="1"/>
    <xf numFmtId="0" fontId="2" fillId="0" borderId="8" xfId="0" applyFont="1" applyFill="1" applyBorder="1"/>
    <xf numFmtId="0" fontId="0" fillId="0" borderId="13" xfId="0" applyFill="1" applyBorder="1"/>
    <xf numFmtId="0" fontId="6" fillId="3" borderId="0" xfId="0" applyFont="1" applyFill="1" applyBorder="1" applyAlignment="1">
      <alignment vertical="justify" wrapText="1"/>
    </xf>
    <xf numFmtId="9" fontId="11" fillId="3" borderId="0" xfId="0" applyNumberFormat="1" applyFont="1" applyFill="1" applyBorder="1"/>
    <xf numFmtId="164" fontId="6" fillId="0" borderId="10" xfId="1" applyNumberFormat="1" applyFont="1" applyFill="1" applyBorder="1"/>
    <xf numFmtId="16" fontId="0" fillId="9" borderId="0" xfId="0" applyNumberFormat="1" applyFill="1"/>
    <xf numFmtId="0" fontId="24" fillId="9" borderId="35" xfId="0" applyFont="1" applyFill="1" applyBorder="1"/>
    <xf numFmtId="0" fontId="2" fillId="9" borderId="0" xfId="0" applyFont="1" applyFill="1" applyBorder="1"/>
    <xf numFmtId="0" fontId="0" fillId="9" borderId="20" xfId="0" applyFill="1" applyBorder="1"/>
    <xf numFmtId="0" fontId="2" fillId="9" borderId="20" xfId="0" applyFont="1" applyFill="1" applyBorder="1"/>
    <xf numFmtId="0" fontId="2" fillId="9" borderId="8" xfId="0" applyFont="1" applyFill="1" applyBorder="1"/>
    <xf numFmtId="0" fontId="0" fillId="9" borderId="13" xfId="0" applyFill="1" applyBorder="1"/>
    <xf numFmtId="0" fontId="2" fillId="9" borderId="13" xfId="0" applyFont="1" applyFill="1" applyBorder="1"/>
    <xf numFmtId="0" fontId="13" fillId="6" borderId="0" xfId="0" applyFont="1" applyFill="1" applyBorder="1"/>
    <xf numFmtId="0" fontId="15" fillId="0" borderId="0" xfId="0" applyFont="1"/>
    <xf numFmtId="0" fontId="6" fillId="5" borderId="0" xfId="0" applyFont="1" applyFill="1" applyAlignment="1">
      <alignment horizontal="center"/>
    </xf>
    <xf numFmtId="17" fontId="37" fillId="0" borderId="0" xfId="0" applyNumberFormat="1" applyFont="1" applyFill="1" applyBorder="1" applyAlignment="1">
      <alignment horizontal="center"/>
    </xf>
    <xf numFmtId="3" fontId="5" fillId="0" borderId="8" xfId="0" applyNumberFormat="1" applyFont="1" applyFill="1" applyBorder="1"/>
    <xf numFmtId="3" fontId="11" fillId="0" borderId="10" xfId="0" applyNumberFormat="1" applyFont="1" applyFill="1" applyBorder="1"/>
    <xf numFmtId="0" fontId="37" fillId="13" borderId="0" xfId="0" applyFont="1" applyFill="1" applyBorder="1"/>
    <xf numFmtId="164" fontId="2" fillId="0" borderId="23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6699"/>
      <color rgb="FFFF3300"/>
      <color rgb="FFFF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Budget!$D$127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numRef>
              <c:f>Budget!$C$128:$C$138</c:f>
              <c:numCache>
                <c:formatCode>mmm\-yy</c:formatCode>
                <c:ptCount val="11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</c:numCache>
            </c:numRef>
          </c:cat>
          <c:val>
            <c:numRef>
              <c:f>Budget!$D$128:$D$138</c:f>
              <c:numCache>
                <c:formatCode>General</c:formatCode>
                <c:ptCount val="11"/>
                <c:pt idx="0">
                  <c:v>6540</c:v>
                </c:pt>
                <c:pt idx="1">
                  <c:v>11157</c:v>
                </c:pt>
                <c:pt idx="2">
                  <c:v>6993</c:v>
                </c:pt>
                <c:pt idx="3">
                  <c:v>9405</c:v>
                </c:pt>
                <c:pt idx="4">
                  <c:v>3811</c:v>
                </c:pt>
                <c:pt idx="5">
                  <c:v>4126</c:v>
                </c:pt>
                <c:pt idx="6">
                  <c:v>5742</c:v>
                </c:pt>
                <c:pt idx="7">
                  <c:v>12651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B7C-46C7-BBAF-BEE3F3F2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35296"/>
        <c:axId val="178936832"/>
      </c:lineChart>
      <c:dateAx>
        <c:axId val="178935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78936832"/>
        <c:crosses val="autoZero"/>
        <c:auto val="1"/>
        <c:lblOffset val="100"/>
        <c:baseTimeUnit val="months"/>
      </c:dateAx>
      <c:valAx>
        <c:axId val="17893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789352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Budget!$F$106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cat>
            <c:strRef>
              <c:f>Budget!$E$107:$E$114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Budget!$F$107:$F$114</c:f>
              <c:numCache>
                <c:formatCode>General</c:formatCode>
                <c:ptCount val="8"/>
                <c:pt idx="0">
                  <c:v>3811</c:v>
                </c:pt>
                <c:pt idx="1">
                  <c:v>4126</c:v>
                </c:pt>
                <c:pt idx="2">
                  <c:v>5742</c:v>
                </c:pt>
                <c:pt idx="3">
                  <c:v>12651</c:v>
                </c:pt>
                <c:pt idx="4">
                  <c:v>5651</c:v>
                </c:pt>
                <c:pt idx="5">
                  <c:v>8161</c:v>
                </c:pt>
                <c:pt idx="6">
                  <c:v>6484</c:v>
                </c:pt>
                <c:pt idx="7">
                  <c:v>8230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F61-4F5A-8993-C43FD54B7FED}"/>
            </c:ext>
          </c:extLst>
        </c:ser>
        <c:ser>
          <c:idx val="1"/>
          <c:order val="1"/>
          <c:tx>
            <c:strRef>
              <c:f>Budget!$G$106</c:f>
              <c:strCache>
                <c:ptCount val="1"/>
                <c:pt idx="0">
                  <c:v>2017</c:v>
                </c:pt>
              </c:strCache>
            </c:strRef>
          </c:tx>
          <c:marker>
            <c:symbol val="none"/>
          </c:marker>
          <c:cat>
            <c:strRef>
              <c:f>Budget!$E$107:$E$115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</c:strCache>
            </c:strRef>
          </c:cat>
          <c:val>
            <c:numRef>
              <c:f>Budget!$G$107:$G$115</c:f>
              <c:numCache>
                <c:formatCode>General</c:formatCode>
                <c:ptCount val="9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F61-4F5A-8993-C43FD54B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67296"/>
        <c:axId val="178968832"/>
      </c:lineChart>
      <c:catAx>
        <c:axId val="178967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8968832"/>
        <c:crosses val="autoZero"/>
        <c:auto val="1"/>
        <c:lblAlgn val="ctr"/>
        <c:lblOffset val="100"/>
        <c:noMultiLvlLbl val="0"/>
      </c:catAx>
      <c:valAx>
        <c:axId val="17896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967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analysis'!$C$3:$C$15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9">
                  <c:v>6540</c:v>
                </c:pt>
                <c:pt idx="10">
                  <c:v>11157</c:v>
                </c:pt>
                <c:pt idx="11">
                  <c:v>6993</c:v>
                </c:pt>
                <c:pt idx="12">
                  <c:v>9405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253-4AB2-898C-45D3B2CA54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analysis'!$D$3:$D$15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1">
                  <c:v>3811</c:v>
                </c:pt>
                <c:pt idx="2">
                  <c:v>4126</c:v>
                </c:pt>
                <c:pt idx="3">
                  <c:v>5742</c:v>
                </c:pt>
                <c:pt idx="4">
                  <c:v>12651</c:v>
                </c:pt>
                <c:pt idx="5">
                  <c:v>5651</c:v>
                </c:pt>
                <c:pt idx="6">
                  <c:v>8161</c:v>
                </c:pt>
                <c:pt idx="7">
                  <c:v>6484</c:v>
                </c:pt>
                <c:pt idx="8">
                  <c:v>8230</c:v>
                </c:pt>
                <c:pt idx="9">
                  <c:v>11580</c:v>
                </c:pt>
                <c:pt idx="10">
                  <c:v>10088</c:v>
                </c:pt>
                <c:pt idx="11">
                  <c:v>6191</c:v>
                </c:pt>
                <c:pt idx="12">
                  <c:v>8897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253-4AB2-898C-45D3B2CA544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analysis'!$E$3:$E$15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1">
                  <c:v>5584</c:v>
                </c:pt>
                <c:pt idx="2">
                  <c:v>5317</c:v>
                </c:pt>
                <c:pt idx="3">
                  <c:v>6635</c:v>
                </c:pt>
                <c:pt idx="4">
                  <c:v>7539</c:v>
                </c:pt>
                <c:pt idx="5">
                  <c:v>6359</c:v>
                </c:pt>
                <c:pt idx="6">
                  <c:v>11905</c:v>
                </c:pt>
                <c:pt idx="7">
                  <c:v>6736</c:v>
                </c:pt>
                <c:pt idx="8">
                  <c:v>10761</c:v>
                </c:pt>
                <c:pt idx="9">
                  <c:v>6736</c:v>
                </c:pt>
                <c:pt idx="10">
                  <c:v>18642.599999999999</c:v>
                </c:pt>
                <c:pt idx="11">
                  <c:v>9327</c:v>
                </c:pt>
                <c:pt idx="12">
                  <c:v>8279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253-4AB2-898C-45D3B2CA544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analysis'!$F$3:$F$15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1">
                  <c:v>8183</c:v>
                </c:pt>
                <c:pt idx="2">
                  <c:v>5000</c:v>
                </c:pt>
                <c:pt idx="3">
                  <c:v>6500</c:v>
                </c:pt>
                <c:pt idx="4">
                  <c:v>7200</c:v>
                </c:pt>
                <c:pt idx="5">
                  <c:v>9000</c:v>
                </c:pt>
                <c:pt idx="6">
                  <c:v>10000</c:v>
                </c:pt>
                <c:pt idx="7">
                  <c:v>8000</c:v>
                </c:pt>
                <c:pt idx="8">
                  <c:v>7000</c:v>
                </c:pt>
                <c:pt idx="9">
                  <c:v>12000</c:v>
                </c:pt>
                <c:pt idx="10">
                  <c:v>15000</c:v>
                </c:pt>
                <c:pt idx="11">
                  <c:v>10000</c:v>
                </c:pt>
                <c:pt idx="12">
                  <c:v>8000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253-4AB2-898C-45D3B2CA5445}"/>
            </c:ext>
          </c:extLst>
        </c:ser>
        <c:ser>
          <c:idx val="4"/>
          <c:order val="4"/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analysis'!$G$3:$G$15</c:f>
              <c:numCache>
                <c:formatCode>General</c:formatCode>
                <c:ptCount val="13"/>
                <c:pt idx="0">
                  <c:v>0</c:v>
                </c:pt>
                <c:pt idx="1">
                  <c:v>2814</c:v>
                </c:pt>
                <c:pt idx="2">
                  <c:v>2883</c:v>
                </c:pt>
                <c:pt idx="3">
                  <c:v>6262</c:v>
                </c:pt>
                <c:pt idx="4">
                  <c:v>2162</c:v>
                </c:pt>
                <c:pt idx="5">
                  <c:v>6517</c:v>
                </c:pt>
                <c:pt idx="6">
                  <c:v>1498</c:v>
                </c:pt>
                <c:pt idx="7">
                  <c:v>6873</c:v>
                </c:pt>
                <c:pt idx="8">
                  <c:v>5505</c:v>
                </c:pt>
                <c:pt idx="9">
                  <c:v>6114</c:v>
                </c:pt>
                <c:pt idx="10">
                  <c:v>6691</c:v>
                </c:pt>
                <c:pt idx="11">
                  <c:v>6841</c:v>
                </c:pt>
                <c:pt idx="12">
                  <c:v>7148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59E-4C6E-8529-A2079F58BCAE}"/>
            </c:ext>
          </c:extLst>
        </c:ser>
        <c:ser>
          <c:idx val="5"/>
          <c:order val="5"/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analysis'!$H$3:$H$15</c:f>
              <c:numCache>
                <c:formatCode>General</c:formatCode>
                <c:ptCount val="13"/>
                <c:pt idx="0">
                  <c:v>0</c:v>
                </c:pt>
                <c:pt idx="1">
                  <c:v>4180</c:v>
                </c:pt>
                <c:pt idx="2">
                  <c:v>3413</c:v>
                </c:pt>
                <c:pt idx="3">
                  <c:v>6532</c:v>
                </c:pt>
                <c:pt idx="4">
                  <c:v>128</c:v>
                </c:pt>
                <c:pt idx="5">
                  <c:v>3594</c:v>
                </c:pt>
                <c:pt idx="6">
                  <c:v>3961</c:v>
                </c:pt>
                <c:pt idx="7">
                  <c:v>5060</c:v>
                </c:pt>
                <c:pt idx="8">
                  <c:v>3150</c:v>
                </c:pt>
                <c:pt idx="9">
                  <c:v>5083</c:v>
                </c:pt>
                <c:pt idx="10">
                  <c:v>3875</c:v>
                </c:pt>
                <c:pt idx="11">
                  <c:v>4706</c:v>
                </c:pt>
                <c:pt idx="12">
                  <c:v>6947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59E-4C6E-8529-A2079F58BCAE}"/>
            </c:ext>
          </c:extLst>
        </c:ser>
        <c:ser>
          <c:idx val="6"/>
          <c:order val="6"/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analysis'!$I$3:$I$15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1485</c:v>
                </c:pt>
                <c:pt idx="2">
                  <c:v>1570</c:v>
                </c:pt>
                <c:pt idx="3">
                  <c:v>6010</c:v>
                </c:pt>
                <c:pt idx="4">
                  <c:v>4066</c:v>
                </c:pt>
                <c:pt idx="5">
                  <c:v>6722</c:v>
                </c:pt>
                <c:pt idx="6">
                  <c:v>7798</c:v>
                </c:pt>
                <c:pt idx="7">
                  <c:v>4364</c:v>
                </c:pt>
                <c:pt idx="8">
                  <c:v>6270</c:v>
                </c:pt>
                <c:pt idx="9">
                  <c:v>8932</c:v>
                </c:pt>
                <c:pt idx="10">
                  <c:v>6199</c:v>
                </c:pt>
                <c:pt idx="11">
                  <c:v>7739</c:v>
                </c:pt>
                <c:pt idx="12" formatCode="General">
                  <c:v>11255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59E-4C6E-8529-A2079F58BCAE}"/>
            </c:ext>
          </c:extLst>
        </c:ser>
        <c:ser>
          <c:idx val="7"/>
          <c:order val="7"/>
          <c:marker>
            <c:symbol val="none"/>
          </c:marker>
          <c:cat>
            <c:strRef>
              <c:f>'sales analysis'!$B$3:$B$15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analysis'!$J$3:$J$15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6068</c:v>
                </c:pt>
                <c:pt idx="2">
                  <c:v>5403</c:v>
                </c:pt>
                <c:pt idx="3">
                  <c:v>6778</c:v>
                </c:pt>
                <c:pt idx="4">
                  <c:v>8490</c:v>
                </c:pt>
                <c:pt idx="5">
                  <c:v>8879</c:v>
                </c:pt>
                <c:pt idx="6">
                  <c:v>9362</c:v>
                </c:pt>
                <c:pt idx="7">
                  <c:v>6653</c:v>
                </c:pt>
                <c:pt idx="8">
                  <c:v>8335</c:v>
                </c:pt>
                <c:pt idx="9">
                  <c:v>6658</c:v>
                </c:pt>
                <c:pt idx="10">
                  <c:v>9675</c:v>
                </c:pt>
                <c:pt idx="11">
                  <c:v>6915</c:v>
                </c:pt>
                <c:pt idx="12">
                  <c:v>8645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59E-4C6E-8529-A2079F58B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03104"/>
        <c:axId val="185513088"/>
      </c:lineChart>
      <c:catAx>
        <c:axId val="18550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13088"/>
        <c:crosses val="autoZero"/>
        <c:auto val="1"/>
        <c:lblAlgn val="ctr"/>
        <c:lblOffset val="100"/>
        <c:noMultiLvlLbl val="0"/>
      </c:catAx>
      <c:valAx>
        <c:axId val="1855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324748</xdr:colOff>
      <xdr:row>125</xdr:row>
      <xdr:rowOff>74889</xdr:rowOff>
    </xdr:from>
    <xdr:to>
      <xdr:col>14</xdr:col>
      <xdr:colOff>74198</xdr:colOff>
      <xdr:row>139</xdr:row>
      <xdr:rowOff>149432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777875</xdr:colOff>
      <xdr:row>91</xdr:row>
      <xdr:rowOff>134938</xdr:rowOff>
    </xdr:from>
    <xdr:to>
      <xdr:col>11</xdr:col>
      <xdr:colOff>690563</xdr:colOff>
      <xdr:row>102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3</xdr:row>
      <xdr:rowOff>0</xdr:rowOff>
    </xdr:from>
    <xdr:to>
      <xdr:col>20</xdr:col>
      <xdr:colOff>9525</xdr:colOff>
      <xdr:row>18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3231D902-20AC-4E35-8012-D503FB8D4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1"/>
  <sheetViews>
    <sheetView zoomScale="110" zoomScaleNormal="110" workbookViewId="0">
      <pane ySplit="1" topLeftCell="A36" activePane="bottomLeft" state="frozen"/>
      <selection activeCell="D14" sqref="D14"/>
      <selection pane="bottomLeft" activeCell="V21" sqref="V16:W21"/>
    </sheetView>
  </sheetViews>
  <sheetFormatPr defaultRowHeight="15" x14ac:dyDescent="0.25"/>
  <cols>
    <col min="2" max="2" width="21.140625" style="3" customWidth="1"/>
    <col min="3" max="3" width="14.42578125" customWidth="1"/>
    <col min="4" max="4" width="20.7109375" customWidth="1"/>
    <col min="5" max="5" width="16.7109375" customWidth="1"/>
    <col min="6" max="7" width="15.85546875" customWidth="1"/>
    <col min="8" max="8" width="9.140625" customWidth="1"/>
    <col min="9" max="11" width="9.42578125" bestFit="1" customWidth="1"/>
    <col min="12" max="12" width="11.42578125" customWidth="1"/>
    <col min="13" max="13" width="11.85546875" bestFit="1" customWidth="1"/>
    <col min="14" max="14" width="11.5703125" bestFit="1" customWidth="1"/>
    <col min="15" max="16" width="11.85546875" bestFit="1" customWidth="1"/>
    <col min="17" max="17" width="11.7109375" customWidth="1"/>
    <col min="18" max="18" width="10.140625" customWidth="1"/>
    <col min="19" max="19" width="10.85546875" bestFit="1" customWidth="1"/>
    <col min="20" max="20" width="10.85546875" customWidth="1"/>
    <col min="21" max="21" width="12.7109375" customWidth="1"/>
    <col min="22" max="22" width="10.85546875" bestFit="1" customWidth="1"/>
    <col min="24" max="24" width="9.5703125" bestFit="1" customWidth="1"/>
  </cols>
  <sheetData>
    <row r="1" spans="1:24" s="38" customFormat="1" ht="36.75" customHeight="1" x14ac:dyDescent="0.25">
      <c r="A1" s="38" t="s">
        <v>703</v>
      </c>
      <c r="B1" s="285" t="s">
        <v>34</v>
      </c>
      <c r="C1" s="285" t="s">
        <v>49</v>
      </c>
      <c r="D1" s="39" t="s">
        <v>35</v>
      </c>
      <c r="E1" s="97" t="s">
        <v>36</v>
      </c>
      <c r="F1" s="97" t="s">
        <v>37</v>
      </c>
      <c r="G1" s="97" t="s">
        <v>190</v>
      </c>
      <c r="H1" s="97" t="s">
        <v>71</v>
      </c>
      <c r="I1" s="97" t="s">
        <v>39</v>
      </c>
      <c r="J1" s="97" t="s">
        <v>1449</v>
      </c>
      <c r="K1" s="97" t="s">
        <v>41</v>
      </c>
      <c r="L1" s="97" t="s">
        <v>42</v>
      </c>
      <c r="M1" s="97" t="s">
        <v>43</v>
      </c>
      <c r="N1" s="97" t="s">
        <v>672</v>
      </c>
      <c r="O1" s="97" t="s">
        <v>45</v>
      </c>
      <c r="P1" s="97" t="s">
        <v>46</v>
      </c>
      <c r="Q1" s="97" t="s">
        <v>47</v>
      </c>
      <c r="R1" s="285" t="s">
        <v>48</v>
      </c>
      <c r="S1" s="285" t="s">
        <v>70</v>
      </c>
      <c r="T1" s="285" t="s">
        <v>925</v>
      </c>
      <c r="U1" s="285" t="s">
        <v>88</v>
      </c>
      <c r="V1" s="285" t="s">
        <v>89</v>
      </c>
      <c r="W1" s="285" t="s">
        <v>90</v>
      </c>
      <c r="X1" s="38" t="s">
        <v>216</v>
      </c>
    </row>
    <row r="2" spans="1:24" s="286" customFormat="1" x14ac:dyDescent="0.25"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</row>
    <row r="3" spans="1:24" s="286" customFormat="1" ht="30" x14ac:dyDescent="0.25">
      <c r="B3" s="281" t="s">
        <v>596</v>
      </c>
      <c r="C3" s="287" t="s">
        <v>597</v>
      </c>
      <c r="D3" s="281" t="s">
        <v>596</v>
      </c>
      <c r="E3" s="282">
        <v>930</v>
      </c>
      <c r="F3" s="282">
        <v>230</v>
      </c>
      <c r="G3" s="282"/>
      <c r="H3" s="282">
        <v>200</v>
      </c>
      <c r="I3" s="282"/>
      <c r="J3" s="282">
        <v>10</v>
      </c>
      <c r="K3" s="282">
        <v>50</v>
      </c>
      <c r="L3" s="282"/>
      <c r="M3" s="282">
        <f>886+1723+1000</f>
        <v>3609</v>
      </c>
      <c r="N3" s="282"/>
      <c r="O3" s="282">
        <v>9148</v>
      </c>
      <c r="P3" s="282">
        <v>500</v>
      </c>
      <c r="Q3" s="282">
        <v>400</v>
      </c>
      <c r="R3" s="282">
        <v>400</v>
      </c>
      <c r="S3" s="282">
        <f>SUM(E3:R3)</f>
        <v>15477</v>
      </c>
      <c r="T3" s="282"/>
      <c r="V3" s="288"/>
    </row>
    <row r="4" spans="1:24" s="286" customFormat="1" x14ac:dyDescent="0.25">
      <c r="B4" s="281"/>
      <c r="C4" s="287"/>
      <c r="D4" s="281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V4" s="288"/>
    </row>
    <row r="5" spans="1:24" s="178" customFormat="1" x14ac:dyDescent="0.25">
      <c r="B5" s="225"/>
      <c r="C5" s="289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W5" s="227"/>
      <c r="X5" s="226"/>
    </row>
    <row r="6" spans="1:24" s="178" customFormat="1" x14ac:dyDescent="0.25">
      <c r="B6" s="225"/>
      <c r="C6" s="289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82"/>
      <c r="T6" s="282"/>
      <c r="W6" s="227"/>
      <c r="X6" s="226"/>
    </row>
    <row r="7" spans="1:24" s="178" customFormat="1" x14ac:dyDescent="0.25">
      <c r="B7" s="178" t="s">
        <v>671</v>
      </c>
      <c r="S7" s="282"/>
      <c r="T7" s="282"/>
      <c r="W7" s="227"/>
      <c r="X7" s="226"/>
    </row>
    <row r="8" spans="1:24" s="178" customFormat="1" x14ac:dyDescent="0.25">
      <c r="B8" s="226">
        <v>0</v>
      </c>
      <c r="C8" s="289"/>
      <c r="E8" s="226"/>
      <c r="G8" s="226">
        <f>844*0.04+75</f>
        <v>108.75999999999999</v>
      </c>
      <c r="H8" s="226">
        <f>25*6</f>
        <v>150</v>
      </c>
      <c r="I8" s="226">
        <f>3*15+10</f>
        <v>55</v>
      </c>
      <c r="J8" s="226">
        <v>50</v>
      </c>
      <c r="K8" s="226">
        <v>20</v>
      </c>
      <c r="L8" s="226">
        <v>250</v>
      </c>
      <c r="M8" s="226">
        <v>1200</v>
      </c>
      <c r="N8" s="226">
        <v>360</v>
      </c>
      <c r="O8" s="226">
        <v>6556</v>
      </c>
      <c r="P8" s="226">
        <v>0</v>
      </c>
      <c r="Q8" s="226">
        <v>400</v>
      </c>
      <c r="R8" s="226">
        <v>600</v>
      </c>
      <c r="S8" s="282">
        <f>SUM(B8:R8)</f>
        <v>9749.76</v>
      </c>
      <c r="T8" s="282"/>
      <c r="W8" s="227"/>
      <c r="X8" s="226"/>
    </row>
    <row r="9" spans="1:24" s="178" customFormat="1" x14ac:dyDescent="0.25">
      <c r="B9" s="226"/>
      <c r="C9" s="289"/>
      <c r="E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82"/>
      <c r="T9" s="282"/>
      <c r="W9" s="227"/>
      <c r="X9" s="226"/>
    </row>
    <row r="10" spans="1:24" s="178" customFormat="1" x14ac:dyDescent="0.25">
      <c r="B10" s="226" t="s">
        <v>692</v>
      </c>
      <c r="C10" s="289"/>
      <c r="E10" s="226"/>
      <c r="G10" s="226"/>
      <c r="H10" s="226"/>
      <c r="I10" s="226">
        <f>+O10*0.06</f>
        <v>210.29999999999998</v>
      </c>
      <c r="J10" s="226"/>
      <c r="K10" s="226"/>
      <c r="L10" s="226"/>
      <c r="M10" s="226">
        <f>70*17+50+20*17+50</f>
        <v>1630</v>
      </c>
      <c r="N10" s="226"/>
      <c r="O10" s="226">
        <f>1992+1048+465</f>
        <v>3505</v>
      </c>
      <c r="P10" s="226"/>
      <c r="Q10" s="226">
        <v>200</v>
      </c>
      <c r="R10" s="226">
        <v>700</v>
      </c>
      <c r="S10" s="282">
        <f>SUM(G10:R10)</f>
        <v>6245.3</v>
      </c>
      <c r="T10" s="282"/>
      <c r="U10" s="226"/>
      <c r="W10" s="227"/>
      <c r="X10" s="226"/>
    </row>
    <row r="11" spans="1:24" s="178" customFormat="1" x14ac:dyDescent="0.25">
      <c r="B11" s="226"/>
      <c r="C11" s="289"/>
      <c r="E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82"/>
      <c r="T11" s="282"/>
    </row>
    <row r="12" spans="1:24" s="178" customFormat="1" x14ac:dyDescent="0.25">
      <c r="B12" s="226"/>
      <c r="C12" s="289"/>
      <c r="E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82"/>
      <c r="T12" s="282"/>
    </row>
    <row r="13" spans="1:24" s="178" customFormat="1" x14ac:dyDescent="0.25">
      <c r="B13" s="226" t="s">
        <v>782</v>
      </c>
      <c r="C13" s="289"/>
      <c r="E13" s="226">
        <v>850</v>
      </c>
      <c r="G13" s="226"/>
      <c r="H13" s="226">
        <f>135+60</f>
        <v>195</v>
      </c>
      <c r="I13" s="226">
        <v>55</v>
      </c>
      <c r="J13" s="226">
        <v>50</v>
      </c>
      <c r="K13" s="226">
        <v>20</v>
      </c>
      <c r="L13" s="226">
        <f>4*110+75*3</f>
        <v>665</v>
      </c>
      <c r="M13" s="226">
        <f>80*17.5+50</f>
        <v>1450</v>
      </c>
      <c r="N13" s="226">
        <f>720+15+40</f>
        <v>775</v>
      </c>
      <c r="O13" s="226" t="e">
        <f>+'stock purchase 2023'!#REF!</f>
        <v>#REF!</v>
      </c>
      <c r="P13" s="226">
        <f>100+15+35+20+17+18+15+10+35</f>
        <v>265</v>
      </c>
      <c r="Q13" s="226">
        <v>300</v>
      </c>
      <c r="R13" s="226">
        <v>375</v>
      </c>
      <c r="S13" s="282" t="e">
        <f>SUM(E13:R13)</f>
        <v>#REF!</v>
      </c>
      <c r="T13" s="282"/>
      <c r="W13" s="227"/>
    </row>
    <row r="14" spans="1:24" s="178" customFormat="1" x14ac:dyDescent="0.25">
      <c r="B14" s="225"/>
      <c r="C14" s="289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82"/>
      <c r="T14" s="282"/>
      <c r="W14" s="227"/>
    </row>
    <row r="15" spans="1:24" s="178" customFormat="1" x14ac:dyDescent="0.25">
      <c r="B15" s="225"/>
      <c r="C15" s="289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82"/>
      <c r="T15" s="282"/>
      <c r="U15" s="225"/>
      <c r="V15" s="225"/>
      <c r="W15" s="290"/>
    </row>
    <row r="16" spans="1:24" s="178" customFormat="1" ht="18.75" x14ac:dyDescent="0.3">
      <c r="B16" s="433" t="s">
        <v>920</v>
      </c>
      <c r="C16" s="434" t="s">
        <v>921</v>
      </c>
      <c r="D16" s="435" t="s">
        <v>596</v>
      </c>
      <c r="E16" s="436">
        <f>1220+135</f>
        <v>1355</v>
      </c>
      <c r="F16" s="436">
        <v>220</v>
      </c>
      <c r="G16" s="436">
        <f>3000*0.05</f>
        <v>150</v>
      </c>
      <c r="H16" s="436">
        <f>40+30*5+80</f>
        <v>270</v>
      </c>
      <c r="I16" s="436">
        <v>50</v>
      </c>
      <c r="J16" s="436">
        <v>50</v>
      </c>
      <c r="K16" s="436">
        <v>50</v>
      </c>
      <c r="L16" s="436">
        <f>3*120+4*75</f>
        <v>660</v>
      </c>
      <c r="M16" s="436">
        <v>0</v>
      </c>
      <c r="N16" s="436">
        <f>600+30+40</f>
        <v>670</v>
      </c>
      <c r="O16" s="436">
        <v>6911</v>
      </c>
      <c r="P16" s="436">
        <f>66+10+200+40+50</f>
        <v>366</v>
      </c>
      <c r="Q16" s="436">
        <v>500</v>
      </c>
      <c r="R16" s="436">
        <v>375</v>
      </c>
      <c r="S16" s="437">
        <f>SUM(E16:R16)</f>
        <v>11627</v>
      </c>
      <c r="T16" s="437">
        <f>+E16+F16+G16+H16+I16+J16+K16+L16+M16+N16+P16+Q16+R16</f>
        <v>4716</v>
      </c>
      <c r="U16" s="435"/>
      <c r="V16" s="435"/>
      <c r="W16" s="438"/>
      <c r="X16" s="435"/>
    </row>
    <row r="17" spans="2:24" s="178" customFormat="1" x14ac:dyDescent="0.25">
      <c r="B17" s="433" t="s">
        <v>922</v>
      </c>
      <c r="C17" s="439" t="s">
        <v>923</v>
      </c>
      <c r="D17" s="435" t="s">
        <v>924</v>
      </c>
      <c r="E17" s="436">
        <v>370</v>
      </c>
      <c r="F17" s="436"/>
      <c r="G17" s="436"/>
      <c r="H17" s="436"/>
      <c r="I17" s="436"/>
      <c r="J17" s="436"/>
      <c r="K17" s="436"/>
      <c r="L17" s="436"/>
      <c r="M17" s="436"/>
      <c r="N17" s="436"/>
      <c r="O17" s="436"/>
      <c r="P17" s="436"/>
      <c r="Q17" s="436"/>
      <c r="R17" s="436"/>
      <c r="S17" s="437"/>
      <c r="T17" s="437"/>
      <c r="U17" s="435"/>
      <c r="V17" s="435"/>
      <c r="W17" s="438"/>
      <c r="X17" s="435"/>
    </row>
    <row r="18" spans="2:24" s="178" customFormat="1" ht="15.75" thickBot="1" x14ac:dyDescent="0.3">
      <c r="B18" s="225"/>
      <c r="C18" s="289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82"/>
      <c r="T18" s="282"/>
      <c r="W18" s="227"/>
    </row>
    <row r="19" spans="2:24" s="225" customFormat="1" x14ac:dyDescent="0.25">
      <c r="B19" s="440" t="s">
        <v>1058</v>
      </c>
      <c r="C19" s="441" t="s">
        <v>1059</v>
      </c>
      <c r="D19" s="442" t="s">
        <v>1060</v>
      </c>
      <c r="E19" s="443">
        <v>800</v>
      </c>
      <c r="F19" s="443"/>
      <c r="G19" s="443"/>
      <c r="H19" s="443">
        <v>250</v>
      </c>
      <c r="I19" s="443">
        <v>16</v>
      </c>
      <c r="J19" s="443">
        <v>50</v>
      </c>
      <c r="K19" s="444">
        <v>50</v>
      </c>
      <c r="L19" s="443">
        <v>200</v>
      </c>
      <c r="M19" s="443"/>
      <c r="N19" s="443">
        <v>480</v>
      </c>
      <c r="O19" s="443">
        <v>4607</v>
      </c>
      <c r="P19" s="443">
        <v>250</v>
      </c>
      <c r="Q19" s="443">
        <v>500</v>
      </c>
      <c r="R19" s="443">
        <v>400</v>
      </c>
      <c r="S19" s="445">
        <f>SUM(E19:R19)</f>
        <v>7603</v>
      </c>
      <c r="T19" s="445">
        <f>+S19-O19</f>
        <v>2996</v>
      </c>
      <c r="U19" s="443" t="e">
        <f>+'stock purchase 2023'!#REF!</f>
        <v>#REF!</v>
      </c>
      <c r="V19" s="442" t="e">
        <f>+'stock purchase 2023'!#REF!</f>
        <v>#REF!</v>
      </c>
      <c r="W19" s="446" t="e">
        <f>+V19-S19</f>
        <v>#REF!</v>
      </c>
      <c r="X19" s="447"/>
    </row>
    <row r="20" spans="2:24" s="178" customFormat="1" x14ac:dyDescent="0.25">
      <c r="B20" s="448"/>
      <c r="C20" s="439"/>
      <c r="D20" s="435"/>
      <c r="E20" s="436"/>
      <c r="F20" s="436"/>
      <c r="G20" s="436"/>
      <c r="H20" s="436"/>
      <c r="I20" s="436"/>
      <c r="J20" s="436"/>
      <c r="K20" s="436"/>
      <c r="L20" s="436"/>
      <c r="M20" s="436"/>
      <c r="N20" s="436"/>
      <c r="O20" s="436"/>
      <c r="P20" s="436"/>
      <c r="Q20" s="436"/>
      <c r="R20" s="436"/>
      <c r="S20" s="437"/>
      <c r="T20" s="437"/>
      <c r="U20" s="436"/>
      <c r="V20" s="436"/>
      <c r="W20" s="438"/>
      <c r="X20" s="449"/>
    </row>
    <row r="21" spans="2:24" s="178" customFormat="1" ht="15.75" thickBot="1" x14ac:dyDescent="0.3">
      <c r="B21" s="450"/>
      <c r="C21" s="451"/>
      <c r="D21" s="452"/>
      <c r="E21" s="453"/>
      <c r="F21" s="453"/>
      <c r="G21" s="453"/>
      <c r="H21" s="453"/>
      <c r="I21" s="453"/>
      <c r="J21" s="453"/>
      <c r="K21" s="453"/>
      <c r="L21" s="453"/>
      <c r="M21" s="453"/>
      <c r="N21" s="453"/>
      <c r="O21" s="453"/>
      <c r="P21" s="453"/>
      <c r="Q21" s="453"/>
      <c r="R21" s="453"/>
      <c r="S21" s="454"/>
      <c r="T21" s="454"/>
      <c r="U21" s="453"/>
      <c r="V21" s="452"/>
      <c r="W21" s="455"/>
      <c r="X21" s="456"/>
    </row>
    <row r="22" spans="2:24" s="164" customFormat="1" ht="15.75" x14ac:dyDescent="0.25">
      <c r="C22" s="291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282"/>
      <c r="T22" s="282"/>
    </row>
    <row r="23" spans="2:24" s="164" customFormat="1" ht="15.75" x14ac:dyDescent="0.25">
      <c r="B23" s="164" t="s">
        <v>1195</v>
      </c>
      <c r="C23" s="291" t="s">
        <v>1196</v>
      </c>
      <c r="D23" s="435" t="s">
        <v>596</v>
      </c>
      <c r="E23" s="167">
        <v>1235</v>
      </c>
      <c r="F23" s="167"/>
      <c r="G23" s="167"/>
      <c r="H23" s="167">
        <v>240</v>
      </c>
      <c r="I23" s="167">
        <v>100</v>
      </c>
      <c r="J23" s="167">
        <v>50</v>
      </c>
      <c r="K23" s="167">
        <v>50</v>
      </c>
      <c r="L23" s="167">
        <f>500+225</f>
        <v>725</v>
      </c>
      <c r="M23" s="167"/>
      <c r="N23" s="167">
        <v>840</v>
      </c>
      <c r="O23" s="167">
        <v>8267</v>
      </c>
      <c r="P23" s="167">
        <v>50</v>
      </c>
      <c r="Q23" s="167">
        <f>+(2200+500)</f>
        <v>2700</v>
      </c>
      <c r="R23" s="167">
        <v>1000</v>
      </c>
      <c r="S23" s="282">
        <f>SUM(E23:R23)</f>
        <v>15257</v>
      </c>
      <c r="T23" s="282">
        <f>+S23-O23</f>
        <v>6990</v>
      </c>
    </row>
    <row r="24" spans="2:24" s="164" customFormat="1" ht="15.75" x14ac:dyDescent="0.25">
      <c r="B24" s="164" t="s">
        <v>922</v>
      </c>
      <c r="C24" s="164" t="s">
        <v>1197</v>
      </c>
      <c r="D24" s="435" t="s">
        <v>924</v>
      </c>
      <c r="E24" s="167">
        <v>100</v>
      </c>
      <c r="F24" s="167"/>
      <c r="G24" s="167"/>
      <c r="H24" s="167">
        <v>180</v>
      </c>
      <c r="I24" s="167">
        <v>50</v>
      </c>
      <c r="J24" s="167">
        <v>40</v>
      </c>
      <c r="K24" s="167">
        <v>40</v>
      </c>
      <c r="L24" s="167"/>
      <c r="M24" s="167"/>
      <c r="N24" s="167"/>
      <c r="O24" s="167"/>
      <c r="P24" s="167"/>
      <c r="Q24" s="167"/>
      <c r="R24" s="167"/>
      <c r="S24" s="282">
        <f>SUM(E24:R24)</f>
        <v>410</v>
      </c>
      <c r="T24" s="282">
        <f>+S24</f>
        <v>410</v>
      </c>
    </row>
    <row r="25" spans="2:24" s="164" customFormat="1" ht="21" customHeight="1" x14ac:dyDescent="0.25">
      <c r="B25" s="281"/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2"/>
      <c r="O25" s="281"/>
      <c r="P25" s="281"/>
      <c r="Q25" s="282"/>
      <c r="R25" s="282"/>
      <c r="S25" s="282"/>
      <c r="T25" s="282">
        <f>SUM(T23:T24)</f>
        <v>7400</v>
      </c>
      <c r="U25" s="281"/>
      <c r="V25" s="281"/>
      <c r="W25" s="281"/>
    </row>
    <row r="26" spans="2:24" s="164" customFormat="1" ht="21" customHeight="1" x14ac:dyDescent="0.25">
      <c r="B26" s="281" t="s">
        <v>596</v>
      </c>
      <c r="C26" s="281" t="s">
        <v>1295</v>
      </c>
      <c r="D26" s="281" t="s">
        <v>596</v>
      </c>
      <c r="E26" s="281">
        <v>951</v>
      </c>
      <c r="F26" s="281"/>
      <c r="G26" s="281"/>
      <c r="H26" s="281">
        <v>240</v>
      </c>
      <c r="I26" s="281">
        <v>100</v>
      </c>
      <c r="J26" s="281">
        <f>50+30</f>
        <v>80</v>
      </c>
      <c r="K26" s="281">
        <f>50+20</f>
        <v>70</v>
      </c>
      <c r="L26" s="281">
        <f>500+75*9</f>
        <v>1175</v>
      </c>
      <c r="M26" s="281"/>
      <c r="N26" s="282">
        <f>8*120+90</f>
        <v>1050</v>
      </c>
      <c r="O26" s="281">
        <v>9682</v>
      </c>
      <c r="P26" s="281">
        <v>400</v>
      </c>
      <c r="Q26" s="282">
        <f>2200+500</f>
        <v>2700</v>
      </c>
      <c r="R26" s="282">
        <f>+(400+400+200)</f>
        <v>1000</v>
      </c>
      <c r="S26" s="282">
        <f>SUM(E26:R26)</f>
        <v>17448</v>
      </c>
      <c r="T26" s="282">
        <f>+S26-O26</f>
        <v>7766</v>
      </c>
      <c r="U26" s="281"/>
      <c r="V26" s="281"/>
      <c r="W26" s="281"/>
    </row>
    <row r="27" spans="2:24" s="164" customFormat="1" ht="21" customHeight="1" x14ac:dyDescent="0.25">
      <c r="B27" s="281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4"/>
      <c r="O27" s="283"/>
      <c r="P27" s="283"/>
      <c r="Q27" s="284"/>
      <c r="R27" s="284"/>
      <c r="S27" s="282"/>
      <c r="T27" s="282"/>
      <c r="U27" s="281"/>
      <c r="V27" s="281"/>
      <c r="W27" s="281"/>
    </row>
    <row r="28" spans="2:24" s="164" customFormat="1" ht="21" customHeight="1" x14ac:dyDescent="0.25">
      <c r="B28" s="281"/>
      <c r="C28" s="283"/>
      <c r="D28" s="283"/>
      <c r="E28" s="283"/>
      <c r="F28" s="283"/>
      <c r="G28" s="283"/>
      <c r="H28" s="283"/>
      <c r="I28" s="283"/>
      <c r="J28" s="283"/>
      <c r="K28" s="283"/>
      <c r="L28" s="603">
        <f>+E26+H26+I26+J26+K26+L26+N26</f>
        <v>3666</v>
      </c>
      <c r="M28" s="603">
        <f>+L26+N26</f>
        <v>2225</v>
      </c>
      <c r="N28" s="284">
        <f>32*8</f>
        <v>256</v>
      </c>
      <c r="O28" s="283"/>
      <c r="P28" s="283"/>
      <c r="Q28" s="284"/>
      <c r="R28" s="284"/>
      <c r="S28" s="282"/>
      <c r="T28" s="282"/>
      <c r="U28" s="281"/>
      <c r="V28" s="281"/>
      <c r="W28" s="281"/>
    </row>
    <row r="29" spans="2:24" s="164" customFormat="1" ht="21" customHeight="1" x14ac:dyDescent="0.25"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604">
        <f>+L28/N28</f>
        <v>14.3203125</v>
      </c>
      <c r="M29" s="281"/>
      <c r="N29" s="282">
        <f>+M28/N28</f>
        <v>8.69140625</v>
      </c>
      <c r="O29" s="281"/>
      <c r="P29" s="281"/>
      <c r="Q29" s="281"/>
      <c r="R29" s="281"/>
      <c r="S29" s="282"/>
      <c r="T29" s="282"/>
      <c r="U29" s="281"/>
      <c r="V29" s="281"/>
      <c r="W29" s="281"/>
    </row>
    <row r="30" spans="2:24" s="164" customFormat="1" ht="21" customHeight="1" x14ac:dyDescent="0.25">
      <c r="B30" s="281" t="s">
        <v>1447</v>
      </c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2"/>
      <c r="O30" s="281"/>
      <c r="P30" s="281"/>
      <c r="Q30" s="282"/>
      <c r="R30" s="282"/>
      <c r="S30" s="282"/>
      <c r="T30" s="282"/>
      <c r="U30" s="281"/>
      <c r="V30" s="281"/>
      <c r="W30" s="281"/>
    </row>
    <row r="31" spans="2:24" s="164" customFormat="1" ht="23.25" customHeight="1" x14ac:dyDescent="0.25"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2"/>
      <c r="O31" s="281"/>
      <c r="P31" s="282"/>
      <c r="Q31" s="282"/>
      <c r="R31" s="282"/>
      <c r="S31" s="282"/>
      <c r="T31" s="282"/>
      <c r="U31" s="281"/>
      <c r="V31" s="281"/>
      <c r="W31" s="281"/>
    </row>
    <row r="32" spans="2:24" s="164" customFormat="1" ht="21" customHeight="1" x14ac:dyDescent="0.25"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2"/>
      <c r="O32" s="281"/>
      <c r="P32" s="281"/>
      <c r="Q32" s="282"/>
      <c r="R32" s="282"/>
      <c r="S32" s="282"/>
      <c r="T32" s="282"/>
      <c r="U32" s="281"/>
      <c r="V32" s="281"/>
      <c r="W32" s="281"/>
    </row>
    <row r="33" spans="1:23" s="164" customFormat="1" ht="21" customHeight="1" thickBot="1" x14ac:dyDescent="0.3"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2"/>
      <c r="Q33" s="282"/>
      <c r="R33" s="282"/>
      <c r="S33" s="282"/>
      <c r="T33" s="282"/>
      <c r="U33" s="281"/>
      <c r="V33" s="281"/>
      <c r="W33" s="281"/>
    </row>
    <row r="34" spans="1:23" s="164" customFormat="1" ht="16.5" thickBot="1" x14ac:dyDescent="0.3">
      <c r="A34" s="635"/>
      <c r="B34" s="636" t="s">
        <v>1058</v>
      </c>
      <c r="C34" s="637" t="s">
        <v>1448</v>
      </c>
      <c r="D34" s="636" t="s">
        <v>596</v>
      </c>
      <c r="E34" s="638">
        <v>1080</v>
      </c>
      <c r="F34" s="638"/>
      <c r="G34" s="638"/>
      <c r="H34" s="638">
        <v>200</v>
      </c>
      <c r="I34" s="638">
        <v>50</v>
      </c>
      <c r="J34" s="638">
        <f>40+40+5+7</f>
        <v>92</v>
      </c>
      <c r="K34" s="638">
        <v>20</v>
      </c>
      <c r="L34" s="638">
        <f>130+300</f>
        <v>430</v>
      </c>
      <c r="M34" s="638">
        <f>15*16.5+25</f>
        <v>272.5</v>
      </c>
      <c r="N34" s="638">
        <v>480</v>
      </c>
      <c r="O34" s="638">
        <v>6066</v>
      </c>
      <c r="P34" s="638">
        <v>200</v>
      </c>
      <c r="Q34" s="216">
        <f>950*2+250*2</f>
        <v>2400</v>
      </c>
      <c r="R34" s="216">
        <f>+(175*2+100*2)+240</f>
        <v>790</v>
      </c>
      <c r="S34" s="639">
        <f>SUM(E34:R34)</f>
        <v>12080.5</v>
      </c>
      <c r="T34" s="640">
        <f>+S34-O34</f>
        <v>6014.5</v>
      </c>
    </row>
    <row r="35" spans="1:23" s="393" customFormat="1" ht="15.75" x14ac:dyDescent="0.25">
      <c r="C35" s="289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167"/>
      <c r="R35" s="167"/>
      <c r="S35" s="282"/>
      <c r="T35" s="282"/>
    </row>
    <row r="36" spans="1:23" s="164" customFormat="1" ht="22.5" customHeight="1" thickBot="1" x14ac:dyDescent="0.3">
      <c r="C36" s="289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67"/>
      <c r="R36" s="167"/>
      <c r="S36" s="282"/>
      <c r="T36" s="282"/>
    </row>
    <row r="37" spans="1:23" s="164" customFormat="1" ht="15.75" x14ac:dyDescent="0.25">
      <c r="A37" s="641"/>
      <c r="B37" s="642" t="s">
        <v>1590</v>
      </c>
      <c r="C37" s="643" t="s">
        <v>1592</v>
      </c>
      <c r="D37" s="642" t="s">
        <v>596</v>
      </c>
      <c r="E37" s="644">
        <v>930</v>
      </c>
      <c r="F37" s="644">
        <v>400</v>
      </c>
      <c r="G37" s="644"/>
      <c r="H37" s="644">
        <f>8*45</f>
        <v>360</v>
      </c>
      <c r="I37" s="644">
        <f>60+100+35+35</f>
        <v>230</v>
      </c>
      <c r="J37" s="644">
        <f>50+30+40+10</f>
        <v>130</v>
      </c>
      <c r="K37" s="644">
        <v>50</v>
      </c>
      <c r="L37" s="644">
        <f>2*120+3*75</f>
        <v>465</v>
      </c>
      <c r="M37" s="644">
        <f>502+25*16.5+25*16.5</f>
        <v>1327</v>
      </c>
      <c r="N37" s="644">
        <f>4*120</f>
        <v>480</v>
      </c>
      <c r="O37" s="644">
        <v>6440</v>
      </c>
      <c r="P37" s="644">
        <v>100</v>
      </c>
      <c r="Q37" s="645">
        <f t="shared" ref="Q37" si="0">950*2+250*2</f>
        <v>2400</v>
      </c>
      <c r="R37" s="645">
        <f>+(175*2+120*2)+240</f>
        <v>830</v>
      </c>
      <c r="S37" s="445">
        <f>SUM(E37:R37)</f>
        <v>14142</v>
      </c>
      <c r="T37" s="646">
        <f t="shared" ref="T37:T38" si="1">+S37-O37</f>
        <v>7702</v>
      </c>
    </row>
    <row r="38" spans="1:23" s="164" customFormat="1" ht="16.5" thickBot="1" x14ac:dyDescent="0.3">
      <c r="A38" s="647"/>
      <c r="B38" s="648" t="s">
        <v>1591</v>
      </c>
      <c r="C38" s="451" t="s">
        <v>1593</v>
      </c>
      <c r="D38" s="648" t="s">
        <v>1594</v>
      </c>
      <c r="E38" s="649">
        <v>900</v>
      </c>
      <c r="F38" s="649">
        <v>160</v>
      </c>
      <c r="G38" s="649"/>
      <c r="H38" s="649">
        <f>593+180</f>
        <v>773</v>
      </c>
      <c r="I38" s="648"/>
      <c r="J38" s="649">
        <f>42+42+27+60+17+14+8</f>
        <v>210</v>
      </c>
      <c r="K38" s="649">
        <v>180</v>
      </c>
      <c r="L38" s="649">
        <f>30+40</f>
        <v>70</v>
      </c>
      <c r="M38" s="649"/>
      <c r="N38" s="649">
        <v>120</v>
      </c>
      <c r="O38" s="649">
        <v>1327</v>
      </c>
      <c r="P38" s="649">
        <f>54+25+35+29+20+53</f>
        <v>216</v>
      </c>
      <c r="Q38" s="650"/>
      <c r="R38" s="650"/>
      <c r="S38" s="454">
        <f>SUM(E38:R38)</f>
        <v>3956</v>
      </c>
      <c r="T38" s="651">
        <f t="shared" si="1"/>
        <v>2629</v>
      </c>
    </row>
    <row r="39" spans="1:23" s="164" customFormat="1" ht="18.75" x14ac:dyDescent="0.3">
      <c r="B39" s="164" t="s">
        <v>30</v>
      </c>
      <c r="C39" s="289"/>
      <c r="E39" s="472">
        <f>SUM(E37:E38)</f>
        <v>1830</v>
      </c>
      <c r="F39" s="472">
        <f t="shared" ref="F39:P39" si="2">SUM(F37:F38)</f>
        <v>560</v>
      </c>
      <c r="G39" s="472">
        <f t="shared" si="2"/>
        <v>0</v>
      </c>
      <c r="H39" s="472">
        <f t="shared" si="2"/>
        <v>1133</v>
      </c>
      <c r="I39" s="472">
        <f t="shared" si="2"/>
        <v>230</v>
      </c>
      <c r="J39" s="472">
        <f t="shared" si="2"/>
        <v>340</v>
      </c>
      <c r="K39" s="472">
        <f t="shared" si="2"/>
        <v>230</v>
      </c>
      <c r="L39" s="472">
        <f t="shared" si="2"/>
        <v>535</v>
      </c>
      <c r="M39" s="472">
        <f t="shared" si="2"/>
        <v>1327</v>
      </c>
      <c r="N39" s="472">
        <f t="shared" si="2"/>
        <v>600</v>
      </c>
      <c r="O39" s="472">
        <f t="shared" si="2"/>
        <v>7767</v>
      </c>
      <c r="P39" s="472">
        <f t="shared" si="2"/>
        <v>316</v>
      </c>
      <c r="Q39" s="472"/>
      <c r="R39" s="472"/>
      <c r="S39" s="472">
        <f t="shared" ref="S39" si="3">SUM(S37:S38)</f>
        <v>18098</v>
      </c>
      <c r="T39" s="472">
        <f t="shared" ref="T39" si="4">SUM(T37:T38)</f>
        <v>10331</v>
      </c>
    </row>
    <row r="40" spans="1:23" s="393" customFormat="1" ht="19.5" thickBot="1" x14ac:dyDescent="0.35">
      <c r="C40" s="289"/>
      <c r="E40" s="472"/>
      <c r="F40" s="472"/>
      <c r="G40" s="472"/>
      <c r="H40" s="472"/>
      <c r="I40" s="472"/>
      <c r="J40" s="472"/>
      <c r="K40" s="472"/>
      <c r="L40" s="472"/>
      <c r="M40" s="472"/>
      <c r="N40" s="472"/>
      <c r="O40" s="472"/>
      <c r="P40" s="472"/>
      <c r="Q40" s="472"/>
      <c r="R40" s="472"/>
      <c r="S40" s="472"/>
      <c r="T40" s="472"/>
    </row>
    <row r="41" spans="1:23" s="164" customFormat="1" ht="16.5" thickBot="1" x14ac:dyDescent="0.3">
      <c r="B41" s="164" t="s">
        <v>1601</v>
      </c>
      <c r="C41" s="643" t="s">
        <v>1592</v>
      </c>
      <c r="D41" s="642" t="s">
        <v>596</v>
      </c>
      <c r="E41" s="292">
        <v>300</v>
      </c>
      <c r="F41" s="292">
        <v>50</v>
      </c>
      <c r="G41" s="292">
        <v>0</v>
      </c>
      <c r="H41" s="292">
        <v>0</v>
      </c>
      <c r="I41" s="292">
        <v>100</v>
      </c>
      <c r="J41" s="292">
        <v>20</v>
      </c>
      <c r="K41" s="292">
        <v>20</v>
      </c>
      <c r="L41" s="292">
        <v>200</v>
      </c>
      <c r="M41" s="292">
        <v>439</v>
      </c>
      <c r="N41" s="292">
        <v>120</v>
      </c>
      <c r="O41" s="292">
        <v>2400</v>
      </c>
      <c r="P41" s="292"/>
      <c r="Q41" s="167">
        <v>500</v>
      </c>
      <c r="R41" s="167">
        <v>300</v>
      </c>
      <c r="S41" s="454">
        <f>SUM(E41:R41)</f>
        <v>4449</v>
      </c>
      <c r="T41" s="651">
        <f t="shared" ref="T41" si="5">+S41-O41</f>
        <v>2049</v>
      </c>
    </row>
    <row r="42" spans="1:23" s="164" customFormat="1" ht="15.75" x14ac:dyDescent="0.25">
      <c r="C42" s="289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67"/>
      <c r="R42" s="167"/>
      <c r="S42" s="282"/>
      <c r="T42" s="282"/>
    </row>
    <row r="43" spans="1:23" s="164" customFormat="1" ht="16.5" thickBot="1" x14ac:dyDescent="0.3">
      <c r="C43" s="289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167"/>
      <c r="R43" s="167"/>
      <c r="S43" s="282"/>
      <c r="T43" s="282"/>
    </row>
    <row r="44" spans="1:23" s="164" customFormat="1" ht="15.75" x14ac:dyDescent="0.25">
      <c r="B44" s="641" t="s">
        <v>1676</v>
      </c>
      <c r="C44" s="643" t="s">
        <v>1677</v>
      </c>
      <c r="D44" s="642" t="s">
        <v>596</v>
      </c>
      <c r="E44" s="644">
        <v>800</v>
      </c>
      <c r="F44" s="644"/>
      <c r="G44" s="644"/>
      <c r="H44" s="644">
        <f>6*45</f>
        <v>270</v>
      </c>
      <c r="I44" s="644">
        <v>50</v>
      </c>
      <c r="J44" s="644">
        <v>30</v>
      </c>
      <c r="K44" s="644">
        <v>50</v>
      </c>
      <c r="L44" s="644"/>
      <c r="M44" s="644">
        <v>902</v>
      </c>
      <c r="N44" s="644"/>
      <c r="O44" s="644">
        <v>3687</v>
      </c>
      <c r="P44" s="644">
        <v>30</v>
      </c>
      <c r="Q44" s="645">
        <v>500</v>
      </c>
      <c r="R44" s="645">
        <f>350+240+360</f>
        <v>950</v>
      </c>
      <c r="S44" s="445">
        <f>SUM(E44:R44)</f>
        <v>7269</v>
      </c>
      <c r="T44" s="646">
        <f>+S44-O44</f>
        <v>3582</v>
      </c>
    </row>
    <row r="45" spans="1:23" s="164" customFormat="1" ht="16.5" thickBot="1" x14ac:dyDescent="0.3">
      <c r="B45" s="647" t="s">
        <v>1601</v>
      </c>
      <c r="C45" s="451"/>
      <c r="D45" s="648"/>
      <c r="E45" s="649">
        <v>300</v>
      </c>
      <c r="F45" s="649"/>
      <c r="G45" s="649"/>
      <c r="H45" s="649">
        <f>2*35</f>
        <v>70</v>
      </c>
      <c r="I45" s="649">
        <v>150</v>
      </c>
      <c r="J45" s="649"/>
      <c r="K45" s="649">
        <v>20</v>
      </c>
      <c r="L45" s="649"/>
      <c r="M45" s="649">
        <f>568-8*15.5+600</f>
        <v>1044</v>
      </c>
      <c r="N45" s="649"/>
      <c r="O45" s="649">
        <v>1215</v>
      </c>
      <c r="P45" s="649">
        <v>20</v>
      </c>
      <c r="Q45" s="650">
        <v>500</v>
      </c>
      <c r="R45" s="650">
        <v>420</v>
      </c>
      <c r="S45" s="454">
        <f>SUM(E45:R45)</f>
        <v>3739</v>
      </c>
      <c r="T45" s="651">
        <f>+S45-O45</f>
        <v>2524</v>
      </c>
    </row>
    <row r="46" spans="1:23" s="164" customFormat="1" ht="16.5" thickBot="1" x14ac:dyDescent="0.3">
      <c r="C46" s="289"/>
      <c r="E46" s="292"/>
      <c r="F46" s="292"/>
      <c r="G46" s="292"/>
      <c r="H46" s="292"/>
      <c r="I46" s="292"/>
      <c r="J46" s="175"/>
      <c r="K46" s="175"/>
      <c r="L46" s="292"/>
      <c r="M46" s="292"/>
      <c r="N46" s="292"/>
      <c r="O46" s="292"/>
      <c r="P46" s="292"/>
      <c r="Q46" s="167"/>
      <c r="R46" s="167"/>
      <c r="S46" s="454"/>
      <c r="T46" s="651"/>
    </row>
    <row r="47" spans="1:23" s="164" customFormat="1" ht="16.5" thickBot="1" x14ac:dyDescent="0.3">
      <c r="B47" s="164" t="s">
        <v>1745</v>
      </c>
      <c r="C47" s="289" t="s">
        <v>43</v>
      </c>
      <c r="E47" s="292"/>
      <c r="F47" s="226"/>
      <c r="G47" s="226"/>
      <c r="H47" s="292"/>
      <c r="I47" s="292"/>
      <c r="J47" s="226"/>
      <c r="K47" s="292"/>
      <c r="L47" s="292"/>
      <c r="M47" s="292">
        <v>400</v>
      </c>
      <c r="N47" s="292"/>
      <c r="O47" s="292">
        <v>532</v>
      </c>
      <c r="P47" s="292"/>
      <c r="Q47" s="167">
        <v>500</v>
      </c>
      <c r="R47" s="167">
        <v>400</v>
      </c>
      <c r="S47" s="454">
        <f>SUM(E47:R47)</f>
        <v>1832</v>
      </c>
      <c r="T47" s="651">
        <f t="shared" ref="T47" si="6">+S47-O47</f>
        <v>1300</v>
      </c>
    </row>
    <row r="48" spans="1:23" s="164" customFormat="1" ht="15.75" x14ac:dyDescent="0.25">
      <c r="C48" s="289"/>
      <c r="E48" s="167"/>
      <c r="F48" s="167"/>
      <c r="G48" s="167"/>
      <c r="H48" s="167"/>
      <c r="J48" s="167"/>
      <c r="K48" s="167"/>
      <c r="L48" s="167"/>
      <c r="M48" s="167"/>
      <c r="N48" s="167"/>
      <c r="O48" s="167"/>
      <c r="P48" s="167"/>
      <c r="Q48" s="167"/>
      <c r="R48" s="167"/>
      <c r="S48" s="282"/>
      <c r="T48" s="282"/>
      <c r="W48" s="177"/>
    </row>
    <row r="49" spans="2:23" s="164" customFormat="1" ht="15.75" x14ac:dyDescent="0.25">
      <c r="C49" s="289"/>
      <c r="E49" s="167"/>
      <c r="F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282"/>
      <c r="T49" s="282"/>
    </row>
    <row r="50" spans="2:23" s="164" customFormat="1" ht="15.75" x14ac:dyDescent="0.25">
      <c r="C50" s="289"/>
      <c r="E50" s="167"/>
      <c r="F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282"/>
      <c r="T50" s="282"/>
    </row>
    <row r="51" spans="2:23" s="164" customFormat="1" ht="15.75" x14ac:dyDescent="0.25">
      <c r="C51" s="291"/>
      <c r="E51" s="167"/>
      <c r="F51" s="167"/>
      <c r="H51" s="292"/>
      <c r="I51" s="292"/>
      <c r="J51" s="292"/>
      <c r="K51" s="292"/>
      <c r="L51" s="292"/>
      <c r="M51" s="292"/>
      <c r="N51" s="292"/>
      <c r="O51" s="292"/>
      <c r="P51" s="292"/>
      <c r="Q51" s="167"/>
      <c r="R51" s="167"/>
      <c r="S51" s="282"/>
      <c r="T51" s="282"/>
    </row>
    <row r="52" spans="2:23" s="164" customFormat="1" ht="15.75" x14ac:dyDescent="0.25">
      <c r="C52" s="291"/>
      <c r="E52" s="167"/>
      <c r="H52" s="292"/>
      <c r="I52" s="292"/>
      <c r="J52" s="226"/>
      <c r="K52" s="292"/>
      <c r="L52" s="292"/>
      <c r="M52" s="292"/>
      <c r="N52" s="292"/>
      <c r="O52" s="292"/>
      <c r="P52" s="292"/>
      <c r="Q52" s="167"/>
      <c r="R52" s="167"/>
      <c r="S52" s="282"/>
      <c r="T52" s="282"/>
    </row>
    <row r="53" spans="2:23" s="164" customFormat="1" ht="15.75" x14ac:dyDescent="0.25">
      <c r="C53" s="291"/>
      <c r="E53" s="167"/>
      <c r="H53" s="292"/>
      <c r="I53" s="292"/>
      <c r="J53" s="226"/>
      <c r="K53" s="292"/>
      <c r="L53" s="292"/>
      <c r="M53" s="292"/>
      <c r="N53" s="292"/>
      <c r="O53" s="292"/>
      <c r="P53" s="292"/>
      <c r="Q53" s="167"/>
      <c r="R53" s="167"/>
      <c r="S53" s="282"/>
      <c r="T53" s="282"/>
      <c r="U53" s="175"/>
      <c r="V53" s="175"/>
      <c r="W53" s="177"/>
    </row>
    <row r="54" spans="2:23" s="164" customFormat="1" ht="15.75" x14ac:dyDescent="0.25">
      <c r="C54" s="291"/>
      <c r="D54" s="293"/>
      <c r="E54" s="167"/>
      <c r="F54" s="293"/>
      <c r="G54" s="293"/>
      <c r="H54" s="292"/>
      <c r="I54" s="292"/>
      <c r="J54" s="175"/>
      <c r="K54" s="175"/>
      <c r="L54" s="175"/>
      <c r="M54" s="175"/>
      <c r="N54" s="292"/>
      <c r="O54" s="292"/>
      <c r="P54" s="292"/>
      <c r="Q54" s="167"/>
      <c r="R54" s="167"/>
      <c r="S54" s="282"/>
      <c r="T54" s="282"/>
    </row>
    <row r="55" spans="2:23" s="164" customFormat="1" ht="15.75" x14ac:dyDescent="0.25">
      <c r="C55" s="291"/>
      <c r="D55" s="293"/>
      <c r="E55" s="167"/>
      <c r="F55" s="167"/>
      <c r="G55" s="293"/>
      <c r="H55" s="292"/>
      <c r="I55" s="292"/>
      <c r="J55" s="292"/>
      <c r="K55" s="292"/>
      <c r="L55" s="292"/>
      <c r="M55" s="292"/>
      <c r="N55" s="292"/>
      <c r="O55" s="292"/>
      <c r="P55" s="292"/>
      <c r="Q55" s="167"/>
      <c r="R55" s="167"/>
      <c r="S55" s="282"/>
      <c r="T55" s="282"/>
    </row>
    <row r="56" spans="2:23" s="164" customFormat="1" ht="15.75" x14ac:dyDescent="0.25">
      <c r="C56" s="291"/>
      <c r="D56" s="293"/>
      <c r="E56" s="167"/>
      <c r="F56" s="167"/>
      <c r="G56" s="293"/>
      <c r="H56" s="292"/>
      <c r="I56" s="292"/>
      <c r="J56" s="226"/>
      <c r="K56" s="292"/>
      <c r="L56" s="226"/>
      <c r="M56" s="292"/>
      <c r="N56" s="292"/>
      <c r="O56" s="292"/>
      <c r="P56" s="292"/>
      <c r="Q56" s="167"/>
      <c r="R56" s="167"/>
      <c r="S56" s="282"/>
      <c r="T56" s="282"/>
    </row>
    <row r="57" spans="2:23" s="164" customFormat="1" ht="15.75" x14ac:dyDescent="0.25">
      <c r="C57" s="291"/>
      <c r="D57" s="294"/>
      <c r="E57" s="167"/>
      <c r="F57" s="167"/>
      <c r="G57" s="293"/>
      <c r="H57" s="292"/>
      <c r="I57" s="292"/>
      <c r="J57" s="292"/>
      <c r="K57" s="292"/>
      <c r="L57" s="226"/>
      <c r="M57" s="292"/>
      <c r="N57" s="292"/>
      <c r="O57" s="292"/>
      <c r="P57" s="292"/>
      <c r="Q57" s="167"/>
      <c r="R57" s="167"/>
      <c r="S57" s="282"/>
      <c r="T57" s="282"/>
    </row>
    <row r="58" spans="2:23" s="164" customFormat="1" ht="15.75" x14ac:dyDescent="0.25">
      <c r="C58" s="291"/>
      <c r="D58" s="293"/>
      <c r="E58" s="167"/>
      <c r="F58" s="167"/>
      <c r="G58" s="293"/>
      <c r="H58" s="292"/>
      <c r="I58" s="292"/>
      <c r="J58" s="292"/>
      <c r="K58" s="292"/>
      <c r="L58" s="226"/>
      <c r="M58" s="292"/>
      <c r="N58" s="292"/>
      <c r="O58" s="292"/>
      <c r="P58" s="292"/>
      <c r="Q58" s="167"/>
      <c r="R58" s="167"/>
      <c r="S58" s="282"/>
      <c r="T58" s="282"/>
    </row>
    <row r="59" spans="2:23" s="164" customFormat="1" ht="15.75" x14ac:dyDescent="0.25">
      <c r="C59" s="291"/>
      <c r="D59" s="293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282"/>
      <c r="T59" s="282"/>
      <c r="W59" s="177"/>
    </row>
    <row r="60" spans="2:23" s="164" customFormat="1" ht="15.75" x14ac:dyDescent="0.25">
      <c r="C60" s="291"/>
      <c r="D60" s="293"/>
      <c r="E60" s="167"/>
      <c r="F60" s="167"/>
      <c r="G60" s="167"/>
      <c r="H60" s="292"/>
      <c r="I60" s="292"/>
      <c r="J60" s="292"/>
      <c r="K60" s="292"/>
      <c r="L60" s="292"/>
      <c r="M60" s="292"/>
      <c r="N60" s="292"/>
      <c r="O60" s="292"/>
      <c r="P60" s="292"/>
      <c r="Q60" s="167"/>
      <c r="R60" s="167"/>
      <c r="S60" s="282"/>
      <c r="T60" s="282"/>
    </row>
    <row r="61" spans="2:23" s="178" customFormat="1" x14ac:dyDescent="0.25">
      <c r="B61" s="225"/>
      <c r="C61" s="289"/>
      <c r="E61" s="226"/>
      <c r="G61" s="227"/>
      <c r="H61" s="292"/>
      <c r="I61" s="292"/>
      <c r="J61" s="292"/>
      <c r="K61" s="292"/>
      <c r="L61" s="292"/>
      <c r="M61" s="292"/>
      <c r="N61" s="292"/>
      <c r="O61" s="292"/>
      <c r="P61" s="292"/>
      <c r="Q61" s="226"/>
      <c r="R61" s="226"/>
      <c r="S61" s="226"/>
      <c r="T61" s="226"/>
    </row>
    <row r="62" spans="2:23" s="178" customFormat="1" x14ac:dyDescent="0.25">
      <c r="B62" s="256"/>
      <c r="C62" s="295"/>
      <c r="D62" s="296"/>
      <c r="E62" s="226"/>
      <c r="H62" s="292"/>
      <c r="I62" s="292"/>
      <c r="J62" s="292"/>
      <c r="K62" s="292"/>
      <c r="L62" s="292"/>
      <c r="M62" s="292"/>
      <c r="N62" s="292"/>
      <c r="O62" s="297"/>
      <c r="P62" s="292"/>
      <c r="Q62" s="226"/>
      <c r="R62" s="226"/>
      <c r="S62" s="226"/>
      <c r="T62" s="226"/>
    </row>
    <row r="63" spans="2:23" s="178" customFormat="1" x14ac:dyDescent="0.25">
      <c r="B63" s="256"/>
      <c r="C63" s="295"/>
      <c r="D63" s="296"/>
      <c r="E63" s="226"/>
      <c r="H63" s="292"/>
      <c r="I63" s="292"/>
      <c r="J63" s="292"/>
      <c r="K63" s="292"/>
      <c r="L63" s="292"/>
      <c r="M63" s="292"/>
      <c r="N63" s="292"/>
      <c r="O63" s="297"/>
      <c r="P63" s="292"/>
      <c r="Q63" s="226"/>
      <c r="R63" s="226"/>
      <c r="S63" s="226"/>
      <c r="T63" s="226"/>
    </row>
    <row r="64" spans="2:23" s="178" customFormat="1" x14ac:dyDescent="0.25">
      <c r="B64" s="256"/>
      <c r="C64" s="295"/>
      <c r="D64" s="296"/>
      <c r="E64" s="226"/>
      <c r="H64" s="292"/>
      <c r="I64" s="292"/>
      <c r="J64" s="292"/>
      <c r="K64" s="292"/>
      <c r="L64" s="292"/>
      <c r="M64" s="292"/>
      <c r="N64" s="292"/>
      <c r="O64" s="297"/>
      <c r="P64" s="292"/>
      <c r="Q64" s="226"/>
      <c r="R64" s="226"/>
      <c r="S64" s="226"/>
      <c r="T64" s="226"/>
    </row>
    <row r="65" spans="2:23" s="178" customFormat="1" x14ac:dyDescent="0.25">
      <c r="B65" s="256"/>
      <c r="C65" s="289"/>
      <c r="D65" s="296"/>
      <c r="E65" s="226"/>
      <c r="H65" s="292"/>
      <c r="I65" s="292"/>
      <c r="J65" s="292"/>
      <c r="K65" s="292"/>
      <c r="L65" s="292"/>
      <c r="M65" s="226"/>
      <c r="N65" s="292"/>
      <c r="O65" s="297"/>
      <c r="P65" s="292"/>
      <c r="Q65" s="226"/>
      <c r="R65" s="226"/>
      <c r="S65" s="226"/>
      <c r="T65" s="226"/>
    </row>
    <row r="66" spans="2:23" s="178" customFormat="1" x14ac:dyDescent="0.25">
      <c r="B66" s="225"/>
      <c r="C66" s="289"/>
      <c r="D66" s="296"/>
      <c r="E66" s="226"/>
      <c r="H66" s="292"/>
      <c r="I66" s="292"/>
      <c r="J66" s="292"/>
      <c r="K66" s="292"/>
      <c r="L66" s="292"/>
      <c r="M66" s="226"/>
      <c r="N66" s="292"/>
      <c r="O66" s="297"/>
      <c r="P66" s="292"/>
      <c r="Q66" s="226"/>
      <c r="R66" s="226"/>
      <c r="S66" s="226"/>
      <c r="T66" s="226"/>
    </row>
    <row r="67" spans="2:23" s="178" customFormat="1" x14ac:dyDescent="0.25">
      <c r="B67" s="225"/>
      <c r="C67" s="289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</row>
    <row r="68" spans="2:23" s="178" customFormat="1" x14ac:dyDescent="0.25">
      <c r="B68" s="225"/>
      <c r="C68" s="289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</row>
    <row r="69" spans="2:23" s="178" customFormat="1" x14ac:dyDescent="0.25">
      <c r="B69" s="225"/>
      <c r="C69" s="289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</row>
    <row r="70" spans="2:23" s="231" customFormat="1" x14ac:dyDescent="0.25">
      <c r="B70" s="256"/>
      <c r="C70" s="298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</row>
    <row r="71" spans="2:23" s="231" customFormat="1" x14ac:dyDescent="0.25">
      <c r="B71" s="256"/>
      <c r="C71" s="298"/>
      <c r="E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</row>
    <row r="72" spans="2:23" s="231" customFormat="1" x14ac:dyDescent="0.25">
      <c r="B72" s="256"/>
      <c r="C72" s="298"/>
      <c r="E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</row>
    <row r="73" spans="2:23" s="231" customFormat="1" x14ac:dyDescent="0.25">
      <c r="B73" s="256"/>
      <c r="C73" s="298"/>
      <c r="E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</row>
    <row r="74" spans="2:23" s="231" customFormat="1" x14ac:dyDescent="0.25">
      <c r="B74" s="256"/>
      <c r="C74" s="298"/>
      <c r="E74" s="175"/>
      <c r="F74" s="225"/>
      <c r="G74" s="225"/>
      <c r="H74" s="175"/>
      <c r="I74" s="175"/>
      <c r="J74" s="175"/>
      <c r="K74" s="175"/>
      <c r="L74" s="175"/>
      <c r="M74" s="175"/>
      <c r="N74" s="175"/>
      <c r="O74" s="175"/>
      <c r="P74" s="175"/>
      <c r="Q74" s="299"/>
      <c r="R74" s="299"/>
      <c r="S74" s="299"/>
      <c r="T74" s="299"/>
    </row>
    <row r="75" spans="2:23" s="231" customFormat="1" x14ac:dyDescent="0.25">
      <c r="B75" s="256"/>
      <c r="C75" s="298"/>
      <c r="E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</row>
    <row r="76" spans="2:23" s="231" customFormat="1" x14ac:dyDescent="0.25">
      <c r="B76" s="256"/>
      <c r="C76" s="298"/>
      <c r="E76" s="297"/>
      <c r="F76" s="256"/>
      <c r="G76" s="256"/>
      <c r="H76" s="297"/>
      <c r="I76" s="297"/>
      <c r="J76" s="297"/>
      <c r="K76" s="297"/>
      <c r="L76" s="297"/>
      <c r="M76" s="297"/>
      <c r="N76" s="297"/>
      <c r="O76" s="297"/>
      <c r="P76" s="297"/>
      <c r="Q76" s="299"/>
      <c r="R76" s="299"/>
      <c r="S76" s="299"/>
      <c r="T76" s="299"/>
    </row>
    <row r="77" spans="2:23" s="231" customFormat="1" x14ac:dyDescent="0.25">
      <c r="B77" s="256"/>
      <c r="C77" s="298"/>
      <c r="E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</row>
    <row r="78" spans="2:23" s="231" customFormat="1" x14ac:dyDescent="0.25">
      <c r="B78" s="256"/>
      <c r="C78" s="298"/>
      <c r="E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</row>
    <row r="79" spans="2:23" s="231" customFormat="1" x14ac:dyDescent="0.25">
      <c r="B79" s="256"/>
      <c r="C79" s="298"/>
      <c r="E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</row>
    <row r="80" spans="2:23" s="231" customFormat="1" x14ac:dyDescent="0.25">
      <c r="B80" s="256"/>
      <c r="C80" s="298"/>
      <c r="E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</row>
    <row r="81" spans="2:23" s="178" customFormat="1" x14ac:dyDescent="0.25">
      <c r="B81" s="225"/>
      <c r="C81" s="289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</row>
    <row r="82" spans="2:23" s="178" customFormat="1" x14ac:dyDescent="0.25">
      <c r="B82" s="225"/>
      <c r="C82" s="289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</row>
    <row r="83" spans="2:23" x14ac:dyDescent="0.25">
      <c r="B83" s="3" t="s">
        <v>65</v>
      </c>
      <c r="C83" s="4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41"/>
      <c r="Q83" s="2"/>
      <c r="R83" s="2"/>
      <c r="S83" s="2"/>
      <c r="T83" s="2"/>
    </row>
    <row r="84" spans="2:23" x14ac:dyDescent="0.25">
      <c r="B84" s="3" t="s">
        <v>74</v>
      </c>
      <c r="C84" s="40" t="s">
        <v>75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W84" s="4"/>
    </row>
    <row r="85" spans="2:23" x14ac:dyDescent="0.25">
      <c r="C85" s="40" t="s">
        <v>76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W85" s="4"/>
    </row>
    <row r="86" spans="2:23" x14ac:dyDescent="0.25">
      <c r="C86" s="40" t="s">
        <v>77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W86" s="4"/>
    </row>
    <row r="87" spans="2:23" x14ac:dyDescent="0.25">
      <c r="C87" s="40" t="s">
        <v>78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W87" s="4"/>
    </row>
    <row r="88" spans="2:23" x14ac:dyDescent="0.25">
      <c r="C88" s="40" t="s">
        <v>79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3" x14ac:dyDescent="0.25">
      <c r="C89" s="40" t="s">
        <v>80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3" x14ac:dyDescent="0.25">
      <c r="C90" s="40" t="s">
        <v>93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3" x14ac:dyDescent="0.25">
      <c r="C91" s="4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3" x14ac:dyDescent="0.25">
      <c r="C92" s="3"/>
      <c r="D92" s="3"/>
      <c r="E92" s="3"/>
    </row>
    <row r="93" spans="2:23" x14ac:dyDescent="0.25">
      <c r="E93" s="2" t="s">
        <v>184</v>
      </c>
    </row>
    <row r="96" spans="2:23" x14ac:dyDescent="0.25">
      <c r="F96" s="3"/>
      <c r="G96" s="3"/>
    </row>
    <row r="105" spans="3:11" ht="15.75" thickBot="1" x14ac:dyDescent="0.3">
      <c r="E105" s="3" t="s">
        <v>485</v>
      </c>
    </row>
    <row r="106" spans="3:11" s="3" customFormat="1" x14ac:dyDescent="0.25">
      <c r="E106" s="99" t="s">
        <v>82</v>
      </c>
      <c r="F106" s="300">
        <v>2016</v>
      </c>
      <c r="G106" s="301">
        <v>2017</v>
      </c>
      <c r="H106" s="302">
        <v>2018</v>
      </c>
      <c r="I106" s="303">
        <v>2019</v>
      </c>
      <c r="J106" s="303">
        <v>2020</v>
      </c>
      <c r="K106" s="303">
        <v>2021</v>
      </c>
    </row>
    <row r="107" spans="3:11" x14ac:dyDescent="0.25">
      <c r="C107" s="3"/>
      <c r="E107" s="100" t="s">
        <v>117</v>
      </c>
      <c r="F107" s="45">
        <v>3811</v>
      </c>
      <c r="G107" s="90"/>
      <c r="I107">
        <v>2814</v>
      </c>
      <c r="J107">
        <v>4180</v>
      </c>
    </row>
    <row r="108" spans="3:11" s="3" customFormat="1" x14ac:dyDescent="0.25">
      <c r="D108"/>
      <c r="E108" s="100" t="s">
        <v>118</v>
      </c>
      <c r="F108" s="45">
        <v>4126</v>
      </c>
      <c r="G108" s="90"/>
      <c r="H108"/>
      <c r="I108">
        <v>2883</v>
      </c>
      <c r="J108">
        <v>3413</v>
      </c>
      <c r="K108"/>
    </row>
    <row r="109" spans="3:11" x14ac:dyDescent="0.25">
      <c r="E109" s="100" t="s">
        <v>119</v>
      </c>
      <c r="F109" s="45">
        <v>5742</v>
      </c>
      <c r="G109" s="90"/>
      <c r="I109">
        <v>6262</v>
      </c>
      <c r="J109">
        <v>6532</v>
      </c>
    </row>
    <row r="110" spans="3:11" x14ac:dyDescent="0.25">
      <c r="E110" s="100" t="s">
        <v>120</v>
      </c>
      <c r="F110" s="45">
        <v>12651</v>
      </c>
      <c r="G110" s="90"/>
      <c r="I110">
        <v>2162</v>
      </c>
      <c r="J110">
        <v>128</v>
      </c>
    </row>
    <row r="111" spans="3:11" x14ac:dyDescent="0.25">
      <c r="E111" s="100" t="s">
        <v>121</v>
      </c>
      <c r="F111" s="45">
        <v>5651</v>
      </c>
      <c r="G111" s="90"/>
      <c r="I111">
        <v>6517</v>
      </c>
      <c r="J111">
        <v>3594</v>
      </c>
    </row>
    <row r="112" spans="3:11" x14ac:dyDescent="0.25">
      <c r="E112" s="100" t="s">
        <v>122</v>
      </c>
      <c r="F112" s="45">
        <v>8161</v>
      </c>
      <c r="G112" s="90"/>
      <c r="I112">
        <v>1498</v>
      </c>
      <c r="J112">
        <v>3961</v>
      </c>
    </row>
    <row r="113" spans="2:10" x14ac:dyDescent="0.25">
      <c r="D113" s="3"/>
      <c r="E113" s="100" t="s">
        <v>123</v>
      </c>
      <c r="F113" s="45">
        <v>6484</v>
      </c>
      <c r="G113" s="90"/>
      <c r="I113">
        <v>6873</v>
      </c>
      <c r="J113">
        <v>5060</v>
      </c>
    </row>
    <row r="114" spans="2:10" ht="15.75" thickBot="1" x14ac:dyDescent="0.3">
      <c r="D114" s="3"/>
      <c r="E114" s="101" t="s">
        <v>124</v>
      </c>
      <c r="F114" s="42">
        <v>8230</v>
      </c>
      <c r="G114" s="91"/>
      <c r="I114">
        <v>5505</v>
      </c>
      <c r="J114">
        <v>3150</v>
      </c>
    </row>
    <row r="115" spans="2:10" x14ac:dyDescent="0.25">
      <c r="D115" s="3"/>
      <c r="E115" s="102" t="s">
        <v>84</v>
      </c>
      <c r="I115">
        <v>7189</v>
      </c>
      <c r="J115">
        <v>5083</v>
      </c>
    </row>
    <row r="116" spans="2:10" x14ac:dyDescent="0.25">
      <c r="E116" s="102" t="s">
        <v>85</v>
      </c>
      <c r="F116" s="3"/>
      <c r="G116" s="3"/>
      <c r="I116">
        <v>6691</v>
      </c>
      <c r="J116">
        <v>3875</v>
      </c>
    </row>
    <row r="117" spans="2:10" x14ac:dyDescent="0.25">
      <c r="E117" s="102" t="s">
        <v>86</v>
      </c>
      <c r="F117" s="3"/>
      <c r="G117" s="3"/>
      <c r="I117">
        <v>6841</v>
      </c>
      <c r="J117">
        <v>4706</v>
      </c>
    </row>
    <row r="118" spans="2:10" x14ac:dyDescent="0.25">
      <c r="E118" s="102" t="s">
        <v>87</v>
      </c>
      <c r="F118" s="3"/>
      <c r="I118">
        <v>7148</v>
      </c>
      <c r="J118">
        <v>6947</v>
      </c>
    </row>
    <row r="119" spans="2:10" x14ac:dyDescent="0.25">
      <c r="C119" s="3"/>
    </row>
    <row r="120" spans="2:10" x14ac:dyDescent="0.25">
      <c r="C120" s="3"/>
    </row>
    <row r="121" spans="2:10" x14ac:dyDescent="0.25">
      <c r="C121" s="3"/>
    </row>
    <row r="122" spans="2:10" x14ac:dyDescent="0.25">
      <c r="C122" s="3"/>
    </row>
    <row r="123" spans="2:10" x14ac:dyDescent="0.25">
      <c r="C123" s="3"/>
    </row>
    <row r="124" spans="2:10" x14ac:dyDescent="0.25">
      <c r="C124" s="3"/>
    </row>
    <row r="126" spans="2:10" x14ac:dyDescent="0.25">
      <c r="B126" s="3" t="s">
        <v>81</v>
      </c>
    </row>
    <row r="127" spans="2:10" x14ac:dyDescent="0.25">
      <c r="C127" t="s">
        <v>82</v>
      </c>
      <c r="D127" t="s">
        <v>22</v>
      </c>
      <c r="E127" t="s">
        <v>83</v>
      </c>
      <c r="F127" t="s">
        <v>45</v>
      </c>
    </row>
    <row r="128" spans="2:10" x14ac:dyDescent="0.25">
      <c r="C128" s="44">
        <v>42248</v>
      </c>
      <c r="D128">
        <v>6540</v>
      </c>
      <c r="E128">
        <v>4941</v>
      </c>
    </row>
    <row r="129" spans="2:8" x14ac:dyDescent="0.25">
      <c r="C129" s="44">
        <v>42278</v>
      </c>
      <c r="D129">
        <v>11157</v>
      </c>
      <c r="E129">
        <v>5768</v>
      </c>
    </row>
    <row r="130" spans="2:8" x14ac:dyDescent="0.25">
      <c r="C130" s="44">
        <v>42309</v>
      </c>
      <c r="D130">
        <v>6993</v>
      </c>
      <c r="E130">
        <v>2988</v>
      </c>
      <c r="F130">
        <v>4682</v>
      </c>
    </row>
    <row r="131" spans="2:8" x14ac:dyDescent="0.25">
      <c r="C131" s="44">
        <v>42339</v>
      </c>
      <c r="D131">
        <v>9405</v>
      </c>
      <c r="E131" s="2">
        <v>7452</v>
      </c>
      <c r="F131" s="3"/>
      <c r="G131" s="3"/>
      <c r="H131" s="43"/>
    </row>
    <row r="132" spans="2:8" x14ac:dyDescent="0.25">
      <c r="C132" s="44">
        <v>42370</v>
      </c>
      <c r="D132">
        <v>3811</v>
      </c>
      <c r="E132">
        <v>4168</v>
      </c>
      <c r="F132">
        <v>2074</v>
      </c>
    </row>
    <row r="133" spans="2:8" x14ac:dyDescent="0.25">
      <c r="C133" s="44">
        <v>42401</v>
      </c>
      <c r="D133">
        <v>4126</v>
      </c>
      <c r="E133">
        <v>3225</v>
      </c>
    </row>
    <row r="134" spans="2:8" x14ac:dyDescent="0.25">
      <c r="C134" s="44">
        <v>42430</v>
      </c>
      <c r="D134">
        <v>5742</v>
      </c>
      <c r="E134">
        <v>3971</v>
      </c>
      <c r="F134">
        <v>10401</v>
      </c>
    </row>
    <row r="135" spans="2:8" x14ac:dyDescent="0.25">
      <c r="C135" s="44">
        <v>42461</v>
      </c>
      <c r="D135">
        <v>12651</v>
      </c>
      <c r="E135">
        <v>4337</v>
      </c>
      <c r="F135">
        <v>1250</v>
      </c>
    </row>
    <row r="136" spans="2:8" x14ac:dyDescent="0.25">
      <c r="C136" s="44">
        <v>42491</v>
      </c>
    </row>
    <row r="137" spans="2:8" x14ac:dyDescent="0.25">
      <c r="C137" s="44">
        <v>42522</v>
      </c>
    </row>
    <row r="138" spans="2:8" x14ac:dyDescent="0.25">
      <c r="C138" s="44">
        <v>42552</v>
      </c>
    </row>
    <row r="141" spans="2:8" x14ac:dyDescent="0.25">
      <c r="C141" t="s">
        <v>30</v>
      </c>
      <c r="D141">
        <f>SUM(D128:D140)</f>
        <v>60425</v>
      </c>
    </row>
    <row r="144" spans="2:8" x14ac:dyDescent="0.25">
      <c r="B144" s="3" t="s">
        <v>541</v>
      </c>
    </row>
    <row r="145" spans="4:10" x14ac:dyDescent="0.25">
      <c r="D145" t="s">
        <v>542</v>
      </c>
      <c r="E145">
        <v>200</v>
      </c>
      <c r="G145" t="s">
        <v>554</v>
      </c>
      <c r="I145" s="315">
        <v>100</v>
      </c>
      <c r="J145" t="s">
        <v>555</v>
      </c>
    </row>
    <row r="146" spans="4:10" x14ac:dyDescent="0.25">
      <c r="D146" t="s">
        <v>543</v>
      </c>
      <c r="E146" s="13">
        <v>90</v>
      </c>
      <c r="I146">
        <v>50</v>
      </c>
      <c r="J146" t="s">
        <v>556</v>
      </c>
    </row>
    <row r="147" spans="4:10" x14ac:dyDescent="0.25">
      <c r="D147" t="s">
        <v>544</v>
      </c>
      <c r="E147" s="13">
        <v>38</v>
      </c>
      <c r="I147">
        <v>20</v>
      </c>
      <c r="J147" t="s">
        <v>557</v>
      </c>
    </row>
    <row r="148" spans="4:10" x14ac:dyDescent="0.25">
      <c r="D148" t="s">
        <v>545</v>
      </c>
      <c r="E148">
        <v>200</v>
      </c>
      <c r="I148">
        <v>150</v>
      </c>
      <c r="J148" t="s">
        <v>558</v>
      </c>
    </row>
    <row r="149" spans="4:10" x14ac:dyDescent="0.25">
      <c r="D149" t="s">
        <v>546</v>
      </c>
      <c r="E149">
        <v>90</v>
      </c>
    </row>
    <row r="150" spans="4:10" x14ac:dyDescent="0.25">
      <c r="D150" t="s">
        <v>547</v>
      </c>
      <c r="E150">
        <v>300</v>
      </c>
      <c r="I150" s="315">
        <f>SUM(I145:I149)</f>
        <v>320</v>
      </c>
    </row>
    <row r="151" spans="4:10" x14ac:dyDescent="0.25">
      <c r="D151" t="s">
        <v>548</v>
      </c>
      <c r="E151">
        <v>150</v>
      </c>
    </row>
    <row r="152" spans="4:10" x14ac:dyDescent="0.25">
      <c r="D152" t="s">
        <v>549</v>
      </c>
      <c r="E152" s="13">
        <v>70</v>
      </c>
    </row>
    <row r="153" spans="4:10" x14ac:dyDescent="0.25">
      <c r="D153" t="s">
        <v>125</v>
      </c>
      <c r="E153">
        <v>300</v>
      </c>
    </row>
    <row r="154" spans="4:10" x14ac:dyDescent="0.25">
      <c r="D154" t="s">
        <v>553</v>
      </c>
      <c r="E154">
        <v>41</v>
      </c>
    </row>
    <row r="157" spans="4:10" ht="15.75" thickBot="1" x14ac:dyDescent="0.3"/>
    <row r="158" spans="4:10" ht="15.75" thickBot="1" x14ac:dyDescent="0.3">
      <c r="E158" s="114">
        <f>SUM(E145:E157)</f>
        <v>1479</v>
      </c>
    </row>
    <row r="159" spans="4:10" x14ac:dyDescent="0.25">
      <c r="D159" s="3" t="s">
        <v>550</v>
      </c>
    </row>
    <row r="160" spans="4:10" x14ac:dyDescent="0.25">
      <c r="D160" t="s">
        <v>551</v>
      </c>
      <c r="E160">
        <v>130</v>
      </c>
    </row>
    <row r="161" spans="4:5" x14ac:dyDescent="0.25">
      <c r="D161" t="s">
        <v>552</v>
      </c>
      <c r="E161">
        <v>70</v>
      </c>
    </row>
  </sheetData>
  <pageMargins left="0.7" right="0.7" top="0.75" bottom="0.75" header="0.3" footer="0.3"/>
  <pageSetup paperSize="9" scale="68" orientation="landscape" r:id="rId1"/>
  <colBreaks count="1" manualBreakCount="1">
    <brk id="2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tabSelected="1" topLeftCell="C6" zoomScale="115" zoomScaleNormal="115" workbookViewId="0">
      <selection activeCell="J24" sqref="J24"/>
    </sheetView>
  </sheetViews>
  <sheetFormatPr defaultRowHeight="15" x14ac:dyDescent="0.25"/>
  <cols>
    <col min="2" max="2" width="31" customWidth="1"/>
    <col min="3" max="3" width="7.28515625" customWidth="1"/>
    <col min="4" max="4" width="8.5703125" customWidth="1"/>
    <col min="5" max="5" width="17.42578125" customWidth="1"/>
    <col min="6" max="6" width="9.140625" style="2"/>
    <col min="10" max="10" width="16" customWidth="1"/>
    <col min="11" max="11" width="24.7109375" customWidth="1"/>
    <col min="12" max="12" width="11.5703125" customWidth="1"/>
    <col min="13" max="13" width="12.7109375" customWidth="1"/>
  </cols>
  <sheetData>
    <row r="1" spans="1:13" x14ac:dyDescent="0.25">
      <c r="A1" t="s">
        <v>703</v>
      </c>
    </row>
    <row r="2" spans="1:13" x14ac:dyDescent="0.25">
      <c r="B2" t="s">
        <v>424</v>
      </c>
    </row>
    <row r="4" spans="1:13" s="3" customFormat="1" x14ac:dyDescent="0.25">
      <c r="B4" s="3" t="s">
        <v>420</v>
      </c>
      <c r="C4" s="3" t="s">
        <v>421</v>
      </c>
      <c r="D4" s="3" t="s">
        <v>422</v>
      </c>
      <c r="E4" s="3" t="s">
        <v>423</v>
      </c>
      <c r="F4" s="60"/>
      <c r="J4" s="3" t="s">
        <v>420</v>
      </c>
      <c r="K4" s="3" t="s">
        <v>421</v>
      </c>
      <c r="L4" s="3" t="s">
        <v>422</v>
      </c>
      <c r="M4" s="3" t="s">
        <v>423</v>
      </c>
    </row>
    <row r="5" spans="1:13" s="3" customFormat="1" x14ac:dyDescent="0.25">
      <c r="F5" s="60"/>
    </row>
    <row r="6" spans="1:13" x14ac:dyDescent="0.25">
      <c r="B6" s="3" t="s">
        <v>419</v>
      </c>
      <c r="J6" s="3" t="s">
        <v>419</v>
      </c>
    </row>
    <row r="7" spans="1:13" x14ac:dyDescent="0.25">
      <c r="A7">
        <v>1</v>
      </c>
      <c r="B7" s="3" t="s">
        <v>426</v>
      </c>
      <c r="C7" t="s">
        <v>425</v>
      </c>
      <c r="D7">
        <v>25</v>
      </c>
      <c r="I7">
        <v>1</v>
      </c>
      <c r="J7" t="s">
        <v>955</v>
      </c>
      <c r="K7" t="s">
        <v>953</v>
      </c>
    </row>
    <row r="8" spans="1:13" x14ac:dyDescent="0.25">
      <c r="A8">
        <v>2</v>
      </c>
      <c r="B8" s="178" t="s">
        <v>145</v>
      </c>
      <c r="C8" s="178" t="s">
        <v>358</v>
      </c>
      <c r="D8">
        <v>25</v>
      </c>
      <c r="J8" s="3" t="s">
        <v>1715</v>
      </c>
      <c r="K8" t="s">
        <v>1716</v>
      </c>
    </row>
    <row r="9" spans="1:13" x14ac:dyDescent="0.25">
      <c r="A9">
        <v>3</v>
      </c>
      <c r="B9" s="3" t="s">
        <v>431</v>
      </c>
      <c r="C9" s="178" t="s">
        <v>432</v>
      </c>
      <c r="D9">
        <v>9</v>
      </c>
      <c r="J9" s="3" t="s">
        <v>1277</v>
      </c>
      <c r="K9" t="s">
        <v>1735</v>
      </c>
    </row>
    <row r="10" spans="1:13" x14ac:dyDescent="0.25">
      <c r="B10" s="3" t="s">
        <v>333</v>
      </c>
      <c r="C10" s="178" t="s">
        <v>333</v>
      </c>
      <c r="D10">
        <v>5</v>
      </c>
      <c r="K10" t="s">
        <v>1736</v>
      </c>
    </row>
    <row r="11" spans="1:13" x14ac:dyDescent="0.25">
      <c r="B11" s="3" t="s">
        <v>203</v>
      </c>
      <c r="C11" s="3" t="s">
        <v>434</v>
      </c>
      <c r="D11">
        <v>8</v>
      </c>
      <c r="J11" s="3" t="s">
        <v>1737</v>
      </c>
      <c r="K11" t="s">
        <v>1738</v>
      </c>
    </row>
    <row r="12" spans="1:13" x14ac:dyDescent="0.25">
      <c r="D12">
        <f>SUM(D7:D11)</f>
        <v>72</v>
      </c>
    </row>
    <row r="13" spans="1:13" x14ac:dyDescent="0.25">
      <c r="B13" t="s">
        <v>429</v>
      </c>
    </row>
    <row r="14" spans="1:13" x14ac:dyDescent="0.25">
      <c r="A14">
        <v>1</v>
      </c>
      <c r="B14" t="s">
        <v>428</v>
      </c>
      <c r="C14" t="s">
        <v>430</v>
      </c>
      <c r="D14">
        <v>10</v>
      </c>
      <c r="E14">
        <v>45</v>
      </c>
    </row>
    <row r="15" spans="1:13" x14ac:dyDescent="0.25">
      <c r="C15" t="s">
        <v>433</v>
      </c>
    </row>
    <row r="17" spans="2:14" x14ac:dyDescent="0.25">
      <c r="B17" s="3" t="s">
        <v>479</v>
      </c>
    </row>
    <row r="18" spans="2:14" x14ac:dyDescent="0.25">
      <c r="B18" t="s">
        <v>472</v>
      </c>
      <c r="C18" t="s">
        <v>476</v>
      </c>
      <c r="D18" t="s">
        <v>475</v>
      </c>
      <c r="E18" t="s">
        <v>474</v>
      </c>
      <c r="F18" s="2" t="s">
        <v>480</v>
      </c>
      <c r="K18" t="s">
        <v>1705</v>
      </c>
    </row>
    <row r="19" spans="2:14" ht="15.75" x14ac:dyDescent="0.25">
      <c r="B19" t="s">
        <v>136</v>
      </c>
      <c r="J19">
        <v>1</v>
      </c>
      <c r="K19" t="s">
        <v>1706</v>
      </c>
      <c r="L19" s="169" t="s">
        <v>1707</v>
      </c>
      <c r="M19">
        <v>28</v>
      </c>
      <c r="N19">
        <v>110</v>
      </c>
    </row>
    <row r="20" spans="2:14" x14ac:dyDescent="0.25">
      <c r="B20" t="s">
        <v>473</v>
      </c>
    </row>
    <row r="21" spans="2:14" x14ac:dyDescent="0.25">
      <c r="B21" t="s">
        <v>13</v>
      </c>
      <c r="C21">
        <v>669</v>
      </c>
      <c r="D21">
        <v>355</v>
      </c>
      <c r="E21">
        <f>+C21-D21</f>
        <v>314</v>
      </c>
      <c r="F21" s="2">
        <f>+E21/C21*100</f>
        <v>46.935724962630793</v>
      </c>
      <c r="K21" t="s">
        <v>1719</v>
      </c>
    </row>
    <row r="22" spans="2:14" x14ac:dyDescent="0.25">
      <c r="B22" t="s">
        <v>11</v>
      </c>
      <c r="C22">
        <v>106</v>
      </c>
      <c r="D22">
        <v>83</v>
      </c>
      <c r="E22">
        <f>+C22-D22</f>
        <v>23</v>
      </c>
      <c r="F22" s="2">
        <f t="shared" ref="F22:F34" si="0">+E22/C22*100</f>
        <v>21.69811320754717</v>
      </c>
      <c r="K22" t="s">
        <v>1742</v>
      </c>
      <c r="L22" t="s">
        <v>1743</v>
      </c>
      <c r="M22" t="s">
        <v>1744</v>
      </c>
    </row>
    <row r="23" spans="2:14" x14ac:dyDescent="0.25">
      <c r="B23" t="s">
        <v>478</v>
      </c>
      <c r="C23">
        <v>155</v>
      </c>
      <c r="D23">
        <v>86</v>
      </c>
      <c r="E23">
        <f t="shared" ref="E23:E34" si="1">+C23-D23</f>
        <v>69</v>
      </c>
      <c r="F23" s="2">
        <f t="shared" si="0"/>
        <v>44.516129032258064</v>
      </c>
    </row>
    <row r="24" spans="2:14" x14ac:dyDescent="0.25">
      <c r="B24" t="s">
        <v>195</v>
      </c>
      <c r="C24">
        <v>59</v>
      </c>
      <c r="D24">
        <v>34</v>
      </c>
      <c r="E24">
        <f t="shared" si="1"/>
        <v>25</v>
      </c>
      <c r="F24" s="2">
        <f t="shared" si="0"/>
        <v>42.372881355932201</v>
      </c>
    </row>
    <row r="25" spans="2:14" x14ac:dyDescent="0.25">
      <c r="B25" t="s">
        <v>231</v>
      </c>
      <c r="C25">
        <v>99</v>
      </c>
      <c r="D25">
        <v>41</v>
      </c>
      <c r="E25">
        <f t="shared" si="1"/>
        <v>58</v>
      </c>
      <c r="F25" s="2">
        <f t="shared" si="0"/>
        <v>58.585858585858588</v>
      </c>
    </row>
    <row r="26" spans="2:14" x14ac:dyDescent="0.25">
      <c r="B26" t="s">
        <v>276</v>
      </c>
      <c r="C26">
        <v>31</v>
      </c>
      <c r="D26">
        <v>22</v>
      </c>
      <c r="E26">
        <f t="shared" si="1"/>
        <v>9</v>
      </c>
      <c r="F26" s="2">
        <f t="shared" si="0"/>
        <v>29.032258064516132</v>
      </c>
    </row>
    <row r="27" spans="2:14" x14ac:dyDescent="0.25">
      <c r="B27" t="s">
        <v>481</v>
      </c>
      <c r="C27">
        <v>59</v>
      </c>
      <c r="D27">
        <v>26</v>
      </c>
      <c r="E27">
        <f t="shared" si="1"/>
        <v>33</v>
      </c>
      <c r="F27" s="2">
        <f t="shared" si="0"/>
        <v>55.932203389830505</v>
      </c>
    </row>
    <row r="28" spans="2:14" x14ac:dyDescent="0.25">
      <c r="B28" t="s">
        <v>265</v>
      </c>
      <c r="C28">
        <v>59</v>
      </c>
      <c r="D28">
        <v>34</v>
      </c>
      <c r="E28">
        <f t="shared" si="1"/>
        <v>25</v>
      </c>
      <c r="F28" s="2">
        <f t="shared" si="0"/>
        <v>42.372881355932201</v>
      </c>
    </row>
    <row r="29" spans="2:14" x14ac:dyDescent="0.25">
      <c r="B29" t="s">
        <v>15</v>
      </c>
      <c r="C29">
        <v>200</v>
      </c>
      <c r="D29">
        <v>111</v>
      </c>
      <c r="E29">
        <f t="shared" si="1"/>
        <v>89</v>
      </c>
      <c r="F29" s="2">
        <f t="shared" si="0"/>
        <v>44.5</v>
      </c>
    </row>
    <row r="30" spans="2:14" x14ac:dyDescent="0.25">
      <c r="B30" t="s">
        <v>482</v>
      </c>
      <c r="C30">
        <v>12</v>
      </c>
      <c r="D30">
        <v>6</v>
      </c>
      <c r="E30">
        <f t="shared" si="1"/>
        <v>6</v>
      </c>
      <c r="F30" s="2">
        <f t="shared" si="0"/>
        <v>50</v>
      </c>
    </row>
    <row r="31" spans="2:14" x14ac:dyDescent="0.25">
      <c r="B31" t="s">
        <v>483</v>
      </c>
      <c r="C31">
        <v>10</v>
      </c>
      <c r="D31">
        <v>4</v>
      </c>
      <c r="E31">
        <f t="shared" si="1"/>
        <v>6</v>
      </c>
      <c r="F31" s="2">
        <f t="shared" si="0"/>
        <v>60</v>
      </c>
    </row>
    <row r="32" spans="2:14" x14ac:dyDescent="0.25">
      <c r="B32" t="s">
        <v>260</v>
      </c>
      <c r="C32">
        <v>25</v>
      </c>
      <c r="D32">
        <v>9</v>
      </c>
      <c r="E32">
        <f t="shared" si="1"/>
        <v>16</v>
      </c>
      <c r="F32" s="2">
        <f t="shared" si="0"/>
        <v>64</v>
      </c>
    </row>
    <row r="33" spans="2:6" x14ac:dyDescent="0.25">
      <c r="B33" t="s">
        <v>484</v>
      </c>
      <c r="C33">
        <v>103</v>
      </c>
      <c r="D33">
        <v>49</v>
      </c>
      <c r="E33">
        <f t="shared" si="1"/>
        <v>54</v>
      </c>
      <c r="F33" s="2">
        <f t="shared" si="0"/>
        <v>52.427184466019419</v>
      </c>
    </row>
    <row r="34" spans="2:6" x14ac:dyDescent="0.25">
      <c r="B34" t="s">
        <v>73</v>
      </c>
      <c r="C34">
        <v>40</v>
      </c>
      <c r="D34">
        <v>36</v>
      </c>
      <c r="E34">
        <f t="shared" si="1"/>
        <v>4</v>
      </c>
      <c r="F34" s="2">
        <f t="shared" si="0"/>
        <v>10</v>
      </c>
    </row>
    <row r="45" spans="2:6" x14ac:dyDescent="0.25">
      <c r="B45" t="s">
        <v>983</v>
      </c>
    </row>
    <row r="46" spans="2:6" x14ac:dyDescent="0.25">
      <c r="C46" t="s">
        <v>985</v>
      </c>
      <c r="D46" t="s">
        <v>986</v>
      </c>
    </row>
    <row r="47" spans="2:6" x14ac:dyDescent="0.25">
      <c r="B47" s="3" t="s">
        <v>984</v>
      </c>
    </row>
    <row r="48" spans="2:6" x14ac:dyDescent="0.25">
      <c r="B48" t="s">
        <v>987</v>
      </c>
      <c r="C48" s="14"/>
    </row>
    <row r="50" spans="1:5" x14ac:dyDescent="0.25">
      <c r="B50" s="3" t="s">
        <v>991</v>
      </c>
    </row>
    <row r="51" spans="1:5" x14ac:dyDescent="0.25">
      <c r="A51" s="214" t="s">
        <v>264</v>
      </c>
      <c r="B51" s="178" t="s">
        <v>574</v>
      </c>
      <c r="C51" s="178"/>
      <c r="E51" t="s">
        <v>994</v>
      </c>
    </row>
    <row r="52" spans="1:5" x14ac:dyDescent="0.25">
      <c r="B52" s="214" t="s">
        <v>11</v>
      </c>
    </row>
    <row r="53" spans="1:5" x14ac:dyDescent="0.25">
      <c r="A53" s="331" t="s">
        <v>589</v>
      </c>
      <c r="B53" s="337" t="s">
        <v>590</v>
      </c>
      <c r="C53" s="337"/>
      <c r="D53" s="337"/>
      <c r="E53" t="s">
        <v>998</v>
      </c>
    </row>
    <row r="54" spans="1:5" x14ac:dyDescent="0.25">
      <c r="A54" s="331" t="s">
        <v>589</v>
      </c>
      <c r="B54" s="337" t="s">
        <v>590</v>
      </c>
      <c r="C54" s="337"/>
      <c r="D54" s="337"/>
      <c r="E54" t="s">
        <v>998</v>
      </c>
    </row>
    <row r="56" spans="1:5" x14ac:dyDescent="0.25">
      <c r="B56" s="3" t="s">
        <v>195</v>
      </c>
    </row>
    <row r="57" spans="1:5" x14ac:dyDescent="0.25">
      <c r="A57" s="14" t="s">
        <v>275</v>
      </c>
      <c r="B57" s="190">
        <v>8</v>
      </c>
      <c r="C57" s="190">
        <v>36</v>
      </c>
      <c r="D57" s="146" t="s">
        <v>274</v>
      </c>
    </row>
    <row r="58" spans="1:5" x14ac:dyDescent="0.25">
      <c r="A58" s="238" t="s">
        <v>563</v>
      </c>
      <c r="B58" s="190">
        <v>14</v>
      </c>
      <c r="C58" s="178">
        <v>52</v>
      </c>
      <c r="D58" s="178" t="s">
        <v>560</v>
      </c>
    </row>
    <row r="59" spans="1:5" ht="15.75" x14ac:dyDescent="0.25">
      <c r="B59" s="154" t="s">
        <v>147</v>
      </c>
    </row>
    <row r="60" spans="1:5" x14ac:dyDescent="0.25">
      <c r="A60" s="178" t="s">
        <v>203</v>
      </c>
      <c r="B60" s="178" t="s">
        <v>387</v>
      </c>
      <c r="C60" s="171" t="s">
        <v>503</v>
      </c>
    </row>
    <row r="61" spans="1:5" x14ac:dyDescent="0.25">
      <c r="B61" s="225" t="s">
        <v>231</v>
      </c>
    </row>
    <row r="62" spans="1:5" x14ac:dyDescent="0.25">
      <c r="A62" s="178" t="s">
        <v>203</v>
      </c>
      <c r="B62" s="178" t="s">
        <v>390</v>
      </c>
      <c r="C62" s="178"/>
    </row>
    <row r="63" spans="1:5" x14ac:dyDescent="0.25">
      <c r="A63" s="178" t="s">
        <v>203</v>
      </c>
      <c r="B63" s="178" t="s">
        <v>569</v>
      </c>
      <c r="C63" s="225"/>
    </row>
    <row r="64" spans="1:5" x14ac:dyDescent="0.25">
      <c r="A64" s="178" t="s">
        <v>203</v>
      </c>
      <c r="B64" s="178" t="s">
        <v>569</v>
      </c>
      <c r="C64" s="225"/>
    </row>
    <row r="65" spans="1:3" x14ac:dyDescent="0.25">
      <c r="A65" s="225" t="s">
        <v>203</v>
      </c>
      <c r="B65" s="347" t="s">
        <v>778</v>
      </c>
      <c r="C65" s="178" t="s">
        <v>501</v>
      </c>
    </row>
    <row r="66" spans="1:3" x14ac:dyDescent="0.25">
      <c r="A66" s="225" t="s">
        <v>203</v>
      </c>
      <c r="B66" s="347" t="s">
        <v>833</v>
      </c>
      <c r="C66" s="178"/>
    </row>
    <row r="68" spans="1:3" x14ac:dyDescent="0.25">
      <c r="B68" s="379" t="s">
        <v>261</v>
      </c>
    </row>
    <row r="69" spans="1:3" x14ac:dyDescent="0.25">
      <c r="A69" s="178" t="s">
        <v>203</v>
      </c>
      <c r="B69" s="178" t="s">
        <v>636</v>
      </c>
      <c r="C69" s="214"/>
    </row>
    <row r="70" spans="1:3" x14ac:dyDescent="0.25">
      <c r="A70" s="178" t="s">
        <v>203</v>
      </c>
      <c r="B70" s="325" t="s">
        <v>388</v>
      </c>
      <c r="C70" s="214"/>
    </row>
    <row r="72" spans="1:3" x14ac:dyDescent="0.25">
      <c r="B72" s="3" t="s">
        <v>265</v>
      </c>
    </row>
    <row r="73" spans="1:3" x14ac:dyDescent="0.25">
      <c r="A73" s="178" t="s">
        <v>399</v>
      </c>
      <c r="B73" s="178" t="s">
        <v>398</v>
      </c>
      <c r="C73" s="178"/>
    </row>
    <row r="74" spans="1:3" x14ac:dyDescent="0.25">
      <c r="A74" s="319" t="s">
        <v>793</v>
      </c>
      <c r="B74" s="347" t="s">
        <v>773</v>
      </c>
      <c r="C74" s="178" t="s">
        <v>790</v>
      </c>
    </row>
    <row r="76" spans="1:3" x14ac:dyDescent="0.25">
      <c r="B76" s="3" t="s">
        <v>15</v>
      </c>
    </row>
    <row r="77" spans="1:3" x14ac:dyDescent="0.25">
      <c r="A77" s="178" t="s">
        <v>225</v>
      </c>
      <c r="B77" s="178" t="s">
        <v>408</v>
      </c>
      <c r="C77" s="214"/>
    </row>
    <row r="78" spans="1:3" x14ac:dyDescent="0.25">
      <c r="A78" s="178" t="s">
        <v>225</v>
      </c>
      <c r="B78" s="178" t="s">
        <v>409</v>
      </c>
      <c r="C78" s="214"/>
    </row>
    <row r="79" spans="1:3" x14ac:dyDescent="0.25">
      <c r="B79" s="3" t="s">
        <v>260</v>
      </c>
    </row>
    <row r="80" spans="1:3" x14ac:dyDescent="0.25">
      <c r="B80" s="347" t="s">
        <v>780</v>
      </c>
    </row>
    <row r="82" spans="1:3" x14ac:dyDescent="0.25">
      <c r="B82" s="146" t="s">
        <v>510</v>
      </c>
    </row>
    <row r="84" spans="1:3" x14ac:dyDescent="0.25">
      <c r="A84" s="319" t="s">
        <v>659</v>
      </c>
      <c r="B84" s="178" t="s">
        <v>660</v>
      </c>
      <c r="C84" s="17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47"/>
  <sheetViews>
    <sheetView zoomScaleNormal="100" workbookViewId="0">
      <pane ySplit="1" topLeftCell="A76" activePane="bottomLeft" state="frozen"/>
      <selection activeCell="D14" sqref="D14"/>
      <selection pane="bottomLeft" activeCell="C29" sqref="C29"/>
    </sheetView>
  </sheetViews>
  <sheetFormatPr defaultRowHeight="17.25" x14ac:dyDescent="0.3"/>
  <cols>
    <col min="2" max="2" width="37" customWidth="1"/>
    <col min="3" max="3" width="11.42578125" style="147" customWidth="1"/>
    <col min="4" max="4" width="11.42578125" style="19" customWidth="1"/>
    <col min="5" max="5" width="11.42578125" style="2" customWidth="1"/>
    <col min="6" max="6" width="11.42578125" style="19" customWidth="1"/>
    <col min="7" max="14" width="11.42578125" style="2" customWidth="1"/>
    <col min="15" max="15" width="13" style="37" bestFit="1" customWidth="1"/>
    <col min="17" max="17" width="9.140625" style="2"/>
    <col min="18" max="18" width="22.5703125" customWidth="1"/>
  </cols>
  <sheetData>
    <row r="1" spans="1:19" ht="31.5" x14ac:dyDescent="0.5">
      <c r="A1" t="s">
        <v>703</v>
      </c>
      <c r="B1" s="262" t="s">
        <v>180</v>
      </c>
      <c r="C1" s="263" t="s">
        <v>240</v>
      </c>
      <c r="D1" s="18" t="s">
        <v>241</v>
      </c>
      <c r="E1" s="17" t="s">
        <v>242</v>
      </c>
      <c r="F1" s="263" t="s">
        <v>243</v>
      </c>
      <c r="G1" s="18" t="s">
        <v>244</v>
      </c>
      <c r="H1" s="17" t="s">
        <v>245</v>
      </c>
      <c r="I1" s="263" t="s">
        <v>246</v>
      </c>
      <c r="J1" s="18" t="s">
        <v>247</v>
      </c>
      <c r="K1" s="17" t="s">
        <v>248</v>
      </c>
      <c r="L1" s="263" t="s">
        <v>249</v>
      </c>
      <c r="M1" s="18" t="s">
        <v>250</v>
      </c>
      <c r="N1" s="17" t="s">
        <v>251</v>
      </c>
      <c r="O1" s="271"/>
      <c r="P1" s="175" t="s">
        <v>442</v>
      </c>
    </row>
    <row r="2" spans="1:19" x14ac:dyDescent="0.3">
      <c r="B2" s="98" t="s">
        <v>104</v>
      </c>
      <c r="C2" s="264"/>
      <c r="D2" s="161"/>
      <c r="E2" s="19"/>
      <c r="F2" s="161"/>
      <c r="G2" s="19"/>
      <c r="I2" s="19"/>
      <c r="K2" s="19"/>
      <c r="M2" s="19"/>
      <c r="O2" s="272"/>
    </row>
    <row r="3" spans="1:19" s="11" customFormat="1" ht="15.75" x14ac:dyDescent="0.25">
      <c r="B3" s="20" t="s">
        <v>50</v>
      </c>
      <c r="C3" s="241"/>
      <c r="D3" s="258"/>
      <c r="E3" s="21"/>
      <c r="F3" s="258"/>
      <c r="G3" s="21"/>
      <c r="H3" s="22"/>
      <c r="I3" s="21"/>
      <c r="J3" s="22"/>
      <c r="K3" s="21"/>
      <c r="L3" s="22"/>
      <c r="M3" s="21"/>
      <c r="N3" s="22"/>
      <c r="O3" s="35"/>
      <c r="Q3" s="22"/>
    </row>
    <row r="4" spans="1:19" s="11" customFormat="1" ht="15.75" x14ac:dyDescent="0.25">
      <c r="B4" s="23" t="s">
        <v>51</v>
      </c>
      <c r="C4" s="241">
        <f>+'daily sales'!B139</f>
        <v>3230</v>
      </c>
      <c r="D4" s="258"/>
      <c r="E4" s="21"/>
      <c r="F4" s="258"/>
      <c r="G4" s="21"/>
      <c r="H4" s="22"/>
      <c r="I4" s="21"/>
      <c r="J4" s="22"/>
      <c r="K4" s="21"/>
      <c r="L4" s="22"/>
      <c r="M4" s="21"/>
      <c r="N4" s="22"/>
      <c r="O4" s="35"/>
      <c r="Q4" s="22"/>
    </row>
    <row r="5" spans="1:19" s="11" customFormat="1" ht="16.5" thickBot="1" x14ac:dyDescent="0.3">
      <c r="B5" s="23" t="s">
        <v>105</v>
      </c>
      <c r="C5" s="241"/>
      <c r="D5" s="258"/>
      <c r="E5" s="21"/>
      <c r="F5" s="258"/>
      <c r="G5" s="21"/>
      <c r="H5" s="22"/>
      <c r="I5" s="21"/>
      <c r="J5" s="22"/>
      <c r="K5" s="21"/>
      <c r="L5" s="22"/>
      <c r="M5" s="21"/>
      <c r="N5" s="22"/>
      <c r="O5" s="35"/>
      <c r="Q5" s="22"/>
    </row>
    <row r="6" spans="1:19" s="11" customFormat="1" ht="16.5" thickBot="1" x14ac:dyDescent="0.3">
      <c r="B6" s="20"/>
      <c r="C6" s="216">
        <f>SUM(C4:C5)</f>
        <v>3230</v>
      </c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Q6" s="22"/>
    </row>
    <row r="7" spans="1:19" s="11" customFormat="1" ht="15.75" x14ac:dyDescent="0.25">
      <c r="B7" s="23"/>
      <c r="C7" s="241"/>
      <c r="D7" s="165"/>
      <c r="E7" s="241"/>
      <c r="F7" s="165"/>
      <c r="G7" s="241"/>
      <c r="H7" s="151"/>
      <c r="I7" s="241"/>
      <c r="J7" s="151"/>
      <c r="K7" s="241"/>
      <c r="L7" s="151"/>
      <c r="M7" s="241"/>
      <c r="N7" s="151"/>
      <c r="O7" s="35"/>
      <c r="Q7" s="6"/>
      <c r="R7"/>
      <c r="S7"/>
    </row>
    <row r="8" spans="1:19" s="11" customFormat="1" ht="15.75" x14ac:dyDescent="0.25">
      <c r="B8" s="20" t="s">
        <v>52</v>
      </c>
      <c r="C8" s="241"/>
      <c r="D8" s="258"/>
      <c r="E8" s="21"/>
      <c r="F8" s="258"/>
      <c r="G8" s="21"/>
      <c r="H8" s="22"/>
      <c r="I8" s="21"/>
      <c r="J8" s="22"/>
      <c r="K8" s="21"/>
      <c r="L8" s="22"/>
      <c r="M8" s="21"/>
      <c r="N8" s="22"/>
      <c r="O8" s="35"/>
      <c r="Q8" s="6"/>
      <c r="R8"/>
      <c r="S8"/>
    </row>
    <row r="9" spans="1:19" s="11" customFormat="1" ht="15.75" x14ac:dyDescent="0.25">
      <c r="B9" s="23" t="s">
        <v>181</v>
      </c>
      <c r="C9" s="241"/>
      <c r="D9" s="258"/>
      <c r="E9" s="21"/>
      <c r="F9" s="258"/>
      <c r="G9" s="21"/>
      <c r="H9" s="22"/>
      <c r="I9" s="21"/>
      <c r="J9" s="22"/>
      <c r="K9" s="21"/>
      <c r="L9" s="22"/>
      <c r="M9" s="21"/>
      <c r="N9" s="22"/>
      <c r="O9" s="35"/>
      <c r="Q9"/>
      <c r="R9"/>
      <c r="S9"/>
    </row>
    <row r="10" spans="1:19" s="11" customFormat="1" ht="15.75" x14ac:dyDescent="0.25">
      <c r="B10" s="23" t="s">
        <v>381</v>
      </c>
      <c r="C10" s="241"/>
      <c r="D10" s="258"/>
      <c r="E10" s="21"/>
      <c r="F10" s="258"/>
      <c r="G10" s="21"/>
      <c r="H10" s="22"/>
      <c r="I10" s="21"/>
      <c r="J10" s="22"/>
      <c r="K10" s="21"/>
      <c r="L10" s="22"/>
      <c r="M10" s="21"/>
      <c r="N10" s="22"/>
      <c r="O10" s="35"/>
      <c r="Q10"/>
      <c r="R10"/>
      <c r="S10"/>
    </row>
    <row r="11" spans="1:19" s="11" customFormat="1" ht="16.5" thickBot="1" x14ac:dyDescent="0.3">
      <c r="B11" s="23" t="s">
        <v>167</v>
      </c>
      <c r="C11" s="241"/>
      <c r="D11" s="25"/>
      <c r="E11" s="21"/>
      <c r="F11" s="25"/>
      <c r="G11" s="21"/>
      <c r="H11" s="22"/>
      <c r="I11" s="21"/>
      <c r="J11" s="22"/>
      <c r="K11" s="21"/>
      <c r="L11" s="22"/>
      <c r="M11" s="21"/>
      <c r="N11" s="22"/>
      <c r="O11" s="35"/>
      <c r="Q11"/>
      <c r="R11"/>
      <c r="S11"/>
    </row>
    <row r="12" spans="1:19" s="11" customFormat="1" ht="16.5" thickBot="1" x14ac:dyDescent="0.3">
      <c r="B12" s="23"/>
      <c r="C12" s="217"/>
      <c r="D12" s="31"/>
      <c r="E12" s="32"/>
      <c r="F12" s="31"/>
      <c r="G12" s="32"/>
      <c r="H12" s="31"/>
      <c r="I12" s="32"/>
      <c r="J12" s="31"/>
      <c r="K12" s="32"/>
      <c r="L12" s="31"/>
      <c r="M12" s="32"/>
      <c r="N12" s="31"/>
      <c r="O12" s="547"/>
      <c r="Q12" s="6"/>
      <c r="R12"/>
      <c r="S12"/>
    </row>
    <row r="13" spans="1:19" s="160" customFormat="1" ht="16.5" thickBot="1" x14ac:dyDescent="0.3">
      <c r="C13" s="167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Q13" s="546"/>
      <c r="R13" s="153"/>
      <c r="S13" s="153"/>
    </row>
    <row r="14" spans="1:19" s="11" customFormat="1" ht="16.5" thickBot="1" x14ac:dyDescent="0.3">
      <c r="B14" s="20" t="s">
        <v>108</v>
      </c>
      <c r="C14" s="217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547"/>
      <c r="Q14" s="6"/>
      <c r="R14"/>
      <c r="S14"/>
    </row>
    <row r="15" spans="1:19" s="11" customFormat="1" ht="15.75" x14ac:dyDescent="0.25">
      <c r="B15" s="23"/>
      <c r="C15" s="241"/>
      <c r="D15" s="258"/>
      <c r="E15" s="21"/>
      <c r="F15" s="258"/>
      <c r="G15" s="21"/>
      <c r="H15" s="22"/>
      <c r="I15" s="21"/>
      <c r="J15" s="22"/>
      <c r="K15" s="21"/>
      <c r="L15" s="22"/>
      <c r="M15" s="21"/>
      <c r="N15" s="22"/>
      <c r="O15" s="35"/>
      <c r="Q15"/>
      <c r="R15"/>
      <c r="S15"/>
    </row>
    <row r="16" spans="1:19" s="11" customFormat="1" ht="16.5" thickBot="1" x14ac:dyDescent="0.3">
      <c r="B16" s="65"/>
      <c r="C16" s="266"/>
      <c r="D16" s="25"/>
      <c r="E16" s="24"/>
      <c r="F16" s="25"/>
      <c r="G16" s="24"/>
      <c r="H16" s="25"/>
      <c r="I16" s="24"/>
      <c r="J16" s="25"/>
      <c r="K16" s="24"/>
      <c r="L16" s="25"/>
      <c r="M16" s="24"/>
      <c r="N16" s="25"/>
      <c r="O16" s="35"/>
      <c r="Q16" s="6"/>
      <c r="R16"/>
      <c r="S16"/>
    </row>
    <row r="17" spans="2:20" s="12" customFormat="1" ht="16.5" thickBot="1" x14ac:dyDescent="0.3">
      <c r="B17" s="9" t="s">
        <v>55</v>
      </c>
      <c r="C17" s="215">
        <f>+C6+C12+C14</f>
        <v>3230</v>
      </c>
      <c r="D17" s="215"/>
      <c r="E17" s="26"/>
      <c r="F17" s="269"/>
      <c r="G17" s="26"/>
      <c r="H17" s="269"/>
      <c r="I17" s="26"/>
      <c r="J17" s="269"/>
      <c r="K17" s="26"/>
      <c r="L17" s="269"/>
      <c r="M17" s="26"/>
      <c r="N17" s="269"/>
      <c r="O17" s="32"/>
      <c r="Q17"/>
      <c r="R17"/>
      <c r="S17"/>
      <c r="T17" s="50"/>
    </row>
    <row r="18" spans="2:20" s="11" customFormat="1" ht="15.75" x14ac:dyDescent="0.25">
      <c r="B18" s="23"/>
      <c r="C18" s="241"/>
      <c r="D18" s="258"/>
      <c r="E18" s="21"/>
      <c r="F18" s="258"/>
      <c r="G18" s="21"/>
      <c r="H18" s="22"/>
      <c r="I18" s="21"/>
      <c r="J18" s="22"/>
      <c r="K18" s="21"/>
      <c r="L18" s="22"/>
      <c r="M18" s="21"/>
      <c r="N18" s="22"/>
      <c r="O18" s="35"/>
      <c r="Q18"/>
      <c r="R18"/>
      <c r="S18"/>
    </row>
    <row r="19" spans="2:20" s="11" customFormat="1" ht="19.5" thickBot="1" x14ac:dyDescent="0.35">
      <c r="B19" s="235" t="s">
        <v>56</v>
      </c>
      <c r="C19" s="218"/>
      <c r="D19" s="253"/>
      <c r="E19" s="29"/>
      <c r="F19" s="253"/>
      <c r="G19" s="29"/>
      <c r="H19" s="30"/>
      <c r="I19" s="29"/>
      <c r="J19" s="30"/>
      <c r="K19" s="29"/>
      <c r="L19" s="30"/>
      <c r="M19" s="29"/>
      <c r="N19" s="30"/>
      <c r="O19" s="35"/>
      <c r="Q19"/>
      <c r="R19"/>
      <c r="S19"/>
    </row>
    <row r="20" spans="2:20" s="191" customFormat="1" ht="16.5" thickBot="1" x14ac:dyDescent="0.3">
      <c r="B20" s="9" t="s">
        <v>106</v>
      </c>
      <c r="C20" s="216" t="e">
        <f>+cashbook!#REF!+cashbook!#REF!+cashbook!#REF!+cashbook!#REF!+cashbook!#REF!</f>
        <v>#REF!</v>
      </c>
      <c r="D20" s="31"/>
      <c r="E20" s="32"/>
      <c r="F20" s="31"/>
      <c r="G20" s="32"/>
      <c r="H20" s="31"/>
      <c r="I20" s="32"/>
      <c r="J20" s="31"/>
      <c r="K20" s="32"/>
      <c r="L20" s="31"/>
      <c r="M20" s="32"/>
      <c r="N20" s="31"/>
      <c r="O20" s="32"/>
      <c r="P20" s="242"/>
      <c r="Q20" s="153"/>
      <c r="R20" s="153"/>
      <c r="S20" s="153">
        <v>145</v>
      </c>
    </row>
    <row r="21" spans="2:20" s="191" customFormat="1" ht="16.5" thickBot="1" x14ac:dyDescent="0.3">
      <c r="C21" s="265"/>
      <c r="D21" s="150"/>
      <c r="E21" s="35"/>
      <c r="F21" s="150"/>
      <c r="G21" s="35"/>
      <c r="H21" s="150"/>
      <c r="I21" s="35"/>
      <c r="J21" s="150"/>
      <c r="K21" s="35"/>
      <c r="L21" s="150"/>
      <c r="M21" s="35"/>
      <c r="N21" s="150"/>
      <c r="O21" s="35"/>
      <c r="P21" s="242"/>
      <c r="Q21" s="153"/>
      <c r="R21" s="153"/>
      <c r="S21" s="153"/>
    </row>
    <row r="22" spans="2:20" s="12" customFormat="1" ht="19.5" thickBot="1" x14ac:dyDescent="0.35">
      <c r="B22" s="103" t="s">
        <v>443</v>
      </c>
      <c r="C22" s="216">
        <f>SUM(C23:C58)</f>
        <v>1903</v>
      </c>
      <c r="D22" s="216"/>
      <c r="E22" s="216"/>
      <c r="F22" s="209"/>
      <c r="G22" s="216"/>
      <c r="H22" s="209"/>
      <c r="I22" s="216"/>
      <c r="J22" s="209"/>
      <c r="K22" s="216"/>
      <c r="L22" s="209"/>
      <c r="M22" s="216"/>
      <c r="N22" s="209"/>
      <c r="O22" s="32"/>
      <c r="Q22" s="243"/>
      <c r="R22" s="3"/>
      <c r="S22" s="3">
        <v>255</v>
      </c>
    </row>
    <row r="23" spans="2:20" s="11" customFormat="1" ht="15.75" x14ac:dyDescent="0.25">
      <c r="B23" s="23" t="s">
        <v>113</v>
      </c>
      <c r="C23" s="241">
        <v>10</v>
      </c>
      <c r="D23" s="258"/>
      <c r="E23" s="21"/>
      <c r="F23" s="258"/>
      <c r="G23" s="21"/>
      <c r="H23" s="22"/>
      <c r="I23" s="21"/>
      <c r="J23" s="22"/>
      <c r="K23" s="21"/>
      <c r="L23" s="22"/>
      <c r="M23" s="21"/>
      <c r="N23" s="22"/>
      <c r="O23" s="21"/>
      <c r="Q23" s="6"/>
      <c r="R23"/>
      <c r="S23">
        <v>75</v>
      </c>
    </row>
    <row r="24" spans="2:20" s="11" customFormat="1" ht="15.75" x14ac:dyDescent="0.25">
      <c r="B24" s="23" t="s">
        <v>33</v>
      </c>
      <c r="C24" s="241">
        <v>20</v>
      </c>
      <c r="D24" s="258"/>
      <c r="E24" s="21"/>
      <c r="F24" s="258"/>
      <c r="G24" s="21"/>
      <c r="H24" s="22"/>
      <c r="I24" s="21"/>
      <c r="J24" s="22"/>
      <c r="K24" s="21"/>
      <c r="L24" s="22"/>
      <c r="M24" s="21"/>
      <c r="N24" s="22"/>
      <c r="O24" s="21"/>
      <c r="Q24" s="6"/>
      <c r="R24"/>
      <c r="S24">
        <v>50</v>
      </c>
    </row>
    <row r="25" spans="2:20" s="11" customFormat="1" ht="15.75" x14ac:dyDescent="0.25">
      <c r="B25" s="20" t="s">
        <v>237</v>
      </c>
      <c r="C25" s="241"/>
      <c r="D25" s="258"/>
      <c r="E25" s="21"/>
      <c r="F25" s="258"/>
      <c r="G25" s="21"/>
      <c r="H25" s="22"/>
      <c r="I25" s="21"/>
      <c r="J25" s="22"/>
      <c r="K25" s="21"/>
      <c r="L25" s="22"/>
      <c r="M25" s="21"/>
      <c r="N25" s="22"/>
      <c r="O25" s="21"/>
      <c r="Q25" s="6"/>
      <c r="R25"/>
      <c r="S25"/>
    </row>
    <row r="26" spans="2:20" s="11" customFormat="1" ht="15.75" x14ac:dyDescent="0.25">
      <c r="B26" s="23" t="s">
        <v>238</v>
      </c>
      <c r="C26" s="241"/>
      <c r="D26" s="258"/>
      <c r="E26" s="21"/>
      <c r="H26" s="22"/>
      <c r="I26" s="21"/>
      <c r="J26" s="22"/>
      <c r="K26" s="21"/>
      <c r="L26" s="22"/>
      <c r="M26" s="21"/>
      <c r="N26" s="22"/>
      <c r="O26" s="21"/>
      <c r="Q26"/>
      <c r="R26"/>
      <c r="S26">
        <v>155</v>
      </c>
    </row>
    <row r="27" spans="2:20" s="11" customFormat="1" ht="15.75" x14ac:dyDescent="0.25">
      <c r="B27" s="23" t="s">
        <v>235</v>
      </c>
      <c r="C27" s="241"/>
      <c r="D27" s="258"/>
      <c r="E27" s="21"/>
      <c r="H27" s="22"/>
      <c r="I27" s="21"/>
      <c r="J27" s="22"/>
      <c r="K27" s="21"/>
      <c r="L27" s="22"/>
      <c r="M27" s="21"/>
      <c r="N27" s="22"/>
      <c r="O27" s="21"/>
      <c r="Q27"/>
      <c r="R27"/>
      <c r="S27">
        <v>323</v>
      </c>
    </row>
    <row r="28" spans="2:20" s="11" customFormat="1" ht="15.75" x14ac:dyDescent="0.25">
      <c r="B28" s="23" t="s">
        <v>110</v>
      </c>
      <c r="C28" s="241">
        <v>321</v>
      </c>
      <c r="D28" s="258"/>
      <c r="E28" s="21"/>
      <c r="G28" s="21"/>
      <c r="H28" s="22"/>
      <c r="I28" s="21"/>
      <c r="J28" s="22"/>
      <c r="K28" s="21"/>
      <c r="L28" s="22"/>
      <c r="M28" s="21"/>
      <c r="N28" s="22"/>
      <c r="O28" s="21"/>
      <c r="Q28"/>
      <c r="R28"/>
      <c r="S28">
        <v>195</v>
      </c>
    </row>
    <row r="29" spans="2:20" s="11" customFormat="1" ht="15.75" x14ac:dyDescent="0.25">
      <c r="B29" s="20" t="s">
        <v>165</v>
      </c>
      <c r="C29" s="241"/>
      <c r="D29" s="258"/>
      <c r="E29" s="21"/>
      <c r="G29" s="21"/>
      <c r="H29" s="22"/>
      <c r="I29" s="21"/>
      <c r="J29" s="22"/>
      <c r="K29" s="21"/>
      <c r="L29" s="22"/>
      <c r="M29" s="21"/>
      <c r="N29" s="22"/>
      <c r="O29" s="21"/>
      <c r="Q29"/>
      <c r="R29"/>
      <c r="S29">
        <v>62</v>
      </c>
    </row>
    <row r="30" spans="2:20" s="11" customFormat="1" ht="15.75" x14ac:dyDescent="0.25">
      <c r="B30" s="23" t="s">
        <v>238</v>
      </c>
      <c r="C30" s="241">
        <f>87+18</f>
        <v>105</v>
      </c>
      <c r="D30" s="258"/>
      <c r="E30" s="21"/>
      <c r="G30" s="21"/>
      <c r="I30" s="21"/>
      <c r="J30" s="22"/>
      <c r="K30" s="21"/>
      <c r="L30" s="22"/>
      <c r="M30" s="21"/>
      <c r="N30" s="22"/>
      <c r="O30" s="21"/>
      <c r="Q30"/>
      <c r="R30"/>
      <c r="S30"/>
    </row>
    <row r="31" spans="2:20" s="11" customFormat="1" ht="15.75" x14ac:dyDescent="0.25">
      <c r="B31" s="23" t="s">
        <v>235</v>
      </c>
      <c r="C31" s="241"/>
      <c r="D31" s="258"/>
      <c r="E31" s="21"/>
      <c r="G31" s="21"/>
      <c r="I31" s="21"/>
      <c r="J31" s="22"/>
      <c r="K31" s="21"/>
      <c r="L31" s="22"/>
      <c r="M31" s="21"/>
      <c r="N31" s="22"/>
      <c r="O31" s="21"/>
      <c r="Q31"/>
      <c r="R31"/>
      <c r="S31"/>
    </row>
    <row r="32" spans="2:20" s="11" customFormat="1" ht="15.75" x14ac:dyDescent="0.25">
      <c r="B32" s="20" t="s">
        <v>239</v>
      </c>
      <c r="C32" s="241"/>
      <c r="D32" s="258"/>
      <c r="E32" s="21"/>
      <c r="G32" s="21"/>
      <c r="H32" s="22"/>
      <c r="I32" s="21"/>
      <c r="J32" s="22"/>
      <c r="K32" s="21"/>
      <c r="L32" s="22"/>
      <c r="M32" s="21"/>
      <c r="N32" s="22"/>
      <c r="O32" s="21"/>
      <c r="Q32"/>
      <c r="R32"/>
      <c r="S32"/>
    </row>
    <row r="33" spans="2:19" s="11" customFormat="1" ht="15.75" x14ac:dyDescent="0.25">
      <c r="B33" s="23" t="s">
        <v>238</v>
      </c>
      <c r="C33" s="241">
        <v>21</v>
      </c>
      <c r="D33" s="258"/>
      <c r="E33" s="21"/>
      <c r="G33" s="21"/>
      <c r="H33" s="22"/>
      <c r="I33" s="21"/>
      <c r="J33" s="22"/>
      <c r="K33" s="21"/>
      <c r="L33" s="22"/>
      <c r="M33" s="21"/>
      <c r="N33" s="22"/>
      <c r="O33" s="21"/>
      <c r="Q33"/>
      <c r="R33"/>
      <c r="S33"/>
    </row>
    <row r="34" spans="2:19" s="11" customFormat="1" ht="15.75" x14ac:dyDescent="0.25">
      <c r="B34" s="23" t="s">
        <v>235</v>
      </c>
      <c r="C34" s="241">
        <v>21</v>
      </c>
      <c r="D34" s="258"/>
      <c r="E34" s="21"/>
      <c r="G34" s="21"/>
      <c r="H34" s="22"/>
      <c r="I34" s="21"/>
      <c r="J34" s="22"/>
      <c r="K34" s="21"/>
      <c r="L34" s="22"/>
      <c r="M34" s="21"/>
      <c r="N34" s="22"/>
      <c r="O34" s="21"/>
      <c r="Q34"/>
      <c r="R34"/>
      <c r="S34"/>
    </row>
    <row r="35" spans="2:19" s="11" customFormat="1" ht="15.75" x14ac:dyDescent="0.25">
      <c r="B35" s="23" t="s">
        <v>57</v>
      </c>
      <c r="C35" s="241">
        <v>250</v>
      </c>
      <c r="D35" s="258"/>
      <c r="E35" s="21"/>
      <c r="G35" s="21"/>
      <c r="H35" s="22"/>
      <c r="I35" s="21"/>
      <c r="J35" s="22"/>
      <c r="K35" s="21"/>
      <c r="L35" s="22"/>
      <c r="M35" s="21"/>
      <c r="N35" s="22"/>
      <c r="O35" s="21"/>
      <c r="Q35"/>
      <c r="R35"/>
      <c r="S35">
        <v>30</v>
      </c>
    </row>
    <row r="36" spans="2:19" s="11" customFormat="1" ht="15.75" x14ac:dyDescent="0.25">
      <c r="B36" s="23" t="s">
        <v>183</v>
      </c>
      <c r="C36" s="241"/>
      <c r="D36" s="258"/>
      <c r="E36" s="21"/>
      <c r="G36" s="21"/>
      <c r="H36" s="22"/>
      <c r="I36" s="21"/>
      <c r="J36" s="22"/>
      <c r="K36" s="21"/>
      <c r="L36" s="22"/>
      <c r="M36" s="21"/>
      <c r="N36" s="22"/>
      <c r="O36" s="21"/>
      <c r="Q36"/>
      <c r="R36"/>
      <c r="S36">
        <f>SUM(S20:S35)</f>
        <v>1290</v>
      </c>
    </row>
    <row r="37" spans="2:19" s="11" customFormat="1" ht="15.75" x14ac:dyDescent="0.25">
      <c r="B37" s="23" t="s">
        <v>58</v>
      </c>
      <c r="C37" s="241"/>
      <c r="D37" s="258"/>
      <c r="E37" s="21"/>
      <c r="G37" s="21"/>
      <c r="H37" s="22"/>
      <c r="I37" s="21"/>
      <c r="J37" s="22"/>
      <c r="K37" s="21"/>
      <c r="L37" s="22"/>
      <c r="M37" s="21"/>
      <c r="N37" s="22"/>
      <c r="O37" s="21"/>
      <c r="Q37"/>
      <c r="R37"/>
      <c r="S37"/>
    </row>
    <row r="38" spans="2:19" s="11" customFormat="1" ht="15.75" x14ac:dyDescent="0.25">
      <c r="B38" s="23" t="s">
        <v>446</v>
      </c>
      <c r="C38" s="241">
        <v>10</v>
      </c>
      <c r="D38" s="258"/>
      <c r="E38" s="21"/>
      <c r="G38" s="21"/>
      <c r="H38" s="22"/>
      <c r="I38" s="21"/>
      <c r="J38" s="22"/>
      <c r="K38" s="21"/>
      <c r="L38" s="22"/>
      <c r="M38" s="21"/>
      <c r="N38" s="22"/>
      <c r="O38" s="21"/>
      <c r="Q38"/>
      <c r="R38"/>
      <c r="S38"/>
    </row>
    <row r="39" spans="2:19" s="11" customFormat="1" ht="15.75" x14ac:dyDescent="0.25">
      <c r="B39" s="23" t="s">
        <v>135</v>
      </c>
      <c r="C39" s="241"/>
      <c r="D39" s="258"/>
      <c r="E39" s="21"/>
      <c r="F39" s="258"/>
      <c r="G39" s="21"/>
      <c r="H39" s="22"/>
      <c r="I39" s="21"/>
      <c r="J39" s="22"/>
      <c r="K39" s="21"/>
      <c r="L39" s="22"/>
      <c r="M39" s="21"/>
      <c r="N39" s="22"/>
      <c r="O39" s="21"/>
      <c r="Q39"/>
      <c r="R39"/>
      <c r="S39"/>
    </row>
    <row r="40" spans="2:19" s="11" customFormat="1" ht="15.75" x14ac:dyDescent="0.25">
      <c r="B40" s="23" t="s">
        <v>114</v>
      </c>
      <c r="C40" s="241"/>
      <c r="D40" s="258"/>
      <c r="E40" s="21"/>
      <c r="F40" s="258"/>
      <c r="G40" s="21"/>
      <c r="H40" s="22"/>
      <c r="I40" s="21"/>
      <c r="J40" s="22"/>
      <c r="K40" s="21"/>
      <c r="L40" s="22"/>
      <c r="M40" s="21"/>
      <c r="N40" s="22"/>
      <c r="O40" s="21"/>
      <c r="Q40"/>
      <c r="R40">
        <f>346-24-13</f>
        <v>309</v>
      </c>
      <c r="S40"/>
    </row>
    <row r="41" spans="2:19" s="11" customFormat="1" ht="15.75" x14ac:dyDescent="0.25">
      <c r="B41" s="23" t="s">
        <v>59</v>
      </c>
      <c r="C41" s="241"/>
      <c r="D41" s="258"/>
      <c r="E41" s="21"/>
      <c r="F41" s="258"/>
      <c r="G41" s="21"/>
      <c r="H41" s="22"/>
      <c r="I41" s="21"/>
      <c r="J41" s="22"/>
      <c r="K41" s="21"/>
      <c r="L41" s="22"/>
      <c r="M41" s="21"/>
      <c r="N41" s="22"/>
      <c r="O41" s="21"/>
      <c r="Q41" s="6"/>
      <c r="R41"/>
      <c r="S41"/>
    </row>
    <row r="42" spans="2:19" s="11" customFormat="1" ht="15.75" x14ac:dyDescent="0.25">
      <c r="B42" s="23" t="s">
        <v>102</v>
      </c>
      <c r="C42" s="241">
        <v>50</v>
      </c>
      <c r="D42" s="258"/>
      <c r="E42" s="21"/>
      <c r="F42" s="258"/>
      <c r="G42" s="21"/>
      <c r="H42" s="22"/>
      <c r="I42" s="21"/>
      <c r="J42" s="22"/>
      <c r="K42" s="21"/>
      <c r="L42" s="22"/>
      <c r="M42" s="21"/>
      <c r="N42" s="22"/>
      <c r="O42" s="21"/>
      <c r="Q42" s="6"/>
      <c r="R42"/>
      <c r="S42"/>
    </row>
    <row r="43" spans="2:19" s="11" customFormat="1" ht="15.75" x14ac:dyDescent="0.25">
      <c r="B43" s="23" t="s">
        <v>60</v>
      </c>
      <c r="C43" s="241"/>
      <c r="D43" s="258"/>
      <c r="E43" s="21"/>
      <c r="F43" s="258"/>
      <c r="G43" s="21"/>
      <c r="H43" s="22"/>
      <c r="I43" s="21"/>
      <c r="J43" s="22"/>
      <c r="K43" s="21"/>
      <c r="L43" s="22"/>
      <c r="M43" s="21"/>
      <c r="N43" s="22"/>
      <c r="O43" s="21"/>
      <c r="Q43"/>
      <c r="R43"/>
      <c r="S43"/>
    </row>
    <row r="44" spans="2:19" s="11" customFormat="1" ht="15.75" x14ac:dyDescent="0.25">
      <c r="B44" s="23" t="s">
        <v>221</v>
      </c>
      <c r="C44" s="241"/>
      <c r="D44" s="258"/>
      <c r="E44" s="21"/>
      <c r="F44" s="258"/>
      <c r="G44" s="21"/>
      <c r="H44" s="22"/>
      <c r="I44" s="21"/>
      <c r="J44" s="22"/>
      <c r="K44" s="21"/>
      <c r="L44" s="22"/>
      <c r="M44" s="21"/>
      <c r="N44" s="22"/>
      <c r="O44" s="21"/>
      <c r="Q44"/>
      <c r="R44"/>
      <c r="S44"/>
    </row>
    <row r="45" spans="2:19" s="11" customFormat="1" ht="15.75" x14ac:dyDescent="0.25">
      <c r="B45" s="23" t="s">
        <v>380</v>
      </c>
      <c r="C45" s="241">
        <v>600</v>
      </c>
      <c r="D45" s="258"/>
      <c r="E45" s="21"/>
      <c r="F45" s="258"/>
      <c r="G45" s="21"/>
      <c r="H45" s="22"/>
      <c r="I45" s="21"/>
      <c r="J45" s="22"/>
      <c r="K45" s="21"/>
      <c r="L45" s="22"/>
      <c r="M45" s="21"/>
      <c r="N45" s="22"/>
      <c r="O45" s="21"/>
      <c r="Q45"/>
      <c r="R45"/>
      <c r="S45"/>
    </row>
    <row r="46" spans="2:19" s="11" customFormat="1" ht="15.75" x14ac:dyDescent="0.25">
      <c r="B46" s="23" t="s">
        <v>130</v>
      </c>
      <c r="C46" s="241"/>
      <c r="D46" s="258"/>
      <c r="E46" s="21"/>
      <c r="F46" s="258"/>
      <c r="G46" s="21"/>
      <c r="H46" s="22"/>
      <c r="I46" s="21"/>
      <c r="J46" s="22"/>
      <c r="K46" s="21"/>
      <c r="L46" s="22"/>
      <c r="M46" s="21"/>
      <c r="N46" s="22"/>
      <c r="O46" s="21"/>
      <c r="Q46" s="6"/>
      <c r="R46"/>
      <c r="S46"/>
    </row>
    <row r="47" spans="2:19" s="11" customFormat="1" ht="15.75" x14ac:dyDescent="0.25">
      <c r="B47" s="23" t="s">
        <v>108</v>
      </c>
      <c r="C47" s="241"/>
      <c r="D47" s="258"/>
      <c r="E47" s="21"/>
      <c r="F47" s="258"/>
      <c r="G47" s="21"/>
      <c r="H47" s="22"/>
      <c r="I47" s="21"/>
      <c r="J47" s="22"/>
      <c r="K47" s="21"/>
      <c r="L47" s="22"/>
      <c r="M47" s="21"/>
      <c r="N47" s="22"/>
      <c r="O47" s="21"/>
      <c r="Q47"/>
      <c r="R47"/>
      <c r="S47"/>
    </row>
    <row r="48" spans="2:19" s="11" customFormat="1" ht="15.75" x14ac:dyDescent="0.25">
      <c r="B48" s="23" t="s">
        <v>385</v>
      </c>
      <c r="C48" s="241"/>
      <c r="D48" s="258"/>
      <c r="E48" s="21"/>
      <c r="F48" s="258"/>
      <c r="G48" s="21"/>
      <c r="H48" s="22"/>
      <c r="I48" s="21"/>
      <c r="J48" s="22"/>
      <c r="K48" s="21"/>
      <c r="L48" s="22"/>
      <c r="M48" s="21"/>
      <c r="N48" s="22"/>
      <c r="O48" s="21"/>
      <c r="Q48"/>
      <c r="R48"/>
      <c r="S48"/>
    </row>
    <row r="49" spans="2:19" s="11" customFormat="1" ht="15.75" x14ac:dyDescent="0.25">
      <c r="B49" s="23" t="s">
        <v>170</v>
      </c>
      <c r="C49" s="241"/>
      <c r="D49" s="258"/>
      <c r="E49" s="21"/>
      <c r="F49" s="258"/>
      <c r="G49" s="21"/>
      <c r="H49" s="22"/>
      <c r="I49" s="21"/>
      <c r="J49" s="22"/>
      <c r="K49" s="21"/>
      <c r="L49" s="22"/>
      <c r="M49" s="21"/>
      <c r="N49" s="22"/>
      <c r="O49" s="21"/>
      <c r="Q49"/>
      <c r="R49"/>
      <c r="S49"/>
    </row>
    <row r="50" spans="2:19" s="11" customFormat="1" ht="15.75" x14ac:dyDescent="0.25">
      <c r="B50" s="23" t="s">
        <v>222</v>
      </c>
      <c r="C50" s="241">
        <v>410</v>
      </c>
      <c r="D50" s="258"/>
      <c r="E50" s="21"/>
      <c r="F50" s="258"/>
      <c r="G50" s="21"/>
      <c r="H50" s="22"/>
      <c r="I50" s="21"/>
      <c r="J50" s="22"/>
      <c r="K50" s="21"/>
      <c r="L50" s="22"/>
      <c r="M50" s="21"/>
      <c r="N50" s="22"/>
      <c r="O50" s="21"/>
      <c r="Q50"/>
      <c r="R50"/>
      <c r="S50"/>
    </row>
    <row r="51" spans="2:19" s="11" customFormat="1" ht="15.75" x14ac:dyDescent="0.25">
      <c r="B51" s="23" t="s">
        <v>199</v>
      </c>
      <c r="C51" s="241"/>
      <c r="D51" s="258"/>
      <c r="E51" s="21"/>
      <c r="F51" s="258"/>
      <c r="G51" s="21"/>
      <c r="H51" s="22"/>
      <c r="I51" s="21"/>
      <c r="J51" s="22"/>
      <c r="K51" s="21"/>
      <c r="L51" s="22"/>
      <c r="M51" s="21"/>
      <c r="N51" s="22"/>
      <c r="O51" s="21"/>
      <c r="Q51"/>
      <c r="R51"/>
      <c r="S51"/>
    </row>
    <row r="52" spans="2:19" s="11" customFormat="1" ht="15.75" x14ac:dyDescent="0.25">
      <c r="B52" s="20" t="s">
        <v>144</v>
      </c>
      <c r="C52" s="241"/>
      <c r="D52" s="258"/>
      <c r="E52" s="21"/>
      <c r="F52" s="258"/>
      <c r="G52" s="21"/>
      <c r="H52" s="22"/>
      <c r="I52" s="21"/>
      <c r="J52" s="22"/>
      <c r="K52" s="21"/>
      <c r="L52" s="22"/>
      <c r="M52" s="21"/>
      <c r="N52" s="22"/>
      <c r="O52" s="21"/>
      <c r="Q52"/>
      <c r="R52"/>
      <c r="S52"/>
    </row>
    <row r="53" spans="2:19" s="11" customFormat="1" ht="15.75" x14ac:dyDescent="0.25">
      <c r="B53" s="23" t="s">
        <v>109</v>
      </c>
      <c r="C53" s="241"/>
      <c r="D53" s="270"/>
      <c r="E53" s="109"/>
      <c r="F53" s="270"/>
      <c r="G53" s="109"/>
      <c r="H53" s="108"/>
      <c r="I53" s="109"/>
      <c r="J53" s="108"/>
      <c r="K53" s="109"/>
      <c r="L53" s="108"/>
      <c r="M53" s="109"/>
      <c r="N53" s="108"/>
      <c r="O53" s="21"/>
      <c r="Q53"/>
      <c r="R53"/>
      <c r="S53"/>
    </row>
    <row r="54" spans="2:19" s="11" customFormat="1" ht="15.75" x14ac:dyDescent="0.25">
      <c r="B54" s="23" t="s">
        <v>134</v>
      </c>
      <c r="C54" s="241"/>
      <c r="D54" s="258"/>
      <c r="E54" s="21"/>
      <c r="F54" s="258"/>
      <c r="G54" s="21"/>
      <c r="H54" s="22"/>
      <c r="I54" s="21"/>
      <c r="J54" s="22"/>
      <c r="K54" s="21"/>
      <c r="L54" s="22"/>
      <c r="M54" s="21"/>
      <c r="N54" s="22"/>
      <c r="O54" s="21"/>
      <c r="Q54"/>
      <c r="R54"/>
      <c r="S54"/>
    </row>
    <row r="55" spans="2:19" s="11" customFormat="1" ht="15.75" x14ac:dyDescent="0.25">
      <c r="B55" s="23" t="s">
        <v>155</v>
      </c>
      <c r="C55" s="241">
        <v>85</v>
      </c>
      <c r="D55" s="258"/>
      <c r="E55" s="21"/>
      <c r="F55" s="258"/>
      <c r="G55" s="21"/>
      <c r="H55" s="22"/>
      <c r="I55" s="21"/>
      <c r="J55" s="22"/>
      <c r="K55" s="21"/>
      <c r="L55" s="22"/>
      <c r="M55" s="21"/>
      <c r="N55" s="22"/>
      <c r="O55" s="21"/>
      <c r="Q55"/>
      <c r="R55"/>
      <c r="S55"/>
    </row>
    <row r="56" spans="2:19" s="11" customFormat="1" ht="15.75" x14ac:dyDescent="0.25">
      <c r="B56" s="23" t="s">
        <v>174</v>
      </c>
      <c r="C56" s="241"/>
      <c r="D56" s="258"/>
      <c r="E56" s="21"/>
      <c r="F56" s="258"/>
      <c r="G56" s="21"/>
      <c r="H56" s="22"/>
      <c r="I56" s="21"/>
      <c r="J56" s="22"/>
      <c r="K56" s="21"/>
      <c r="L56" s="22"/>
      <c r="M56" s="21"/>
      <c r="N56" s="22"/>
      <c r="O56" s="21"/>
      <c r="Q56"/>
      <c r="R56"/>
      <c r="S56"/>
    </row>
    <row r="57" spans="2:19" s="11" customFormat="1" ht="15.75" x14ac:dyDescent="0.25">
      <c r="B57" s="23" t="s">
        <v>169</v>
      </c>
      <c r="C57" s="241"/>
      <c r="D57" s="258"/>
      <c r="E57" s="21"/>
      <c r="F57" s="258"/>
      <c r="G57" s="21"/>
      <c r="H57" s="22"/>
      <c r="I57" s="21"/>
      <c r="J57" s="22"/>
      <c r="K57" s="21"/>
      <c r="L57" s="22"/>
      <c r="M57" s="21"/>
      <c r="N57" s="22"/>
      <c r="O57" s="21"/>
      <c r="Q57"/>
      <c r="R57"/>
      <c r="S57"/>
    </row>
    <row r="58" spans="2:19" s="11" customFormat="1" ht="16.5" thickBot="1" x14ac:dyDescent="0.3">
      <c r="B58" s="23"/>
      <c r="C58" s="241"/>
      <c r="D58" s="258"/>
      <c r="E58" s="21"/>
      <c r="F58" s="258"/>
      <c r="G58" s="21"/>
      <c r="H58" s="22"/>
      <c r="I58" s="21"/>
      <c r="J58" s="22"/>
      <c r="K58" s="21"/>
      <c r="L58" s="22"/>
      <c r="M58" s="21"/>
      <c r="N58" s="22"/>
      <c r="O58" s="21"/>
      <c r="Q58"/>
      <c r="R58"/>
      <c r="S58"/>
    </row>
    <row r="59" spans="2:19" s="12" customFormat="1" ht="16.5" thickBot="1" x14ac:dyDescent="0.3">
      <c r="B59" s="9" t="s">
        <v>107</v>
      </c>
      <c r="C59" s="216">
        <f>SUM(C60:C74)</f>
        <v>1352</v>
      </c>
      <c r="D59" s="209"/>
      <c r="E59" s="216"/>
      <c r="F59" s="209"/>
      <c r="G59" s="216"/>
      <c r="H59" s="209"/>
      <c r="I59" s="216"/>
      <c r="J59" s="209"/>
      <c r="K59" s="216"/>
      <c r="L59" s="209"/>
      <c r="M59" s="216"/>
      <c r="N59" s="209"/>
      <c r="O59" s="32"/>
      <c r="P59" s="134"/>
      <c r="Q59" s="3"/>
      <c r="R59" s="3"/>
      <c r="S59" s="3"/>
    </row>
    <row r="60" spans="2:19" s="11" customFormat="1" ht="15.75" x14ac:dyDescent="0.25">
      <c r="B60" s="23" t="s">
        <v>37</v>
      </c>
      <c r="C60" s="241"/>
      <c r="D60" s="258"/>
      <c r="E60" s="21"/>
      <c r="F60" s="258"/>
      <c r="G60" s="21"/>
      <c r="H60" s="22"/>
      <c r="I60" s="21"/>
      <c r="J60" s="22"/>
      <c r="K60" s="21"/>
      <c r="L60" s="22"/>
      <c r="M60" s="21"/>
      <c r="N60" s="22"/>
      <c r="O60" s="21"/>
      <c r="Q60" s="6"/>
      <c r="R60"/>
      <c r="S60"/>
    </row>
    <row r="61" spans="2:19" s="11" customFormat="1" ht="15.75" x14ac:dyDescent="0.25">
      <c r="B61" s="23" t="s">
        <v>36</v>
      </c>
      <c r="C61" s="241">
        <f>1259+93</f>
        <v>1352</v>
      </c>
      <c r="D61" s="258"/>
      <c r="E61" s="21"/>
      <c r="F61" s="258"/>
      <c r="G61" s="21"/>
      <c r="H61" s="22"/>
      <c r="I61" s="21"/>
      <c r="J61" s="22"/>
      <c r="K61" s="21"/>
      <c r="L61" s="22"/>
      <c r="M61" s="21"/>
      <c r="N61" s="22"/>
      <c r="O61" s="21"/>
      <c r="P61" s="27"/>
      <c r="Q61" s="6"/>
      <c r="R61"/>
      <c r="S61"/>
    </row>
    <row r="62" spans="2:19" s="11" customFormat="1" ht="15.75" x14ac:dyDescent="0.25">
      <c r="B62" s="23" t="s">
        <v>858</v>
      </c>
      <c r="C62" s="241"/>
      <c r="D62" s="258"/>
      <c r="E62" s="21"/>
      <c r="F62" s="258"/>
      <c r="G62" s="21"/>
      <c r="H62" s="22"/>
      <c r="I62" s="21"/>
      <c r="K62" s="21"/>
      <c r="L62" s="22"/>
      <c r="M62" s="21"/>
      <c r="N62" s="22"/>
      <c r="O62" s="21"/>
      <c r="P62" s="27"/>
      <c r="Q62" s="6"/>
      <c r="R62"/>
      <c r="S62"/>
    </row>
    <row r="63" spans="2:19" s="11" customFormat="1" ht="15.75" x14ac:dyDescent="0.25">
      <c r="B63" s="23" t="s">
        <v>857</v>
      </c>
      <c r="C63" s="241"/>
      <c r="D63" s="258"/>
      <c r="E63" s="21"/>
      <c r="F63" s="258"/>
      <c r="G63" s="21"/>
      <c r="H63" s="22"/>
      <c r="I63" s="21"/>
      <c r="K63" s="21"/>
      <c r="L63" s="22"/>
      <c r="M63" s="21"/>
      <c r="N63" s="22"/>
      <c r="O63" s="21"/>
      <c r="P63" s="27"/>
      <c r="Q63"/>
      <c r="R63"/>
      <c r="S63"/>
    </row>
    <row r="64" spans="2:19" s="11" customFormat="1" ht="15.75" x14ac:dyDescent="0.25">
      <c r="B64" s="23" t="s">
        <v>38</v>
      </c>
      <c r="C64" s="241"/>
      <c r="D64" s="258"/>
      <c r="E64" s="21"/>
      <c r="F64" s="258"/>
      <c r="G64" s="21"/>
      <c r="H64" s="22"/>
      <c r="I64" s="21"/>
      <c r="K64" s="21"/>
      <c r="L64" s="22"/>
      <c r="M64" s="21"/>
      <c r="N64" s="22"/>
      <c r="O64" s="21"/>
      <c r="P64" s="27"/>
      <c r="Q64"/>
      <c r="R64"/>
      <c r="S64"/>
    </row>
    <row r="65" spans="2:19" s="11" customFormat="1" ht="15.75" x14ac:dyDescent="0.25">
      <c r="B65" s="23" t="s">
        <v>40</v>
      </c>
      <c r="C65" s="241"/>
      <c r="D65" s="258"/>
      <c r="E65" s="21"/>
      <c r="F65" s="258"/>
      <c r="G65" s="21"/>
      <c r="H65" s="22"/>
      <c r="I65" s="21"/>
      <c r="K65" s="21"/>
      <c r="L65" s="22"/>
      <c r="M65" s="21"/>
      <c r="N65" s="22"/>
      <c r="O65" s="21"/>
      <c r="Q65"/>
      <c r="R65"/>
      <c r="S65"/>
    </row>
    <row r="66" spans="2:19" s="11" customFormat="1" ht="15.75" x14ac:dyDescent="0.25">
      <c r="B66" s="23" t="s">
        <v>41</v>
      </c>
      <c r="C66" s="241"/>
      <c r="D66" s="258"/>
      <c r="E66" s="21"/>
      <c r="F66" s="258"/>
      <c r="G66" s="21"/>
      <c r="H66" s="22"/>
      <c r="I66" s="21"/>
      <c r="K66" s="21"/>
      <c r="L66" s="22"/>
      <c r="M66" s="21"/>
      <c r="N66" s="22"/>
      <c r="O66" s="21"/>
      <c r="Q66"/>
      <c r="R66"/>
      <c r="S66"/>
    </row>
    <row r="67" spans="2:19" s="11" customFormat="1" ht="15.75" x14ac:dyDescent="0.25">
      <c r="B67" s="23" t="s">
        <v>43</v>
      </c>
      <c r="C67" s="241"/>
      <c r="D67" s="258"/>
      <c r="E67" s="21"/>
      <c r="F67" s="258"/>
      <c r="G67" s="21"/>
      <c r="H67" s="22"/>
      <c r="I67" s="21"/>
      <c r="K67" s="21"/>
      <c r="L67" s="22"/>
      <c r="M67" s="21"/>
      <c r="N67" s="22"/>
      <c r="O67" s="21"/>
      <c r="Q67"/>
      <c r="R67"/>
      <c r="S67"/>
    </row>
    <row r="68" spans="2:19" s="11" customFormat="1" ht="15.75" x14ac:dyDescent="0.25">
      <c r="B68" s="23" t="s">
        <v>44</v>
      </c>
      <c r="C68" s="241"/>
      <c r="D68" s="258"/>
      <c r="E68" s="21"/>
      <c r="F68" s="258"/>
      <c r="G68" s="21"/>
      <c r="H68" s="22"/>
      <c r="I68" s="21"/>
      <c r="K68" s="21"/>
      <c r="L68" s="22"/>
      <c r="M68" s="21"/>
      <c r="N68" s="22"/>
      <c r="O68" s="21"/>
      <c r="Q68"/>
      <c r="R68"/>
      <c r="S68"/>
    </row>
    <row r="69" spans="2:19" s="11" customFormat="1" ht="15.75" x14ac:dyDescent="0.25">
      <c r="B69" s="23" t="s">
        <v>154</v>
      </c>
      <c r="C69" s="241"/>
      <c r="D69" s="258"/>
      <c r="E69" s="21"/>
      <c r="F69" s="258"/>
      <c r="G69" s="21"/>
      <c r="H69" s="22"/>
      <c r="I69" s="21"/>
      <c r="K69" s="21"/>
      <c r="L69" s="22"/>
      <c r="M69" s="21"/>
      <c r="N69" s="22"/>
      <c r="O69" s="21"/>
      <c r="Q69"/>
      <c r="R69"/>
      <c r="S69"/>
    </row>
    <row r="70" spans="2:19" s="11" customFormat="1" ht="15.75" x14ac:dyDescent="0.25">
      <c r="B70" s="23" t="s">
        <v>166</v>
      </c>
      <c r="C70" s="241"/>
      <c r="D70" s="258"/>
      <c r="E70" s="21"/>
      <c r="F70" s="258"/>
      <c r="G70" s="21"/>
      <c r="H70" s="22"/>
      <c r="I70" s="21"/>
      <c r="K70" s="21"/>
      <c r="L70" s="22"/>
      <c r="M70" s="21"/>
      <c r="N70" s="22"/>
      <c r="O70" s="21"/>
      <c r="Q70"/>
      <c r="R70"/>
      <c r="S70"/>
    </row>
    <row r="71" spans="2:19" s="11" customFormat="1" ht="15.75" x14ac:dyDescent="0.25">
      <c r="B71" s="23" t="s">
        <v>143</v>
      </c>
      <c r="C71" s="241"/>
      <c r="D71" s="258"/>
      <c r="E71" s="21"/>
      <c r="F71" s="258"/>
      <c r="G71" s="21"/>
      <c r="H71" s="22"/>
      <c r="I71" s="21"/>
      <c r="K71" s="21"/>
      <c r="L71" s="22"/>
      <c r="M71" s="21"/>
      <c r="N71" s="22"/>
      <c r="O71" s="21"/>
      <c r="Q71"/>
      <c r="R71"/>
      <c r="S71"/>
    </row>
    <row r="72" spans="2:19" s="11" customFormat="1" ht="15.75" x14ac:dyDescent="0.25">
      <c r="B72" s="23" t="s">
        <v>153</v>
      </c>
      <c r="C72" s="241"/>
      <c r="D72" s="258"/>
      <c r="E72" s="21"/>
      <c r="F72" s="258"/>
      <c r="G72" s="21"/>
      <c r="H72" s="22"/>
      <c r="I72" s="21"/>
      <c r="K72" s="21"/>
      <c r="L72" s="22"/>
      <c r="M72" s="21"/>
      <c r="N72" s="22"/>
      <c r="O72" s="21"/>
      <c r="Q72"/>
      <c r="R72"/>
      <c r="S72"/>
    </row>
    <row r="73" spans="2:19" s="11" customFormat="1" ht="15.75" x14ac:dyDescent="0.25">
      <c r="B73" s="23" t="s">
        <v>164</v>
      </c>
      <c r="C73" s="241"/>
      <c r="D73" s="258"/>
      <c r="E73" s="21"/>
      <c r="F73" s="258"/>
      <c r="G73" s="21"/>
      <c r="H73" s="22"/>
      <c r="I73" s="21"/>
      <c r="J73" s="22"/>
      <c r="K73" s="21"/>
      <c r="L73" s="22"/>
      <c r="M73" s="21"/>
      <c r="N73" s="22"/>
      <c r="O73" s="21"/>
      <c r="Q73"/>
      <c r="R73"/>
      <c r="S73"/>
    </row>
    <row r="74" spans="2:19" s="11" customFormat="1" ht="16.5" thickBot="1" x14ac:dyDescent="0.3">
      <c r="B74" s="11" t="s">
        <v>856</v>
      </c>
      <c r="C74" s="241"/>
      <c r="D74" s="258"/>
      <c r="E74" s="21"/>
      <c r="F74" s="258"/>
      <c r="G74" s="21"/>
      <c r="H74" s="22"/>
      <c r="I74" s="21"/>
      <c r="J74" s="22"/>
      <c r="K74" s="21"/>
      <c r="L74" s="22"/>
      <c r="M74" s="21"/>
      <c r="N74" s="22"/>
      <c r="O74" s="21"/>
      <c r="Q74"/>
      <c r="R74"/>
      <c r="S74"/>
    </row>
    <row r="75" spans="2:19" s="12" customFormat="1" ht="16.5" thickBot="1" x14ac:dyDescent="0.3">
      <c r="B75" s="9" t="s">
        <v>468</v>
      </c>
      <c r="C75" s="216">
        <f>SUM(C76:C79)</f>
        <v>0</v>
      </c>
      <c r="D75" s="216"/>
      <c r="E75" s="32"/>
      <c r="F75" s="31"/>
      <c r="G75" s="32"/>
      <c r="H75" s="31"/>
      <c r="I75" s="32"/>
      <c r="J75" s="31"/>
      <c r="K75" s="32"/>
      <c r="L75" s="31"/>
      <c r="M75" s="32"/>
      <c r="N75" s="31"/>
      <c r="O75" s="32"/>
      <c r="Q75" s="28"/>
      <c r="R75" s="3"/>
      <c r="S75" s="3"/>
    </row>
    <row r="76" spans="2:19" s="12" customFormat="1" ht="15.75" x14ac:dyDescent="0.25">
      <c r="B76" s="23" t="s">
        <v>469</v>
      </c>
      <c r="C76" s="265"/>
      <c r="D76" s="150"/>
      <c r="E76" s="35"/>
      <c r="F76" s="150"/>
      <c r="G76" s="35"/>
      <c r="H76" s="150"/>
      <c r="I76" s="35"/>
      <c r="J76" s="150"/>
      <c r="K76" s="35"/>
      <c r="L76" s="150"/>
      <c r="M76" s="35"/>
      <c r="N76" s="150"/>
      <c r="O76" s="35"/>
      <c r="Q76" s="28"/>
      <c r="R76" s="3"/>
      <c r="S76" s="3"/>
    </row>
    <row r="77" spans="2:19" s="11" customFormat="1" ht="15.75" x14ac:dyDescent="0.25">
      <c r="B77" s="23" t="s">
        <v>470</v>
      </c>
      <c r="C77" s="241"/>
      <c r="D77" s="258"/>
      <c r="E77" s="21"/>
      <c r="F77" s="258"/>
      <c r="G77" s="21"/>
      <c r="H77" s="22"/>
      <c r="I77" s="21"/>
      <c r="J77" s="22"/>
      <c r="K77" s="21"/>
      <c r="L77" s="22"/>
      <c r="M77" s="21"/>
      <c r="N77" s="22"/>
      <c r="O77" s="35"/>
      <c r="Q77" s="22"/>
      <c r="R77"/>
      <c r="S77"/>
    </row>
    <row r="78" spans="2:19" s="191" customFormat="1" ht="15.75" x14ac:dyDescent="0.25">
      <c r="B78" s="160" t="s">
        <v>17</v>
      </c>
      <c r="C78" s="265"/>
      <c r="D78" s="167"/>
      <c r="E78" s="265"/>
      <c r="F78" s="167"/>
      <c r="G78" s="265"/>
      <c r="H78" s="167"/>
      <c r="I78" s="265"/>
      <c r="J78" s="167"/>
      <c r="K78" s="265"/>
      <c r="L78" s="167"/>
      <c r="M78" s="265"/>
      <c r="N78" s="167"/>
      <c r="O78" s="35"/>
      <c r="Q78" s="150"/>
      <c r="R78" s="153"/>
      <c r="S78" s="153"/>
    </row>
    <row r="79" spans="2:19" s="11" customFormat="1" ht="16.5" thickBot="1" x14ac:dyDescent="0.3">
      <c r="B79" s="23"/>
      <c r="C79" s="241"/>
      <c r="D79" s="258"/>
      <c r="E79" s="21"/>
      <c r="F79" s="258"/>
      <c r="G79" s="21"/>
      <c r="H79" s="258"/>
      <c r="I79" s="21"/>
      <c r="J79" s="22"/>
      <c r="K79" s="21"/>
      <c r="L79" s="22"/>
      <c r="M79" s="21"/>
      <c r="N79" s="22"/>
      <c r="O79" s="35"/>
      <c r="Q79" s="22"/>
      <c r="R79"/>
      <c r="S79"/>
    </row>
    <row r="80" spans="2:19" s="11" customFormat="1" ht="16.5" thickBot="1" x14ac:dyDescent="0.3">
      <c r="B80" s="9" t="s">
        <v>115</v>
      </c>
      <c r="C80" s="267">
        <f>SUM(C81:C86)</f>
        <v>0</v>
      </c>
      <c r="D80" s="267"/>
      <c r="E80" s="259"/>
      <c r="F80" s="260"/>
      <c r="G80" s="259"/>
      <c r="H80" s="260"/>
      <c r="I80" s="259"/>
      <c r="J80" s="260"/>
      <c r="K80" s="259"/>
      <c r="L80" s="260"/>
      <c r="M80" s="259"/>
      <c r="N80" s="260"/>
      <c r="O80" s="32"/>
      <c r="Q80" s="22"/>
      <c r="R80"/>
      <c r="S80"/>
    </row>
    <row r="81" spans="2:19" s="11" customFormat="1" ht="15.75" x14ac:dyDescent="0.25">
      <c r="B81" s="23" t="s">
        <v>53</v>
      </c>
      <c r="C81" s="241"/>
      <c r="D81" s="258"/>
      <c r="E81" s="21"/>
      <c r="F81" s="258"/>
      <c r="G81" s="21"/>
      <c r="H81" s="258"/>
      <c r="I81" s="21"/>
      <c r="J81" s="22"/>
      <c r="K81" s="21"/>
      <c r="L81" s="22"/>
      <c r="M81" s="21"/>
      <c r="N81" s="22"/>
      <c r="O81" s="35"/>
      <c r="Q81" s="22"/>
      <c r="S81" s="22"/>
    </row>
    <row r="82" spans="2:19" s="11" customFormat="1" ht="15.75" x14ac:dyDescent="0.25">
      <c r="B82" s="23" t="s">
        <v>54</v>
      </c>
      <c r="C82" s="241"/>
      <c r="D82" s="258"/>
      <c r="E82" s="21"/>
      <c r="F82" s="258"/>
      <c r="G82" s="21"/>
      <c r="H82" s="258"/>
      <c r="I82" s="21"/>
      <c r="J82" s="22"/>
      <c r="K82" s="21"/>
      <c r="L82" s="22"/>
      <c r="M82" s="21"/>
      <c r="N82" s="22"/>
      <c r="O82" s="35"/>
      <c r="Q82" s="22"/>
      <c r="S82" s="22"/>
    </row>
    <row r="83" spans="2:19" s="11" customFormat="1" ht="15.75" x14ac:dyDescent="0.25">
      <c r="B83" s="23" t="s">
        <v>182</v>
      </c>
      <c r="C83" s="241"/>
      <c r="D83" s="258"/>
      <c r="E83" s="21"/>
      <c r="F83" s="258"/>
      <c r="G83" s="21"/>
      <c r="H83" s="258"/>
      <c r="I83" s="21"/>
      <c r="J83" s="22"/>
      <c r="K83" s="21"/>
      <c r="L83" s="22"/>
      <c r="M83" s="21"/>
      <c r="N83" s="22"/>
      <c r="O83" s="35"/>
      <c r="Q83" s="22"/>
      <c r="S83" s="22"/>
    </row>
    <row r="84" spans="2:19" s="11" customFormat="1" ht="15.75" x14ac:dyDescent="0.25">
      <c r="B84" s="23" t="s">
        <v>382</v>
      </c>
      <c r="C84" s="241"/>
      <c r="D84" s="258"/>
      <c r="E84" s="21"/>
      <c r="F84" s="258"/>
      <c r="G84" s="21"/>
      <c r="H84" s="258"/>
      <c r="I84" s="21"/>
      <c r="J84" s="22"/>
      <c r="K84" s="21"/>
      <c r="L84" s="22"/>
      <c r="M84" s="21"/>
      <c r="N84" s="22"/>
      <c r="O84" s="35"/>
      <c r="Q84" s="22"/>
      <c r="S84" s="22"/>
    </row>
    <row r="85" spans="2:19" s="11" customFormat="1" ht="15.75" x14ac:dyDescent="0.25">
      <c r="B85" s="23" t="s">
        <v>168</v>
      </c>
      <c r="C85" s="241"/>
      <c r="D85" s="258"/>
      <c r="E85" s="21"/>
      <c r="F85" s="258"/>
      <c r="G85" s="21"/>
      <c r="H85" s="258"/>
      <c r="I85" s="21"/>
      <c r="J85" s="22"/>
      <c r="K85" s="21"/>
      <c r="L85" s="22"/>
      <c r="M85" s="21"/>
      <c r="N85" s="22"/>
      <c r="O85" s="35"/>
      <c r="Q85" s="22"/>
      <c r="S85" s="22"/>
    </row>
    <row r="86" spans="2:19" s="12" customFormat="1" ht="16.5" thickBot="1" x14ac:dyDescent="0.3">
      <c r="B86" s="191"/>
      <c r="C86" s="265"/>
      <c r="D86" s="150"/>
      <c r="E86" s="35"/>
      <c r="F86" s="150"/>
      <c r="G86" s="35"/>
      <c r="H86" s="150"/>
      <c r="I86" s="35"/>
      <c r="J86" s="150"/>
      <c r="K86" s="35"/>
      <c r="L86" s="150"/>
      <c r="M86" s="35"/>
      <c r="N86" s="150"/>
      <c r="O86" s="35"/>
      <c r="Q86" s="28"/>
      <c r="S86" s="28"/>
    </row>
    <row r="87" spans="2:19" s="5" customFormat="1" ht="19.5" thickBot="1" x14ac:dyDescent="0.35">
      <c r="B87" s="273" t="s">
        <v>471</v>
      </c>
      <c r="C87" s="274" t="e">
        <f>+C80+C75+C59+C22+C20</f>
        <v>#REF!</v>
      </c>
      <c r="D87" s="274"/>
      <c r="E87" s="275"/>
      <c r="F87" s="104"/>
      <c r="G87" s="275"/>
      <c r="H87" s="104"/>
      <c r="I87" s="275"/>
      <c r="J87" s="104"/>
      <c r="K87" s="275"/>
      <c r="L87" s="104"/>
      <c r="M87" s="275"/>
      <c r="N87" s="104"/>
      <c r="O87" s="275"/>
      <c r="Q87" s="128"/>
      <c r="S87" s="128"/>
    </row>
    <row r="88" spans="2:19" s="12" customFormat="1" ht="15.75" x14ac:dyDescent="0.25">
      <c r="B88" s="191"/>
      <c r="C88" s="265"/>
      <c r="D88" s="150"/>
      <c r="E88" s="35"/>
      <c r="F88" s="150"/>
      <c r="G88" s="35"/>
      <c r="H88" s="150"/>
      <c r="I88" s="35"/>
      <c r="J88" s="150"/>
      <c r="K88" s="35"/>
      <c r="L88" s="150"/>
      <c r="M88" s="35"/>
      <c r="N88" s="150"/>
      <c r="O88" s="35"/>
      <c r="Q88" s="28"/>
      <c r="S88" s="28"/>
    </row>
    <row r="89" spans="2:19" s="191" customFormat="1" ht="16.5" thickBot="1" x14ac:dyDescent="0.3">
      <c r="C89" s="265"/>
      <c r="D89" s="150"/>
      <c r="E89" s="35"/>
      <c r="F89" s="150"/>
      <c r="G89" s="35"/>
      <c r="H89" s="150"/>
      <c r="I89" s="35"/>
      <c r="J89" s="150"/>
      <c r="K89" s="35"/>
      <c r="L89" s="150"/>
      <c r="M89" s="35"/>
      <c r="N89" s="150"/>
      <c r="O89" s="35"/>
      <c r="Q89" s="150"/>
      <c r="S89" s="150"/>
    </row>
    <row r="90" spans="2:19" s="191" customFormat="1" ht="16.5" thickBot="1" x14ac:dyDescent="0.3">
      <c r="B90" s="105" t="s">
        <v>62</v>
      </c>
      <c r="C90" s="216">
        <f>+C17</f>
        <v>3230</v>
      </c>
      <c r="D90" s="216"/>
      <c r="E90" s="32"/>
      <c r="F90" s="31"/>
      <c r="G90" s="32"/>
      <c r="H90" s="31"/>
      <c r="I90" s="32"/>
      <c r="J90" s="31"/>
      <c r="K90" s="32"/>
      <c r="L90" s="31"/>
      <c r="M90" s="32"/>
      <c r="N90" s="31"/>
      <c r="O90" s="32"/>
      <c r="Q90" s="150"/>
      <c r="S90" s="150"/>
    </row>
    <row r="91" spans="2:19" s="191" customFormat="1" ht="16.5" thickBot="1" x14ac:dyDescent="0.3">
      <c r="B91" s="9" t="s">
        <v>63</v>
      </c>
      <c r="C91" s="216" t="e">
        <f>+C87</f>
        <v>#REF!</v>
      </c>
      <c r="D91" s="216"/>
      <c r="E91" s="32"/>
      <c r="F91" s="31"/>
      <c r="G91" s="32"/>
      <c r="H91" s="31"/>
      <c r="I91" s="32"/>
      <c r="J91" s="31"/>
      <c r="K91" s="32"/>
      <c r="L91" s="31"/>
      <c r="M91" s="32"/>
      <c r="N91" s="31"/>
      <c r="O91" s="547"/>
      <c r="Q91" s="150"/>
      <c r="S91" s="150"/>
    </row>
    <row r="92" spans="2:19" s="191" customFormat="1" ht="16.5" thickBot="1" x14ac:dyDescent="0.3">
      <c r="C92" s="167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Q92" s="150"/>
      <c r="S92" s="150"/>
    </row>
    <row r="93" spans="2:19" s="11" customFormat="1" ht="16.5" thickBot="1" x14ac:dyDescent="0.3">
      <c r="B93" s="9" t="s">
        <v>64</v>
      </c>
      <c r="C93" s="267" t="e">
        <f>+C90-C91</f>
        <v>#REF!</v>
      </c>
      <c r="D93" s="267"/>
      <c r="E93" s="259"/>
      <c r="F93" s="260"/>
      <c r="G93" s="259"/>
      <c r="H93" s="260"/>
      <c r="I93" s="259"/>
      <c r="J93" s="260"/>
      <c r="K93" s="259"/>
      <c r="L93" s="260"/>
      <c r="M93" s="259"/>
      <c r="N93" s="260"/>
      <c r="O93" s="547"/>
      <c r="Q93" s="22"/>
      <c r="S93" s="22"/>
    </row>
    <row r="94" spans="2:19" s="11" customFormat="1" ht="15.75" x14ac:dyDescent="0.25">
      <c r="B94" s="20"/>
      <c r="C94" s="241"/>
      <c r="D94" s="258"/>
      <c r="E94" s="21"/>
      <c r="F94" s="258"/>
      <c r="G94" s="21"/>
      <c r="H94" s="22"/>
      <c r="I94" s="21"/>
      <c r="J94" s="22"/>
      <c r="K94" s="21"/>
      <c r="L94" s="22"/>
      <c r="M94" s="21"/>
      <c r="N94" s="22"/>
      <c r="O94" s="35"/>
      <c r="Q94" s="22"/>
      <c r="S94" s="22"/>
    </row>
    <row r="95" spans="2:19" s="11" customFormat="1" ht="15.75" x14ac:dyDescent="0.25">
      <c r="B95" s="20"/>
      <c r="C95" s="241"/>
      <c r="D95" s="258"/>
      <c r="E95" s="21"/>
      <c r="F95" s="258"/>
      <c r="G95" s="21"/>
      <c r="H95" s="22"/>
      <c r="I95" s="21"/>
      <c r="J95" s="22"/>
      <c r="K95" s="21"/>
      <c r="L95" s="22"/>
      <c r="M95" s="21"/>
      <c r="N95" s="22"/>
      <c r="O95" s="35"/>
      <c r="Q95" s="22"/>
      <c r="S95" s="22"/>
    </row>
    <row r="96" spans="2:19" s="11" customFormat="1" ht="15.75" x14ac:dyDescent="0.25">
      <c r="B96" s="20" t="s">
        <v>61</v>
      </c>
      <c r="C96" s="241"/>
      <c r="D96" s="258"/>
      <c r="E96" s="21"/>
      <c r="F96" s="258"/>
      <c r="G96" s="21"/>
      <c r="H96" s="22"/>
      <c r="I96" s="21"/>
      <c r="J96" s="22"/>
      <c r="K96" s="21"/>
      <c r="L96" s="22"/>
      <c r="M96" s="21"/>
      <c r="N96" s="22"/>
      <c r="O96" s="35"/>
      <c r="Q96" s="22"/>
      <c r="S96" s="22"/>
    </row>
    <row r="97" spans="2:19" s="11" customFormat="1" ht="15.75" x14ac:dyDescent="0.25">
      <c r="B97" s="23" t="s">
        <v>191</v>
      </c>
      <c r="C97" s="241"/>
      <c r="D97" s="258"/>
      <c r="E97" s="21"/>
      <c r="F97" s="258"/>
      <c r="G97" s="21"/>
      <c r="H97" s="22"/>
      <c r="I97" s="21"/>
      <c r="J97" s="22"/>
      <c r="K97" s="21"/>
      <c r="L97" s="22"/>
      <c r="M97" s="21"/>
      <c r="N97" s="22"/>
      <c r="O97" s="35"/>
      <c r="Q97" s="22"/>
      <c r="S97" s="22"/>
    </row>
    <row r="98" spans="2:19" s="11" customFormat="1" ht="15.75" x14ac:dyDescent="0.25">
      <c r="B98" s="11" t="s">
        <v>440</v>
      </c>
      <c r="C98" s="241"/>
      <c r="D98" s="258"/>
      <c r="E98" s="21"/>
      <c r="F98" s="258"/>
      <c r="G98" s="21"/>
      <c r="H98" s="22"/>
      <c r="I98" s="21"/>
      <c r="J98" s="22"/>
      <c r="K98" s="21"/>
      <c r="L98" s="22"/>
      <c r="M98" s="21"/>
      <c r="N98" s="22"/>
      <c r="O98" s="35"/>
      <c r="Q98" s="22"/>
      <c r="S98" s="22"/>
    </row>
    <row r="99" spans="2:19" s="11" customFormat="1" ht="15.75" x14ac:dyDescent="0.25">
      <c r="B99" s="11" t="s">
        <v>741</v>
      </c>
      <c r="C99" s="241"/>
      <c r="D99" s="258"/>
      <c r="E99" s="21"/>
      <c r="F99" s="258"/>
      <c r="G99" s="21"/>
      <c r="H99" s="22"/>
      <c r="I99" s="21"/>
      <c r="J99" s="22"/>
      <c r="K99" s="21"/>
      <c r="L99" s="22"/>
      <c r="M99" s="21"/>
      <c r="N99" s="22"/>
      <c r="O99" s="35"/>
      <c r="Q99" s="22"/>
      <c r="S99" s="22"/>
    </row>
    <row r="100" spans="2:19" s="11" customFormat="1" ht="15.75" x14ac:dyDescent="0.25">
      <c r="B100" s="11" t="s">
        <v>739</v>
      </c>
      <c r="C100" s="241"/>
      <c r="D100" s="258"/>
      <c r="E100" s="21"/>
      <c r="F100" s="258"/>
      <c r="G100" s="21"/>
      <c r="H100" s="22"/>
      <c r="I100" s="21"/>
      <c r="J100" s="22"/>
      <c r="K100" s="21"/>
      <c r="L100" s="22"/>
      <c r="M100" s="21"/>
      <c r="N100" s="22"/>
      <c r="O100" s="35"/>
      <c r="Q100" s="22"/>
      <c r="S100" s="22"/>
    </row>
    <row r="101" spans="2:19" s="11" customFormat="1" ht="15.75" x14ac:dyDescent="0.25">
      <c r="B101" s="160" t="s">
        <v>740</v>
      </c>
      <c r="C101" s="241"/>
      <c r="D101" s="258"/>
      <c r="E101" s="21"/>
      <c r="F101" s="258"/>
      <c r="G101" s="21"/>
      <c r="H101" s="22"/>
      <c r="I101" s="21"/>
      <c r="J101" s="22"/>
      <c r="K101" s="21"/>
      <c r="L101" s="22"/>
      <c r="M101" s="21"/>
      <c r="N101" s="22"/>
      <c r="O101" s="35"/>
      <c r="Q101" s="22"/>
      <c r="S101" s="22"/>
    </row>
    <row r="102" spans="2:19" s="11" customFormat="1" ht="16.5" thickBot="1" x14ac:dyDescent="0.3">
      <c r="B102" s="65" t="s">
        <v>467</v>
      </c>
      <c r="C102" s="266"/>
      <c r="D102" s="258"/>
      <c r="E102" s="21"/>
      <c r="F102" s="258"/>
      <c r="G102" s="24"/>
      <c r="H102" s="22"/>
      <c r="I102" s="21"/>
      <c r="J102" s="22"/>
      <c r="K102" s="21"/>
      <c r="L102" s="22"/>
      <c r="M102" s="24"/>
      <c r="N102" s="22"/>
      <c r="O102" s="35"/>
      <c r="Q102" s="22"/>
      <c r="S102" s="22"/>
    </row>
    <row r="103" spans="2:19" s="11" customFormat="1" ht="16.5" thickBot="1" x14ac:dyDescent="0.3">
      <c r="B103" s="9" t="s">
        <v>31</v>
      </c>
      <c r="C103" s="217"/>
      <c r="D103" s="208"/>
      <c r="E103" s="216"/>
      <c r="F103" s="210"/>
      <c r="G103" s="217"/>
      <c r="H103" s="208"/>
      <c r="I103" s="216"/>
      <c r="J103" s="209"/>
      <c r="K103" s="216"/>
      <c r="L103" s="268"/>
      <c r="M103" s="217"/>
      <c r="N103" s="208"/>
      <c r="O103" s="32"/>
      <c r="Q103" s="22"/>
      <c r="S103" s="22"/>
    </row>
    <row r="104" spans="2:19" s="11" customFormat="1" ht="15.75" x14ac:dyDescent="0.25">
      <c r="B104" s="20"/>
      <c r="C104" s="167"/>
      <c r="D104" s="150"/>
      <c r="E104" s="150"/>
      <c r="F104" s="150"/>
      <c r="G104" s="28"/>
      <c r="H104" s="28"/>
      <c r="I104" s="28"/>
      <c r="J104" s="28"/>
      <c r="K104" s="28"/>
      <c r="L104" s="28"/>
      <c r="M104" s="28"/>
      <c r="N104" s="28"/>
      <c r="O104" s="28"/>
      <c r="Q104" s="22"/>
      <c r="S104" s="22"/>
    </row>
    <row r="105" spans="2:19" s="11" customFormat="1" ht="15.75" x14ac:dyDescent="0.25">
      <c r="B105" s="23"/>
      <c r="C105" s="165"/>
      <c r="D105" s="258"/>
      <c r="E105" s="258"/>
      <c r="F105" s="258"/>
      <c r="G105" s="22"/>
      <c r="H105" s="22"/>
      <c r="I105" s="22"/>
      <c r="J105" s="22"/>
      <c r="K105" s="22"/>
      <c r="L105" s="22"/>
      <c r="M105" s="22"/>
      <c r="N105" s="22"/>
      <c r="O105" s="28"/>
      <c r="Q105" s="22"/>
      <c r="S105" s="22"/>
    </row>
    <row r="106" spans="2:19" s="160" customFormat="1" ht="15.75" x14ac:dyDescent="0.25">
      <c r="B106" s="191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50"/>
      <c r="Q106" s="258"/>
    </row>
    <row r="107" spans="2:19" s="160" customFormat="1" ht="15.75" x14ac:dyDescent="0.25">
      <c r="C107" s="165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150"/>
      <c r="Q107" s="258"/>
    </row>
    <row r="108" spans="2:19" s="160" customFormat="1" ht="15.75" x14ac:dyDescent="0.25">
      <c r="B108" s="191"/>
      <c r="C108" s="165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150"/>
      <c r="Q108" s="258"/>
    </row>
    <row r="109" spans="2:19" s="157" customFormat="1" ht="15.75" x14ac:dyDescent="0.25">
      <c r="C109" s="170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150"/>
      <c r="Q109" s="253"/>
    </row>
    <row r="110" spans="2:19" s="191" customFormat="1" ht="15.75" x14ac:dyDescent="0.25">
      <c r="C110" s="167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Q110" s="150"/>
    </row>
    <row r="111" spans="2:19" s="191" customFormat="1" ht="15.75" x14ac:dyDescent="0.25">
      <c r="C111" s="167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Q111" s="150"/>
    </row>
    <row r="112" spans="2:19" s="191" customFormat="1" ht="15.75" x14ac:dyDescent="0.25">
      <c r="C112" s="167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Q112" s="150"/>
    </row>
    <row r="113" spans="2:17" s="191" customFormat="1" ht="15.75" x14ac:dyDescent="0.25">
      <c r="C113" s="167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Q113" s="150"/>
    </row>
    <row r="114" spans="2:17" s="12" customFormat="1" ht="15.75" x14ac:dyDescent="0.25">
      <c r="C114" s="167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Q114" s="28"/>
    </row>
    <row r="115" spans="2:17" s="12" customFormat="1" ht="15.75" x14ac:dyDescent="0.25">
      <c r="B115" s="36" t="s">
        <v>65</v>
      </c>
      <c r="C115" s="167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Q115" s="28"/>
    </row>
    <row r="116" spans="2:17" x14ac:dyDescent="0.3">
      <c r="B116" t="s">
        <v>198</v>
      </c>
      <c r="C116" s="226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261"/>
    </row>
    <row r="117" spans="2:17" x14ac:dyDescent="0.3">
      <c r="B117" s="164" t="s">
        <v>447</v>
      </c>
      <c r="C117" s="226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261"/>
    </row>
    <row r="118" spans="2:17" x14ac:dyDescent="0.3">
      <c r="C118" s="226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261"/>
    </row>
    <row r="119" spans="2:17" x14ac:dyDescent="0.3">
      <c r="C119" s="226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261"/>
    </row>
    <row r="120" spans="2:17" x14ac:dyDescent="0.3">
      <c r="C120" s="226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261"/>
    </row>
    <row r="121" spans="2:17" x14ac:dyDescent="0.3">
      <c r="B121" t="s">
        <v>148</v>
      </c>
      <c r="C121" s="226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261"/>
    </row>
    <row r="122" spans="2:17" x14ac:dyDescent="0.3">
      <c r="B122" t="s">
        <v>84</v>
      </c>
      <c r="C122" s="226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261"/>
    </row>
    <row r="123" spans="2:17" x14ac:dyDescent="0.3">
      <c r="B123" t="s">
        <v>85</v>
      </c>
      <c r="C123" s="226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261"/>
    </row>
    <row r="124" spans="2:17" x14ac:dyDescent="0.3">
      <c r="B124" t="s">
        <v>86</v>
      </c>
      <c r="C124" s="226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261"/>
    </row>
    <row r="125" spans="2:17" x14ac:dyDescent="0.3">
      <c r="B125" t="s">
        <v>87</v>
      </c>
      <c r="C125" s="226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261"/>
    </row>
    <row r="126" spans="2:17" x14ac:dyDescent="0.3">
      <c r="B126" t="s">
        <v>117</v>
      </c>
      <c r="C126" s="226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261"/>
    </row>
    <row r="127" spans="2:17" x14ac:dyDescent="0.3">
      <c r="B127" t="s">
        <v>118</v>
      </c>
      <c r="C127" s="226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261"/>
    </row>
    <row r="128" spans="2:17" x14ac:dyDescent="0.3">
      <c r="B128" t="s">
        <v>149</v>
      </c>
      <c r="C128" s="226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261"/>
    </row>
    <row r="129" spans="2:15" x14ac:dyDescent="0.3">
      <c r="B129" t="s">
        <v>150</v>
      </c>
      <c r="C129" s="226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261"/>
    </row>
    <row r="130" spans="2:15" x14ac:dyDescent="0.3">
      <c r="B130" t="s">
        <v>121</v>
      </c>
      <c r="C130" s="226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261"/>
    </row>
    <row r="131" spans="2:15" x14ac:dyDescent="0.3">
      <c r="B131" t="s">
        <v>151</v>
      </c>
      <c r="C131" s="226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261"/>
    </row>
    <row r="132" spans="2:15" x14ac:dyDescent="0.3">
      <c r="B132" t="s">
        <v>152</v>
      </c>
      <c r="C132" s="226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261"/>
    </row>
    <row r="133" spans="2:15" x14ac:dyDescent="0.3">
      <c r="C133" s="226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261"/>
    </row>
    <row r="134" spans="2:15" x14ac:dyDescent="0.3">
      <c r="C134" s="226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261"/>
    </row>
    <row r="135" spans="2:15" x14ac:dyDescent="0.3">
      <c r="C135" s="226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261"/>
    </row>
    <row r="136" spans="2:15" x14ac:dyDescent="0.3">
      <c r="C136" s="226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261"/>
    </row>
    <row r="137" spans="2:15" x14ac:dyDescent="0.3">
      <c r="C137" s="226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261"/>
    </row>
    <row r="138" spans="2:15" x14ac:dyDescent="0.3">
      <c r="C138" s="226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261"/>
    </row>
    <row r="139" spans="2:15" x14ac:dyDescent="0.3">
      <c r="C139" s="226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261"/>
    </row>
    <row r="140" spans="2:15" x14ac:dyDescent="0.3">
      <c r="C140" s="226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261"/>
    </row>
    <row r="141" spans="2:15" x14ac:dyDescent="0.3">
      <c r="C141" s="226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261"/>
    </row>
    <row r="142" spans="2:15" x14ac:dyDescent="0.3">
      <c r="C142" s="226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261"/>
    </row>
    <row r="143" spans="2:15" x14ac:dyDescent="0.3">
      <c r="C143" s="226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261"/>
    </row>
    <row r="144" spans="2:15" x14ac:dyDescent="0.3">
      <c r="C144" s="226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261"/>
    </row>
    <row r="145" spans="3:15" x14ac:dyDescent="0.3">
      <c r="C145" s="226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261"/>
    </row>
    <row r="146" spans="3:15" x14ac:dyDescent="0.3">
      <c r="C146" s="226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261"/>
    </row>
    <row r="147" spans="3:15" x14ac:dyDescent="0.3">
      <c r="C147" s="226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261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5"/>
  <sheetViews>
    <sheetView topLeftCell="E1" zoomScale="130" zoomScaleNormal="130" workbookViewId="0">
      <pane ySplit="1" topLeftCell="A221" activePane="bottomLeft" state="frozen"/>
      <selection activeCell="E377" sqref="E377"/>
      <selection pane="bottomLeft" activeCell="K235" sqref="K235"/>
    </sheetView>
  </sheetViews>
  <sheetFormatPr defaultRowHeight="15" x14ac:dyDescent="0.25"/>
  <cols>
    <col min="1" max="1" width="11.5703125" customWidth="1"/>
    <col min="2" max="2" width="31.5703125" style="107" customWidth="1"/>
    <col min="3" max="3" width="12.42578125" style="47" customWidth="1"/>
    <col min="4" max="4" width="10.42578125" style="51" customWidth="1"/>
    <col min="5" max="5" width="10.5703125" style="16" customWidth="1"/>
    <col min="6" max="6" width="10.5703125" style="139" customWidth="1"/>
    <col min="7" max="7" width="14.28515625" style="47" customWidth="1"/>
    <col min="8" max="8" width="1.140625" style="49" customWidth="1"/>
    <col min="9" max="9" width="12.7109375" style="313" customWidth="1"/>
    <col min="10" max="10" width="38.42578125" style="380" customWidth="1"/>
    <col min="11" max="11" width="13.85546875" style="19" customWidth="1"/>
    <col min="12" max="12" width="10.5703125" style="147" customWidth="1"/>
    <col min="13" max="13" width="10.28515625" bestFit="1" customWidth="1"/>
    <col min="14" max="14" width="14.140625" customWidth="1"/>
    <col min="15" max="15" width="11.85546875" customWidth="1"/>
    <col min="16" max="16" width="11.28515625" bestFit="1" customWidth="1"/>
    <col min="17" max="17" width="10.42578125" customWidth="1"/>
    <col min="18" max="18" width="11.28515625" customWidth="1"/>
    <col min="19" max="19" width="22.28515625" customWidth="1"/>
  </cols>
  <sheetData>
    <row r="1" spans="1:12" s="5" customFormat="1" ht="48" customHeight="1" x14ac:dyDescent="0.3">
      <c r="A1" s="5" t="s">
        <v>703</v>
      </c>
      <c r="B1" s="92"/>
      <c r="C1" s="136" t="s">
        <v>267</v>
      </c>
      <c r="D1" s="137" t="s">
        <v>94</v>
      </c>
      <c r="E1" s="138" t="s">
        <v>268</v>
      </c>
      <c r="F1" s="140" t="s">
        <v>269</v>
      </c>
      <c r="G1" s="46" t="s">
        <v>31</v>
      </c>
      <c r="H1" s="48"/>
      <c r="I1" s="94"/>
      <c r="J1" s="381" t="s">
        <v>29</v>
      </c>
      <c r="K1" s="15" t="s">
        <v>12</v>
      </c>
      <c r="L1" s="172" t="s">
        <v>46</v>
      </c>
    </row>
    <row r="2" spans="1:12" x14ac:dyDescent="0.25">
      <c r="I2" s="314">
        <v>45292</v>
      </c>
      <c r="J2" s="380" t="s">
        <v>1805</v>
      </c>
      <c r="K2" s="19">
        <v>1000</v>
      </c>
    </row>
    <row r="3" spans="1:12" x14ac:dyDescent="0.25">
      <c r="I3" s="313" t="s">
        <v>1808</v>
      </c>
      <c r="J3" s="380" t="s">
        <v>1806</v>
      </c>
      <c r="K3" s="19">
        <v>300</v>
      </c>
    </row>
    <row r="4" spans="1:12" x14ac:dyDescent="0.25">
      <c r="J4" s="380" t="s">
        <v>859</v>
      </c>
      <c r="K4" s="19">
        <v>300</v>
      </c>
    </row>
    <row r="5" spans="1:12" x14ac:dyDescent="0.25">
      <c r="J5" s="380" t="s">
        <v>1114</v>
      </c>
      <c r="K5" s="19">
        <v>1000</v>
      </c>
    </row>
    <row r="6" spans="1:12" x14ac:dyDescent="0.25">
      <c r="J6" s="380" t="s">
        <v>125</v>
      </c>
      <c r="K6" s="19">
        <f>3865400/10800</f>
        <v>357.90740740740739</v>
      </c>
    </row>
    <row r="7" spans="1:12" x14ac:dyDescent="0.25">
      <c r="J7" s="380" t="s">
        <v>1807</v>
      </c>
      <c r="K7" s="19">
        <f>15+15+12</f>
        <v>42</v>
      </c>
    </row>
    <row r="8" spans="1:12" x14ac:dyDescent="0.25">
      <c r="J8" s="380" t="s">
        <v>1809</v>
      </c>
      <c r="L8" s="147">
        <v>70</v>
      </c>
    </row>
    <row r="9" spans="1:12" x14ac:dyDescent="0.25">
      <c r="J9" s="380" t="s">
        <v>1810</v>
      </c>
      <c r="K9" s="19">
        <v>75</v>
      </c>
    </row>
    <row r="10" spans="1:12" x14ac:dyDescent="0.25">
      <c r="I10" s="313" t="s">
        <v>1849</v>
      </c>
      <c r="J10" s="380" t="s">
        <v>1851</v>
      </c>
      <c r="K10" s="19">
        <v>18</v>
      </c>
    </row>
    <row r="11" spans="1:12" x14ac:dyDescent="0.25">
      <c r="I11" s="313" t="s">
        <v>1850</v>
      </c>
      <c r="J11" s="380" t="s">
        <v>1852</v>
      </c>
      <c r="K11" s="19">
        <v>20</v>
      </c>
    </row>
    <row r="12" spans="1:12" x14ac:dyDescent="0.25">
      <c r="J12" s="380" t="s">
        <v>1853</v>
      </c>
      <c r="K12" s="19">
        <v>5</v>
      </c>
    </row>
    <row r="13" spans="1:12" x14ac:dyDescent="0.25">
      <c r="J13" s="380" t="s">
        <v>1854</v>
      </c>
      <c r="L13" s="147">
        <f>240000/11000+10</f>
        <v>31.818181818181817</v>
      </c>
    </row>
    <row r="14" spans="1:12" x14ac:dyDescent="0.25">
      <c r="I14" s="313" t="s">
        <v>1889</v>
      </c>
      <c r="J14" s="380" t="s">
        <v>1851</v>
      </c>
      <c r="K14" s="19">
        <v>18</v>
      </c>
    </row>
    <row r="15" spans="1:12" x14ac:dyDescent="0.25">
      <c r="J15" s="380" t="s">
        <v>1890</v>
      </c>
      <c r="K15" s="19">
        <v>20</v>
      </c>
    </row>
    <row r="16" spans="1:12" x14ac:dyDescent="0.25">
      <c r="J16" s="380" t="s">
        <v>46</v>
      </c>
      <c r="L16" s="147">
        <f>20+28+10+20</f>
        <v>78</v>
      </c>
    </row>
    <row r="17" spans="9:11" x14ac:dyDescent="0.25">
      <c r="I17" s="313" t="s">
        <v>1920</v>
      </c>
      <c r="J17" s="380" t="s">
        <v>1851</v>
      </c>
      <c r="K17" s="19">
        <v>18</v>
      </c>
    </row>
    <row r="18" spans="9:11" x14ac:dyDescent="0.25">
      <c r="J18" s="380" t="s">
        <v>1921</v>
      </c>
      <c r="K18" s="19">
        <v>18</v>
      </c>
    </row>
    <row r="25" spans="9:11" x14ac:dyDescent="0.25">
      <c r="J25" s="753" t="s">
        <v>1922</v>
      </c>
    </row>
    <row r="26" spans="9:11" x14ac:dyDescent="0.25">
      <c r="I26" s="313" t="s">
        <v>2007</v>
      </c>
      <c r="J26" s="380" t="s">
        <v>1923</v>
      </c>
      <c r="K26" s="19">
        <v>175</v>
      </c>
    </row>
    <row r="27" spans="9:11" x14ac:dyDescent="0.25">
      <c r="J27" s="380" t="s">
        <v>1924</v>
      </c>
      <c r="K27" s="19">
        <v>175</v>
      </c>
    </row>
    <row r="28" spans="9:11" x14ac:dyDescent="0.25">
      <c r="J28" s="380" t="s">
        <v>2008</v>
      </c>
      <c r="K28" s="19">
        <v>15</v>
      </c>
    </row>
    <row r="29" spans="9:11" x14ac:dyDescent="0.25">
      <c r="J29" s="380" t="s">
        <v>2009</v>
      </c>
      <c r="K29" s="19">
        <v>15</v>
      </c>
    </row>
    <row r="30" spans="9:11" x14ac:dyDescent="0.25">
      <c r="I30" s="313" t="s">
        <v>2010</v>
      </c>
      <c r="J30" s="380" t="s">
        <v>2008</v>
      </c>
      <c r="K30" s="19">
        <v>15</v>
      </c>
    </row>
    <row r="31" spans="9:11" x14ac:dyDescent="0.25">
      <c r="J31" s="380" t="s">
        <v>2009</v>
      </c>
      <c r="K31" s="19">
        <v>15</v>
      </c>
    </row>
    <row r="32" spans="9:11" x14ac:dyDescent="0.25">
      <c r="J32" s="380" t="s">
        <v>2012</v>
      </c>
      <c r="K32" s="19">
        <v>60</v>
      </c>
    </row>
    <row r="33" spans="9:12" x14ac:dyDescent="0.25">
      <c r="J33" s="380" t="s">
        <v>2013</v>
      </c>
      <c r="K33" s="19">
        <v>1000</v>
      </c>
    </row>
    <row r="34" spans="9:12" x14ac:dyDescent="0.25">
      <c r="J34" s="380" t="s">
        <v>2014</v>
      </c>
      <c r="K34" s="19">
        <v>1000</v>
      </c>
    </row>
    <row r="35" spans="9:12" x14ac:dyDescent="0.25">
      <c r="J35" s="380" t="s">
        <v>2015</v>
      </c>
      <c r="K35" s="19">
        <v>780</v>
      </c>
    </row>
    <row r="36" spans="9:12" x14ac:dyDescent="0.25">
      <c r="J36" s="380" t="s">
        <v>2016</v>
      </c>
      <c r="K36" s="19">
        <v>110</v>
      </c>
    </row>
    <row r="37" spans="9:12" x14ac:dyDescent="0.25">
      <c r="J37" s="380" t="s">
        <v>2017</v>
      </c>
      <c r="K37" s="19">
        <f>731+190</f>
        <v>921</v>
      </c>
    </row>
    <row r="38" spans="9:12" x14ac:dyDescent="0.25">
      <c r="J38" s="380" t="s">
        <v>2018</v>
      </c>
      <c r="K38" s="19">
        <v>20</v>
      </c>
    </row>
    <row r="39" spans="9:12" x14ac:dyDescent="0.25">
      <c r="J39" s="380" t="s">
        <v>2019</v>
      </c>
      <c r="L39" s="147">
        <v>80</v>
      </c>
    </row>
    <row r="40" spans="9:12" x14ac:dyDescent="0.25">
      <c r="J40" s="380" t="s">
        <v>2020</v>
      </c>
      <c r="K40" s="19">
        <v>70</v>
      </c>
    </row>
    <row r="41" spans="9:12" x14ac:dyDescent="0.25">
      <c r="J41" s="380" t="s">
        <v>1854</v>
      </c>
      <c r="L41" s="147">
        <f>10+30+20</f>
        <v>60</v>
      </c>
    </row>
    <row r="42" spans="9:12" x14ac:dyDescent="0.25">
      <c r="I42" s="313" t="s">
        <v>1849</v>
      </c>
      <c r="J42" s="380" t="s">
        <v>2008</v>
      </c>
      <c r="K42" s="19">
        <v>15</v>
      </c>
    </row>
    <row r="43" spans="9:12" x14ac:dyDescent="0.25">
      <c r="J43" s="380" t="s">
        <v>2011</v>
      </c>
      <c r="K43" s="19">
        <v>6</v>
      </c>
    </row>
    <row r="44" spans="9:12" x14ac:dyDescent="0.25">
      <c r="J44" s="380" t="s">
        <v>2038</v>
      </c>
      <c r="K44" s="19">
        <v>230</v>
      </c>
    </row>
    <row r="45" spans="9:12" x14ac:dyDescent="0.25">
      <c r="J45" s="380" t="s">
        <v>46</v>
      </c>
      <c r="L45" s="147">
        <f>14+10</f>
        <v>24</v>
      </c>
    </row>
    <row r="46" spans="9:12" x14ac:dyDescent="0.25">
      <c r="I46" s="313" t="s">
        <v>2039</v>
      </c>
      <c r="J46" s="380" t="s">
        <v>2008</v>
      </c>
      <c r="K46" s="19">
        <v>15</v>
      </c>
    </row>
    <row r="47" spans="9:12" x14ac:dyDescent="0.25">
      <c r="J47" s="380" t="s">
        <v>2040</v>
      </c>
      <c r="K47" s="19">
        <v>15</v>
      </c>
    </row>
    <row r="48" spans="9:12" ht="15.75" thickBot="1" x14ac:dyDescent="0.3">
      <c r="J48" s="380" t="s">
        <v>2041</v>
      </c>
      <c r="K48" s="19">
        <v>215</v>
      </c>
    </row>
    <row r="49" spans="9:12" ht="15.75" thickBot="1" x14ac:dyDescent="0.3">
      <c r="I49" s="162"/>
      <c r="J49" s="811" t="s">
        <v>31</v>
      </c>
      <c r="K49" s="812">
        <f>SUM(K26:K48)</f>
        <v>4867</v>
      </c>
      <c r="L49" s="813">
        <f t="shared" ref="L49" si="0">SUM(L26:L48)</f>
        <v>164</v>
      </c>
    </row>
    <row r="51" spans="9:12" x14ac:dyDescent="0.25">
      <c r="J51" s="753" t="s">
        <v>753</v>
      </c>
    </row>
    <row r="52" spans="9:12" x14ac:dyDescent="0.25">
      <c r="I52" s="313" t="s">
        <v>341</v>
      </c>
      <c r="J52" s="380" t="s">
        <v>1923</v>
      </c>
      <c r="K52" s="19">
        <v>175</v>
      </c>
    </row>
    <row r="53" spans="9:12" x14ac:dyDescent="0.25">
      <c r="J53" s="380" t="s">
        <v>1924</v>
      </c>
      <c r="K53" s="19">
        <v>175</v>
      </c>
    </row>
    <row r="54" spans="9:12" x14ac:dyDescent="0.25">
      <c r="J54" s="380" t="s">
        <v>2008</v>
      </c>
      <c r="K54" s="19">
        <v>15</v>
      </c>
    </row>
    <row r="55" spans="9:12" x14ac:dyDescent="0.25">
      <c r="J55" s="380" t="s">
        <v>2009</v>
      </c>
      <c r="K55" s="19">
        <v>15</v>
      </c>
    </row>
    <row r="56" spans="9:12" x14ac:dyDescent="0.25">
      <c r="J56" s="380" t="s">
        <v>2013</v>
      </c>
      <c r="K56" s="19">
        <v>1000</v>
      </c>
    </row>
    <row r="57" spans="9:12" x14ac:dyDescent="0.25">
      <c r="J57" s="380" t="s">
        <v>2014</v>
      </c>
      <c r="K57" s="19">
        <v>1000</v>
      </c>
    </row>
    <row r="58" spans="9:12" x14ac:dyDescent="0.25">
      <c r="J58" s="380" t="s">
        <v>2082</v>
      </c>
      <c r="L58" s="147">
        <v>10</v>
      </c>
    </row>
    <row r="59" spans="9:12" x14ac:dyDescent="0.25">
      <c r="J59" s="380" t="s">
        <v>2083</v>
      </c>
      <c r="L59" s="147">
        <v>50</v>
      </c>
    </row>
    <row r="60" spans="9:12" x14ac:dyDescent="0.25">
      <c r="J60" s="380" t="s">
        <v>2084</v>
      </c>
      <c r="L60" s="147">
        <v>300</v>
      </c>
    </row>
    <row r="61" spans="9:12" x14ac:dyDescent="0.25">
      <c r="J61" s="380" t="s">
        <v>1672</v>
      </c>
      <c r="K61" s="19">
        <v>270</v>
      </c>
    </row>
    <row r="62" spans="9:12" x14ac:dyDescent="0.25">
      <c r="I62" s="313" t="s">
        <v>2216</v>
      </c>
      <c r="J62" s="380" t="s">
        <v>2217</v>
      </c>
    </row>
    <row r="63" spans="9:12" x14ac:dyDescent="0.25">
      <c r="J63" s="380" t="s">
        <v>45</v>
      </c>
    </row>
    <row r="64" spans="9:12" x14ac:dyDescent="0.25">
      <c r="J64" s="380" t="s">
        <v>41</v>
      </c>
    </row>
    <row r="65" spans="9:12" x14ac:dyDescent="0.25">
      <c r="J65" s="380" t="s">
        <v>2218</v>
      </c>
    </row>
    <row r="66" spans="9:12" x14ac:dyDescent="0.25">
      <c r="J66" s="380" t="s">
        <v>46</v>
      </c>
    </row>
    <row r="67" spans="9:12" x14ac:dyDescent="0.25">
      <c r="J67" s="380" t="s">
        <v>2008</v>
      </c>
      <c r="K67" s="19">
        <v>15</v>
      </c>
    </row>
    <row r="68" spans="9:12" x14ac:dyDescent="0.25">
      <c r="J68" s="380" t="s">
        <v>2009</v>
      </c>
      <c r="K68" s="19">
        <v>15</v>
      </c>
    </row>
    <row r="69" spans="9:12" x14ac:dyDescent="0.25">
      <c r="I69" s="313" t="s">
        <v>2257</v>
      </c>
      <c r="J69" s="380" t="s">
        <v>2008</v>
      </c>
      <c r="K69" s="19">
        <f>15+20</f>
        <v>35</v>
      </c>
    </row>
    <row r="70" spans="9:12" x14ac:dyDescent="0.25">
      <c r="J70" s="380" t="s">
        <v>2009</v>
      </c>
      <c r="K70" s="19">
        <v>15</v>
      </c>
    </row>
    <row r="71" spans="9:12" x14ac:dyDescent="0.25">
      <c r="J71" s="380" t="s">
        <v>2260</v>
      </c>
      <c r="K71" s="19">
        <v>20</v>
      </c>
    </row>
    <row r="72" spans="9:12" x14ac:dyDescent="0.25">
      <c r="J72" s="380" t="s">
        <v>2261</v>
      </c>
      <c r="K72" s="19">
        <v>20</v>
      </c>
    </row>
    <row r="73" spans="9:12" x14ac:dyDescent="0.25">
      <c r="J73" s="380" t="s">
        <v>1890</v>
      </c>
      <c r="K73" s="19">
        <v>20</v>
      </c>
    </row>
    <row r="74" spans="9:12" x14ac:dyDescent="0.25">
      <c r="J74" s="380" t="s">
        <v>2219</v>
      </c>
      <c r="L74" s="147">
        <v>100</v>
      </c>
    </row>
    <row r="75" spans="9:12" x14ac:dyDescent="0.25">
      <c r="J75" s="380" t="s">
        <v>2041</v>
      </c>
      <c r="K75" s="19">
        <v>934</v>
      </c>
    </row>
    <row r="76" spans="9:12" x14ac:dyDescent="0.25">
      <c r="J76" s="380" t="s">
        <v>2258</v>
      </c>
      <c r="K76" s="19">
        <v>848</v>
      </c>
    </row>
    <row r="77" spans="9:12" x14ac:dyDescent="0.25">
      <c r="J77" s="380" t="s">
        <v>2259</v>
      </c>
      <c r="K77" s="19">
        <f>+K76*0.045</f>
        <v>38.159999999999997</v>
      </c>
    </row>
    <row r="78" spans="9:12" x14ac:dyDescent="0.25">
      <c r="J78" s="380" t="s">
        <v>2262</v>
      </c>
      <c r="K78" s="19">
        <v>15</v>
      </c>
    </row>
    <row r="79" spans="9:12" x14ac:dyDescent="0.25">
      <c r="J79" s="380" t="s">
        <v>2263</v>
      </c>
      <c r="K79" s="19">
        <v>20</v>
      </c>
    </row>
    <row r="80" spans="9:12" x14ac:dyDescent="0.25">
      <c r="J80" s="380" t="s">
        <v>2262</v>
      </c>
      <c r="K80" s="19">
        <v>10</v>
      </c>
    </row>
    <row r="81" spans="9:12" x14ac:dyDescent="0.25">
      <c r="J81" s="380" t="s">
        <v>46</v>
      </c>
      <c r="L81" s="147">
        <v>15</v>
      </c>
    </row>
    <row r="85" spans="9:12" ht="23.25" x14ac:dyDescent="0.35">
      <c r="J85" s="877" t="s">
        <v>2268</v>
      </c>
    </row>
    <row r="86" spans="9:12" x14ac:dyDescent="0.25">
      <c r="I86" s="313" t="s">
        <v>341</v>
      </c>
      <c r="J86" s="380" t="s">
        <v>1924</v>
      </c>
      <c r="K86" s="147">
        <v>200</v>
      </c>
      <c r="L86"/>
    </row>
    <row r="87" spans="9:12" x14ac:dyDescent="0.25">
      <c r="J87" s="380" t="s">
        <v>1955</v>
      </c>
      <c r="K87" s="147">
        <v>175</v>
      </c>
      <c r="L87"/>
    </row>
    <row r="88" spans="9:12" x14ac:dyDescent="0.25">
      <c r="J88" s="380" t="s">
        <v>2298</v>
      </c>
      <c r="K88" s="147">
        <v>15</v>
      </c>
      <c r="L88"/>
    </row>
    <row r="89" spans="9:12" x14ac:dyDescent="0.25">
      <c r="J89" s="380" t="s">
        <v>46</v>
      </c>
      <c r="K89" s="147">
        <v>30</v>
      </c>
      <c r="L89"/>
    </row>
    <row r="90" spans="9:12" x14ac:dyDescent="0.25">
      <c r="J90" s="380" t="s">
        <v>2326</v>
      </c>
      <c r="K90" s="147">
        <v>242</v>
      </c>
      <c r="L90"/>
    </row>
    <row r="91" spans="9:12" x14ac:dyDescent="0.25">
      <c r="J91" s="380" t="s">
        <v>1228</v>
      </c>
      <c r="K91" s="147">
        <v>1000</v>
      </c>
      <c r="L91"/>
    </row>
    <row r="92" spans="9:12" x14ac:dyDescent="0.25">
      <c r="J92" s="380" t="s">
        <v>859</v>
      </c>
      <c r="K92" s="147">
        <v>300</v>
      </c>
      <c r="L92"/>
    </row>
    <row r="93" spans="9:12" x14ac:dyDescent="0.25">
      <c r="J93" s="380" t="s">
        <v>2327</v>
      </c>
      <c r="K93" s="147">
        <v>500</v>
      </c>
      <c r="L93"/>
    </row>
    <row r="94" spans="9:12" x14ac:dyDescent="0.25">
      <c r="J94" s="380" t="s">
        <v>46</v>
      </c>
      <c r="K94" s="147"/>
      <c r="L94">
        <v>30</v>
      </c>
    </row>
    <row r="95" spans="9:12" x14ac:dyDescent="0.25">
      <c r="I95" s="313" t="s">
        <v>2010</v>
      </c>
      <c r="J95" s="380" t="s">
        <v>2298</v>
      </c>
      <c r="K95" s="147">
        <v>20</v>
      </c>
      <c r="L95"/>
    </row>
    <row r="96" spans="9:12" x14ac:dyDescent="0.25">
      <c r="J96" s="380" t="s">
        <v>46</v>
      </c>
      <c r="K96" s="147"/>
      <c r="L96">
        <v>30</v>
      </c>
    </row>
    <row r="97" spans="9:12" x14ac:dyDescent="0.25">
      <c r="J97" s="380" t="s">
        <v>2378</v>
      </c>
      <c r="K97" s="147">
        <v>450</v>
      </c>
      <c r="L97"/>
    </row>
    <row r="98" spans="9:12" x14ac:dyDescent="0.25">
      <c r="J98" s="380" t="s">
        <v>2372</v>
      </c>
      <c r="K98" s="147">
        <v>250</v>
      </c>
      <c r="L98"/>
    </row>
    <row r="99" spans="9:12" x14ac:dyDescent="0.25">
      <c r="J99" s="380" t="s">
        <v>2368</v>
      </c>
      <c r="K99" s="147">
        <v>200</v>
      </c>
      <c r="L99"/>
    </row>
    <row r="100" spans="9:12" x14ac:dyDescent="0.25">
      <c r="J100" s="380" t="s">
        <v>46</v>
      </c>
      <c r="K100" s="147"/>
      <c r="L100">
        <f>150+30</f>
        <v>180</v>
      </c>
    </row>
    <row r="101" spans="9:12" x14ac:dyDescent="0.25">
      <c r="I101" s="313" t="s">
        <v>2376</v>
      </c>
      <c r="J101" s="380" t="s">
        <v>2371</v>
      </c>
      <c r="K101" s="147">
        <v>80</v>
      </c>
      <c r="L101"/>
    </row>
    <row r="102" spans="9:12" x14ac:dyDescent="0.25">
      <c r="I102" s="313" t="s">
        <v>2377</v>
      </c>
      <c r="J102" s="380" t="s">
        <v>2373</v>
      </c>
      <c r="K102" s="147"/>
      <c r="L102">
        <v>100</v>
      </c>
    </row>
    <row r="103" spans="9:12" x14ac:dyDescent="0.25">
      <c r="J103" s="380" t="s">
        <v>2374</v>
      </c>
      <c r="K103" s="147">
        <v>16</v>
      </c>
      <c r="L103"/>
    </row>
    <row r="104" spans="9:12" x14ac:dyDescent="0.25">
      <c r="J104" s="380" t="s">
        <v>2375</v>
      </c>
      <c r="K104" s="147">
        <f>230+240</f>
        <v>470</v>
      </c>
      <c r="L104"/>
    </row>
    <row r="105" spans="9:12" x14ac:dyDescent="0.25">
      <c r="J105" s="380" t="s">
        <v>2396</v>
      </c>
      <c r="K105" s="19">
        <v>364</v>
      </c>
    </row>
    <row r="106" spans="9:12" x14ac:dyDescent="0.25">
      <c r="J106" s="380" t="s">
        <v>2394</v>
      </c>
      <c r="K106" s="19">
        <f>230+20</f>
        <v>250</v>
      </c>
    </row>
    <row r="107" spans="9:12" x14ac:dyDescent="0.25">
      <c r="J107" s="380" t="s">
        <v>2395</v>
      </c>
      <c r="K107" s="19">
        <f>240+20</f>
        <v>260</v>
      </c>
    </row>
    <row r="108" spans="9:12" x14ac:dyDescent="0.25">
      <c r="I108" s="313" t="s">
        <v>2039</v>
      </c>
      <c r="J108" s="380" t="s">
        <v>2298</v>
      </c>
      <c r="K108" s="19">
        <v>15</v>
      </c>
    </row>
    <row r="109" spans="9:12" x14ac:dyDescent="0.25">
      <c r="I109" s="313" t="s">
        <v>2450</v>
      </c>
      <c r="J109" s="380" t="s">
        <v>1851</v>
      </c>
      <c r="K109" s="19">
        <v>15</v>
      </c>
    </row>
    <row r="110" spans="9:12" x14ac:dyDescent="0.25">
      <c r="J110" s="380" t="s">
        <v>46</v>
      </c>
      <c r="L110" s="147">
        <f>15+5+40</f>
        <v>60</v>
      </c>
    </row>
    <row r="111" spans="9:12" x14ac:dyDescent="0.25">
      <c r="J111" s="896" t="s">
        <v>2451</v>
      </c>
    </row>
    <row r="112" spans="9:12" x14ac:dyDescent="0.25">
      <c r="J112" s="380" t="s">
        <v>2452</v>
      </c>
      <c r="K112" s="19">
        <v>425</v>
      </c>
    </row>
    <row r="113" spans="10:12" x14ac:dyDescent="0.25">
      <c r="J113" s="380" t="s">
        <v>1215</v>
      </c>
      <c r="K113" s="19">
        <v>214</v>
      </c>
    </row>
    <row r="114" spans="10:12" x14ac:dyDescent="0.25">
      <c r="J114" s="380" t="s">
        <v>2453</v>
      </c>
      <c r="K114" s="19">
        <v>396</v>
      </c>
    </row>
    <row r="115" spans="10:12" x14ac:dyDescent="0.25">
      <c r="J115" s="380" t="s">
        <v>2259</v>
      </c>
      <c r="K115" s="19">
        <v>47</v>
      </c>
    </row>
    <row r="116" spans="10:12" x14ac:dyDescent="0.25">
      <c r="J116" s="380" t="s">
        <v>2502</v>
      </c>
      <c r="K116" s="19">
        <v>15</v>
      </c>
    </row>
    <row r="117" spans="10:12" x14ac:dyDescent="0.25">
      <c r="J117" s="380" t="s">
        <v>2503</v>
      </c>
      <c r="K117" s="19">
        <v>15</v>
      </c>
    </row>
    <row r="118" spans="10:12" x14ac:dyDescent="0.25">
      <c r="J118" s="380" t="s">
        <v>2504</v>
      </c>
      <c r="L118" s="147">
        <v>30</v>
      </c>
    </row>
    <row r="121" spans="10:12" x14ac:dyDescent="0.25">
      <c r="K121" s="19">
        <f>SUM(K86:K120)</f>
        <v>5964</v>
      </c>
      <c r="L121" s="19">
        <f>SUM(L86:L120)</f>
        <v>430</v>
      </c>
    </row>
    <row r="123" spans="10:12" x14ac:dyDescent="0.25">
      <c r="J123" s="380" t="s">
        <v>1262</v>
      </c>
    </row>
    <row r="124" spans="10:12" x14ac:dyDescent="0.25">
      <c r="J124" s="380" t="s">
        <v>1924</v>
      </c>
      <c r="K124" s="147">
        <v>200</v>
      </c>
    </row>
    <row r="125" spans="10:12" x14ac:dyDescent="0.25">
      <c r="J125" s="380" t="s">
        <v>1955</v>
      </c>
      <c r="K125" s="147">
        <v>175</v>
      </c>
    </row>
    <row r="126" spans="10:12" x14ac:dyDescent="0.25">
      <c r="J126" s="380" t="s">
        <v>2517</v>
      </c>
      <c r="K126" s="19">
        <v>70</v>
      </c>
    </row>
    <row r="127" spans="10:12" x14ac:dyDescent="0.25">
      <c r="J127" s="380" t="s">
        <v>2518</v>
      </c>
      <c r="K127" s="19">
        <v>480</v>
      </c>
    </row>
    <row r="128" spans="10:12" x14ac:dyDescent="0.25">
      <c r="J128" s="380" t="s">
        <v>1512</v>
      </c>
      <c r="K128" s="19">
        <v>300</v>
      </c>
    </row>
    <row r="129" spans="9:12" x14ac:dyDescent="0.25">
      <c r="J129" s="380" t="s">
        <v>2519</v>
      </c>
      <c r="K129" s="19">
        <v>100</v>
      </c>
    </row>
    <row r="130" spans="9:12" x14ac:dyDescent="0.25">
      <c r="J130" s="380" t="s">
        <v>2520</v>
      </c>
      <c r="L130" s="147">
        <v>50</v>
      </c>
    </row>
    <row r="131" spans="9:12" x14ac:dyDescent="0.25">
      <c r="I131" s="313" t="s">
        <v>342</v>
      </c>
      <c r="J131" s="380" t="s">
        <v>2298</v>
      </c>
      <c r="K131" s="19">
        <v>15</v>
      </c>
    </row>
    <row r="132" spans="9:12" x14ac:dyDescent="0.25">
      <c r="J132" s="380" t="s">
        <v>1851</v>
      </c>
      <c r="K132" s="19">
        <v>15</v>
      </c>
    </row>
    <row r="133" spans="9:12" x14ac:dyDescent="0.25">
      <c r="J133" s="380" t="s">
        <v>2521</v>
      </c>
      <c r="K133" s="19">
        <v>6000</v>
      </c>
    </row>
    <row r="134" spans="9:12" x14ac:dyDescent="0.25">
      <c r="J134" s="380" t="s">
        <v>2522</v>
      </c>
      <c r="K134" s="19">
        <f>450+178</f>
        <v>628</v>
      </c>
    </row>
    <row r="135" spans="9:12" x14ac:dyDescent="0.25">
      <c r="J135" s="380" t="s">
        <v>2259</v>
      </c>
      <c r="K135" s="19">
        <f>+K134*0.045</f>
        <v>28.259999999999998</v>
      </c>
    </row>
    <row r="136" spans="9:12" x14ac:dyDescent="0.25">
      <c r="J136" s="380" t="s">
        <v>46</v>
      </c>
      <c r="L136" s="147">
        <f>100+21</f>
        <v>121</v>
      </c>
    </row>
    <row r="137" spans="9:12" x14ac:dyDescent="0.25">
      <c r="J137" s="380" t="s">
        <v>2561</v>
      </c>
      <c r="K137" s="19">
        <v>1300</v>
      </c>
    </row>
    <row r="138" spans="9:12" x14ac:dyDescent="0.25">
      <c r="I138" s="313" t="s">
        <v>1849</v>
      </c>
      <c r="J138" s="380" t="s">
        <v>2298</v>
      </c>
      <c r="K138" s="19">
        <v>15</v>
      </c>
    </row>
    <row r="139" spans="9:12" x14ac:dyDescent="0.25">
      <c r="J139" s="380" t="s">
        <v>1851</v>
      </c>
      <c r="K139" s="19">
        <v>15</v>
      </c>
    </row>
    <row r="140" spans="9:12" x14ac:dyDescent="0.25">
      <c r="J140" s="380" t="s">
        <v>43</v>
      </c>
      <c r="K140" s="19">
        <v>535</v>
      </c>
    </row>
    <row r="141" spans="9:12" x14ac:dyDescent="0.25">
      <c r="J141" s="380" t="s">
        <v>2578</v>
      </c>
      <c r="K141" s="19">
        <v>230</v>
      </c>
    </row>
    <row r="142" spans="9:12" x14ac:dyDescent="0.25">
      <c r="J142" s="380" t="s">
        <v>2585</v>
      </c>
      <c r="K142" s="19">
        <v>47</v>
      </c>
    </row>
    <row r="143" spans="9:12" x14ac:dyDescent="0.25">
      <c r="J143" s="380" t="s">
        <v>2521</v>
      </c>
      <c r="K143" s="19">
        <v>1000</v>
      </c>
    </row>
    <row r="144" spans="9:12" x14ac:dyDescent="0.25">
      <c r="I144" s="313" t="s">
        <v>2039</v>
      </c>
      <c r="J144" s="380" t="s">
        <v>2298</v>
      </c>
      <c r="K144" s="19">
        <v>15</v>
      </c>
    </row>
    <row r="145" spans="9:12" x14ac:dyDescent="0.25">
      <c r="I145" s="313">
        <v>150</v>
      </c>
      <c r="J145" s="380" t="s">
        <v>1851</v>
      </c>
      <c r="K145" s="19">
        <v>15</v>
      </c>
    </row>
    <row r="146" spans="9:12" x14ac:dyDescent="0.25">
      <c r="I146" s="313">
        <v>520</v>
      </c>
      <c r="J146" s="380" t="s">
        <v>2612</v>
      </c>
      <c r="K146" s="19">
        <v>515</v>
      </c>
    </row>
    <row r="147" spans="9:12" x14ac:dyDescent="0.25">
      <c r="I147" s="313">
        <v>450</v>
      </c>
      <c r="J147" s="19" t="s">
        <v>2613</v>
      </c>
      <c r="K147" s="19">
        <v>520</v>
      </c>
    </row>
    <row r="148" spans="9:12" x14ac:dyDescent="0.25">
      <c r="J148" s="380" t="s">
        <v>2614</v>
      </c>
      <c r="K148" s="19">
        <v>300</v>
      </c>
    </row>
    <row r="149" spans="9:12" x14ac:dyDescent="0.25">
      <c r="J149" s="380" t="s">
        <v>2259</v>
      </c>
      <c r="K149" s="19">
        <f>+(820*0.045)</f>
        <v>36.9</v>
      </c>
    </row>
    <row r="150" spans="9:12" x14ac:dyDescent="0.25">
      <c r="J150" s="380" t="s">
        <v>2634</v>
      </c>
      <c r="K150" s="19">
        <v>403</v>
      </c>
    </row>
    <row r="151" spans="9:12" x14ac:dyDescent="0.25">
      <c r="I151" s="313" t="s">
        <v>2039</v>
      </c>
      <c r="J151" s="380" t="s">
        <v>2298</v>
      </c>
      <c r="K151" s="19">
        <v>15</v>
      </c>
    </row>
    <row r="152" spans="9:12" x14ac:dyDescent="0.25">
      <c r="J152" s="380" t="s">
        <v>1851</v>
      </c>
      <c r="K152" s="19">
        <v>15</v>
      </c>
    </row>
    <row r="153" spans="9:12" x14ac:dyDescent="0.25">
      <c r="J153" s="380" t="s">
        <v>2635</v>
      </c>
      <c r="K153" s="19">
        <v>380</v>
      </c>
    </row>
    <row r="154" spans="9:12" x14ac:dyDescent="0.25">
      <c r="J154" s="380" t="s">
        <v>2636</v>
      </c>
      <c r="K154" s="19">
        <v>80</v>
      </c>
    </row>
    <row r="155" spans="9:12" x14ac:dyDescent="0.25">
      <c r="J155" s="380" t="s">
        <v>2659</v>
      </c>
      <c r="K155" s="19">
        <v>450</v>
      </c>
    </row>
    <row r="156" spans="9:12" x14ac:dyDescent="0.25">
      <c r="J156" s="380" t="s">
        <v>2637</v>
      </c>
      <c r="K156" s="19">
        <v>300</v>
      </c>
    </row>
    <row r="157" spans="9:12" x14ac:dyDescent="0.25">
      <c r="J157" s="380" t="s">
        <v>2660</v>
      </c>
      <c r="K157" s="19">
        <v>150</v>
      </c>
    </row>
    <row r="159" spans="9:12" x14ac:dyDescent="0.25">
      <c r="K159" s="19">
        <f>SUM(K124:K157)</f>
        <v>14348.16</v>
      </c>
      <c r="L159" s="19">
        <f>SUM(L124:L157)</f>
        <v>171</v>
      </c>
    </row>
    <row r="161" spans="9:12" x14ac:dyDescent="0.25">
      <c r="J161" s="753" t="s">
        <v>1369</v>
      </c>
    </row>
    <row r="162" spans="9:12" x14ac:dyDescent="0.25">
      <c r="I162" s="313" t="s">
        <v>2007</v>
      </c>
      <c r="J162" s="380" t="s">
        <v>1924</v>
      </c>
      <c r="K162" s="147">
        <v>200</v>
      </c>
    </row>
    <row r="163" spans="9:12" x14ac:dyDescent="0.25">
      <c r="J163" s="380" t="s">
        <v>1955</v>
      </c>
      <c r="K163" s="147">
        <v>200</v>
      </c>
    </row>
    <row r="164" spans="9:12" x14ac:dyDescent="0.25">
      <c r="J164" s="380" t="s">
        <v>2298</v>
      </c>
      <c r="K164" s="19">
        <v>15</v>
      </c>
    </row>
    <row r="165" spans="9:12" x14ac:dyDescent="0.25">
      <c r="J165" s="380" t="s">
        <v>1851</v>
      </c>
      <c r="K165" s="19">
        <v>15</v>
      </c>
    </row>
    <row r="166" spans="9:12" x14ac:dyDescent="0.25">
      <c r="J166" s="380" t="s">
        <v>2691</v>
      </c>
      <c r="K166" s="19">
        <v>90</v>
      </c>
    </row>
    <row r="167" spans="9:12" x14ac:dyDescent="0.25">
      <c r="J167" s="380" t="s">
        <v>2692</v>
      </c>
      <c r="L167" s="147">
        <f>320+20</f>
        <v>340</v>
      </c>
    </row>
    <row r="168" spans="9:12" x14ac:dyDescent="0.25">
      <c r="J168" s="380" t="s">
        <v>2693</v>
      </c>
      <c r="K168" s="19">
        <v>450</v>
      </c>
    </row>
    <row r="169" spans="9:12" x14ac:dyDescent="0.25">
      <c r="J169" s="380" t="s">
        <v>2746</v>
      </c>
      <c r="K169" s="19">
        <v>449</v>
      </c>
    </row>
    <row r="170" spans="9:12" x14ac:dyDescent="0.25">
      <c r="I170" s="313" t="s">
        <v>2010</v>
      </c>
      <c r="J170" s="380" t="s">
        <v>2298</v>
      </c>
      <c r="K170" s="19">
        <v>15</v>
      </c>
    </row>
    <row r="171" spans="9:12" x14ac:dyDescent="0.25">
      <c r="J171" s="380" t="s">
        <v>1851</v>
      </c>
      <c r="K171" s="19">
        <v>15</v>
      </c>
    </row>
    <row r="172" spans="9:12" x14ac:dyDescent="0.25">
      <c r="J172" s="380" t="s">
        <v>2747</v>
      </c>
      <c r="K172" s="19">
        <v>482</v>
      </c>
    </row>
    <row r="173" spans="9:12" x14ac:dyDescent="0.25">
      <c r="J173" s="380" t="s">
        <v>2084</v>
      </c>
      <c r="L173" s="147">
        <v>300</v>
      </c>
    </row>
    <row r="174" spans="9:12" x14ac:dyDescent="0.25">
      <c r="J174" s="380" t="s">
        <v>2748</v>
      </c>
      <c r="K174" s="19">
        <v>15</v>
      </c>
    </row>
    <row r="175" spans="9:12" x14ac:dyDescent="0.25">
      <c r="J175" s="380" t="s">
        <v>2750</v>
      </c>
      <c r="K175" s="19">
        <v>20</v>
      </c>
    </row>
    <row r="176" spans="9:12" x14ac:dyDescent="0.25">
      <c r="J176" s="380" t="s">
        <v>2765</v>
      </c>
      <c r="K176" s="19">
        <v>120</v>
      </c>
    </row>
    <row r="177" spans="9:12" x14ac:dyDescent="0.25">
      <c r="J177" s="380" t="s">
        <v>2846</v>
      </c>
      <c r="K177" s="19">
        <v>1700</v>
      </c>
    </row>
    <row r="178" spans="9:12" x14ac:dyDescent="0.25">
      <c r="J178" s="380" t="s">
        <v>2796</v>
      </c>
      <c r="K178" s="19">
        <v>600</v>
      </c>
    </row>
    <row r="179" spans="9:12" x14ac:dyDescent="0.25">
      <c r="I179" s="313" t="s">
        <v>1849</v>
      </c>
      <c r="J179" s="380" t="s">
        <v>46</v>
      </c>
      <c r="L179" s="147">
        <f>7+16+30</f>
        <v>53</v>
      </c>
    </row>
    <row r="180" spans="9:12" x14ac:dyDescent="0.25">
      <c r="J180" s="380" t="s">
        <v>2083</v>
      </c>
      <c r="L180" s="147">
        <v>100</v>
      </c>
    </row>
    <row r="181" spans="9:12" x14ac:dyDescent="0.25">
      <c r="J181" s="380" t="s">
        <v>2298</v>
      </c>
      <c r="K181" s="19">
        <v>15</v>
      </c>
    </row>
    <row r="182" spans="9:12" x14ac:dyDescent="0.25">
      <c r="J182" s="380" t="s">
        <v>1851</v>
      </c>
      <c r="K182" s="19">
        <v>15</v>
      </c>
    </row>
    <row r="183" spans="9:12" x14ac:dyDescent="0.25">
      <c r="J183" s="380" t="s">
        <v>2830</v>
      </c>
      <c r="K183" s="19">
        <v>250</v>
      </c>
    </row>
    <row r="184" spans="9:12" x14ac:dyDescent="0.25">
      <c r="J184" s="380" t="s">
        <v>2831</v>
      </c>
      <c r="K184" s="19">
        <v>261</v>
      </c>
    </row>
    <row r="185" spans="9:12" x14ac:dyDescent="0.25">
      <c r="J185" s="380" t="s">
        <v>2832</v>
      </c>
      <c r="K185" s="19">
        <v>50</v>
      </c>
    </row>
    <row r="186" spans="9:12" x14ac:dyDescent="0.25">
      <c r="J186" s="380" t="s">
        <v>2847</v>
      </c>
      <c r="K186" s="19">
        <v>2000</v>
      </c>
    </row>
    <row r="187" spans="9:12" x14ac:dyDescent="0.25">
      <c r="I187" s="313" t="s">
        <v>2039</v>
      </c>
      <c r="J187" s="380" t="s">
        <v>2298</v>
      </c>
      <c r="K187" s="19">
        <v>20</v>
      </c>
    </row>
    <row r="188" spans="9:12" x14ac:dyDescent="0.25">
      <c r="J188" s="380" t="s">
        <v>859</v>
      </c>
      <c r="L188" s="147">
        <v>300</v>
      </c>
    </row>
    <row r="189" spans="9:12" x14ac:dyDescent="0.25">
      <c r="J189" s="380" t="s">
        <v>46</v>
      </c>
      <c r="L189" s="147">
        <f>10+20</f>
        <v>30</v>
      </c>
    </row>
    <row r="192" spans="9:12" x14ac:dyDescent="0.25">
      <c r="J192" s="380" t="s">
        <v>2923</v>
      </c>
    </row>
    <row r="193" spans="9:12" x14ac:dyDescent="0.25">
      <c r="I193" s="313" t="s">
        <v>2007</v>
      </c>
      <c r="J193" s="380" t="s">
        <v>1924</v>
      </c>
      <c r="K193" s="147">
        <v>200</v>
      </c>
    </row>
    <row r="194" spans="9:12" x14ac:dyDescent="0.25">
      <c r="J194" s="380" t="s">
        <v>1955</v>
      </c>
      <c r="K194" s="147">
        <v>200</v>
      </c>
    </row>
    <row r="195" spans="9:12" x14ac:dyDescent="0.25">
      <c r="J195" s="380" t="s">
        <v>2298</v>
      </c>
      <c r="K195" s="19">
        <v>15</v>
      </c>
    </row>
    <row r="196" spans="9:12" x14ac:dyDescent="0.25">
      <c r="J196" s="380" t="s">
        <v>2924</v>
      </c>
      <c r="K196" s="19">
        <v>15</v>
      </c>
    </row>
    <row r="197" spans="9:12" x14ac:dyDescent="0.25">
      <c r="J197" s="380" t="s">
        <v>2925</v>
      </c>
      <c r="K197" s="19">
        <v>360</v>
      </c>
    </row>
    <row r="198" spans="9:12" x14ac:dyDescent="0.25">
      <c r="J198" s="380" t="s">
        <v>2259</v>
      </c>
      <c r="K198" s="19">
        <f>+K197*0.03</f>
        <v>10.799999999999999</v>
      </c>
    </row>
    <row r="199" spans="9:12" x14ac:dyDescent="0.25">
      <c r="J199" s="380" t="s">
        <v>2926</v>
      </c>
      <c r="K199" s="19">
        <v>500</v>
      </c>
    </row>
    <row r="200" spans="9:12" x14ac:dyDescent="0.25">
      <c r="J200" s="380" t="s">
        <v>2259</v>
      </c>
      <c r="K200" s="19">
        <f>+K199*0.03</f>
        <v>15</v>
      </c>
    </row>
    <row r="201" spans="9:12" x14ac:dyDescent="0.25">
      <c r="J201" s="380" t="s">
        <v>867</v>
      </c>
      <c r="K201" s="19">
        <v>1000</v>
      </c>
    </row>
    <row r="202" spans="9:12" x14ac:dyDescent="0.25">
      <c r="J202" s="380" t="s">
        <v>859</v>
      </c>
      <c r="K202" s="19">
        <v>300</v>
      </c>
    </row>
    <row r="203" spans="9:12" x14ac:dyDescent="0.25">
      <c r="J203" s="380" t="s">
        <v>1111</v>
      </c>
      <c r="K203" s="19">
        <v>300</v>
      </c>
    </row>
    <row r="204" spans="9:12" x14ac:dyDescent="0.25">
      <c r="J204" s="380" t="s">
        <v>2927</v>
      </c>
      <c r="K204" s="19">
        <v>300</v>
      </c>
    </row>
    <row r="205" spans="9:12" x14ac:dyDescent="0.25">
      <c r="J205" s="380" t="s">
        <v>1950</v>
      </c>
      <c r="K205" s="19">
        <v>1650</v>
      </c>
    </row>
    <row r="206" spans="9:12" x14ac:dyDescent="0.25">
      <c r="J206" s="380" t="s">
        <v>2928</v>
      </c>
      <c r="K206" s="19">
        <v>210</v>
      </c>
    </row>
    <row r="207" spans="9:12" x14ac:dyDescent="0.25">
      <c r="J207" s="380" t="s">
        <v>46</v>
      </c>
      <c r="L207" s="147">
        <f>100+20</f>
        <v>120</v>
      </c>
    </row>
    <row r="208" spans="9:12" x14ac:dyDescent="0.25">
      <c r="I208" s="313" t="s">
        <v>2010</v>
      </c>
      <c r="J208" s="380" t="s">
        <v>2929</v>
      </c>
      <c r="K208" s="19">
        <v>20</v>
      </c>
    </row>
    <row r="209" spans="9:12" x14ac:dyDescent="0.25">
      <c r="J209" s="380" t="s">
        <v>2930</v>
      </c>
      <c r="K209" s="19">
        <v>400</v>
      </c>
    </row>
    <row r="210" spans="9:12" x14ac:dyDescent="0.25">
      <c r="J210" s="380" t="s">
        <v>2259</v>
      </c>
      <c r="K210" s="19">
        <f>+K209*0.03</f>
        <v>12</v>
      </c>
    </row>
    <row r="211" spans="9:12" x14ac:dyDescent="0.25">
      <c r="J211" s="380" t="s">
        <v>2931</v>
      </c>
      <c r="K211" s="19">
        <v>20</v>
      </c>
    </row>
    <row r="212" spans="9:12" x14ac:dyDescent="0.25">
      <c r="I212" s="313" t="s">
        <v>1849</v>
      </c>
      <c r="J212" s="380" t="s">
        <v>2929</v>
      </c>
      <c r="K212" s="19">
        <v>20</v>
      </c>
    </row>
    <row r="213" spans="9:12" x14ac:dyDescent="0.25">
      <c r="J213" s="380" t="s">
        <v>46</v>
      </c>
      <c r="L213" s="147">
        <v>30</v>
      </c>
    </row>
    <row r="214" spans="9:12" x14ac:dyDescent="0.25">
      <c r="J214" s="380" t="s">
        <v>2983</v>
      </c>
      <c r="K214" s="19">
        <v>130</v>
      </c>
    </row>
    <row r="215" spans="9:12" x14ac:dyDescent="0.25">
      <c r="J215" s="380" t="s">
        <v>2984</v>
      </c>
      <c r="L215" s="147">
        <v>80</v>
      </c>
    </row>
    <row r="216" spans="9:12" x14ac:dyDescent="0.25">
      <c r="J216" s="380" t="s">
        <v>2985</v>
      </c>
      <c r="K216" s="19">
        <v>250</v>
      </c>
    </row>
    <row r="217" spans="9:12" x14ac:dyDescent="0.25">
      <c r="J217" s="380" t="s">
        <v>2986</v>
      </c>
      <c r="K217" s="19">
        <v>260</v>
      </c>
    </row>
    <row r="218" spans="9:12" x14ac:dyDescent="0.25">
      <c r="I218" s="313" t="s">
        <v>2039</v>
      </c>
      <c r="J218" s="380" t="s">
        <v>2929</v>
      </c>
      <c r="K218" s="19">
        <v>20</v>
      </c>
    </row>
    <row r="219" spans="9:12" x14ac:dyDescent="0.25">
      <c r="J219" s="380" t="s">
        <v>46</v>
      </c>
      <c r="L219" s="147">
        <v>95</v>
      </c>
    </row>
    <row r="220" spans="9:12" x14ac:dyDescent="0.25">
      <c r="J220" s="380" t="s">
        <v>1852</v>
      </c>
      <c r="K220" s="19">
        <v>10</v>
      </c>
    </row>
    <row r="221" spans="9:12" x14ac:dyDescent="0.25">
      <c r="J221" s="380" t="s">
        <v>3028</v>
      </c>
      <c r="K221" s="19">
        <v>15</v>
      </c>
    </row>
    <row r="222" spans="9:12" ht="15.75" thickBot="1" x14ac:dyDescent="0.3">
      <c r="J222" s="380" t="s">
        <v>102</v>
      </c>
      <c r="K222" s="19">
        <v>10</v>
      </c>
    </row>
    <row r="223" spans="9:12" ht="15.75" thickBot="1" x14ac:dyDescent="0.3">
      <c r="K223" s="978">
        <f>SUM(K193:K222)</f>
        <v>6242.8</v>
      </c>
      <c r="L223" s="813">
        <f>SUM(L193:L222)</f>
        <v>325</v>
      </c>
    </row>
    <row r="225" spans="9:12" x14ac:dyDescent="0.25">
      <c r="J225" s="753" t="s">
        <v>1454</v>
      </c>
    </row>
    <row r="226" spans="9:12" x14ac:dyDescent="0.25">
      <c r="I226" s="314" t="s">
        <v>3029</v>
      </c>
      <c r="J226" s="380" t="s">
        <v>1924</v>
      </c>
      <c r="K226" s="19">
        <v>200</v>
      </c>
    </row>
    <row r="227" spans="9:12" x14ac:dyDescent="0.25">
      <c r="I227" s="313" t="s">
        <v>341</v>
      </c>
      <c r="J227" s="380" t="s">
        <v>3030</v>
      </c>
      <c r="K227" s="19">
        <v>200</v>
      </c>
    </row>
    <row r="228" spans="9:12" x14ac:dyDescent="0.25">
      <c r="J228" s="380" t="s">
        <v>2298</v>
      </c>
      <c r="K228" s="19">
        <v>20</v>
      </c>
    </row>
    <row r="229" spans="9:12" x14ac:dyDescent="0.25">
      <c r="J229" s="380" t="s">
        <v>43</v>
      </c>
    </row>
    <row r="230" spans="9:12" x14ac:dyDescent="0.25">
      <c r="J230" s="380" t="s">
        <v>3031</v>
      </c>
      <c r="K230" s="19">
        <v>1000</v>
      </c>
    </row>
    <row r="231" spans="9:12" x14ac:dyDescent="0.25">
      <c r="J231" s="380" t="s">
        <v>1111</v>
      </c>
      <c r="K231" s="19">
        <v>300</v>
      </c>
    </row>
    <row r="232" spans="9:12" x14ac:dyDescent="0.25">
      <c r="J232" s="380" t="s">
        <v>3033</v>
      </c>
      <c r="K232" s="19">
        <v>400</v>
      </c>
    </row>
    <row r="233" spans="9:12" x14ac:dyDescent="0.25">
      <c r="J233" s="380" t="s">
        <v>3035</v>
      </c>
      <c r="K233" s="19">
        <v>350</v>
      </c>
    </row>
    <row r="234" spans="9:12" x14ac:dyDescent="0.25">
      <c r="J234" s="380" t="s">
        <v>46</v>
      </c>
      <c r="L234" s="147">
        <f>15+10</f>
        <v>25</v>
      </c>
    </row>
    <row r="235" spans="9:12" x14ac:dyDescent="0.25">
      <c r="J235" s="380" t="s">
        <v>3036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473"/>
  <sheetViews>
    <sheetView zoomScale="130" zoomScaleNormal="130" workbookViewId="0">
      <pane ySplit="1" topLeftCell="A2" activePane="bottomLeft" state="frozen"/>
      <selection activeCell="E377" sqref="E377"/>
      <selection pane="bottomLeft" activeCell="E377" sqref="E377"/>
    </sheetView>
  </sheetViews>
  <sheetFormatPr defaultRowHeight="15" x14ac:dyDescent="0.25"/>
  <cols>
    <col min="1" max="1" width="25.42578125" customWidth="1"/>
    <col min="2" max="2" width="14.140625" customWidth="1"/>
    <col min="3" max="3" width="12.42578125" customWidth="1"/>
    <col min="4" max="4" width="10.85546875" customWidth="1"/>
    <col min="5" max="5" width="11.28515625" customWidth="1"/>
    <col min="6" max="6" width="14.28515625" customWidth="1"/>
    <col min="9" max="9" width="9.28515625" customWidth="1"/>
  </cols>
  <sheetData>
    <row r="1" spans="1:13" x14ac:dyDescent="0.25">
      <c r="A1" s="44"/>
    </row>
    <row r="3" spans="1:13" x14ac:dyDescent="0.25">
      <c r="A3" t="e">
        <f>+'daily sales'!#REF!+'daily sales'!#REF!</f>
        <v>#REF!</v>
      </c>
      <c r="E3">
        <f>1014+2900+594</f>
        <v>4508</v>
      </c>
    </row>
    <row r="5" spans="1:13" ht="15.75" thickBot="1" x14ac:dyDescent="0.3">
      <c r="E5">
        <v>900</v>
      </c>
    </row>
    <row r="6" spans="1:13" s="3" customFormat="1" ht="15.75" thickBot="1" x14ac:dyDescent="0.3">
      <c r="A6" s="8" t="e">
        <f>SUM(A3:A5)</f>
        <v>#REF!</v>
      </c>
      <c r="B6" s="8"/>
      <c r="C6" s="8"/>
      <c r="D6" s="8"/>
      <c r="E6" s="8">
        <f>SUM(E2:E5)</f>
        <v>5408</v>
      </c>
      <c r="F6" s="8"/>
      <c r="G6" s="8"/>
      <c r="H6" s="8"/>
      <c r="I6" s="8"/>
      <c r="J6" s="8"/>
      <c r="K6" s="8"/>
      <c r="L6" s="110"/>
    </row>
    <row r="8" spans="1:13" x14ac:dyDescent="0.25">
      <c r="M8" t="s">
        <v>86</v>
      </c>
    </row>
    <row r="9" spans="1:13" x14ac:dyDescent="0.25">
      <c r="B9">
        <v>15</v>
      </c>
    </row>
    <row r="13" spans="1:13" x14ac:dyDescent="0.25">
      <c r="A13">
        <v>10</v>
      </c>
    </row>
    <row r="14" spans="1:13" x14ac:dyDescent="0.25">
      <c r="A14">
        <v>120</v>
      </c>
      <c r="B14">
        <v>80</v>
      </c>
    </row>
    <row r="15" spans="1:13" x14ac:dyDescent="0.25">
      <c r="A15" s="112">
        <v>375</v>
      </c>
      <c r="B15">
        <v>250</v>
      </c>
      <c r="C15">
        <v>245</v>
      </c>
      <c r="E15" s="13">
        <f>150+260</f>
        <v>410</v>
      </c>
      <c r="F15">
        <v>550</v>
      </c>
    </row>
    <row r="16" spans="1:13" x14ac:dyDescent="0.25">
      <c r="A16" s="112">
        <v>465</v>
      </c>
      <c r="C16">
        <v>465</v>
      </c>
      <c r="E16" s="13">
        <v>458</v>
      </c>
      <c r="F16">
        <v>450</v>
      </c>
    </row>
    <row r="17" spans="1:6" x14ac:dyDescent="0.25">
      <c r="A17" s="112">
        <v>30</v>
      </c>
      <c r="B17">
        <v>15</v>
      </c>
    </row>
    <row r="22" spans="1:6" x14ac:dyDescent="0.25">
      <c r="A22">
        <v>20</v>
      </c>
    </row>
    <row r="23" spans="1:6" x14ac:dyDescent="0.25">
      <c r="A23">
        <v>55</v>
      </c>
      <c r="C23">
        <v>70</v>
      </c>
    </row>
    <row r="24" spans="1:6" x14ac:dyDescent="0.25">
      <c r="A24" s="112">
        <v>550</v>
      </c>
    </row>
    <row r="25" spans="1:6" x14ac:dyDescent="0.25">
      <c r="A25" s="112">
        <v>165</v>
      </c>
    </row>
    <row r="29" spans="1:6" x14ac:dyDescent="0.25">
      <c r="A29" s="112">
        <f>400+40+40</f>
        <v>480</v>
      </c>
    </row>
    <row r="30" spans="1:6" x14ac:dyDescent="0.25">
      <c r="A30">
        <v>740.6</v>
      </c>
      <c r="F30">
        <v>1345</v>
      </c>
    </row>
    <row r="31" spans="1:6" x14ac:dyDescent="0.25">
      <c r="B31">
        <v>200</v>
      </c>
      <c r="F31">
        <v>200</v>
      </c>
    </row>
    <row r="33" spans="1:6" x14ac:dyDescent="0.25">
      <c r="F33">
        <f>30*4</f>
        <v>120</v>
      </c>
    </row>
    <row r="34" spans="1:6" x14ac:dyDescent="0.25">
      <c r="F34">
        <v>50</v>
      </c>
    </row>
    <row r="35" spans="1:6" x14ac:dyDescent="0.25">
      <c r="F35">
        <v>50</v>
      </c>
    </row>
    <row r="37" spans="1:6" x14ac:dyDescent="0.25">
      <c r="F37">
        <v>300</v>
      </c>
    </row>
    <row r="40" spans="1:6" x14ac:dyDescent="0.25">
      <c r="F40">
        <v>200</v>
      </c>
    </row>
    <row r="43" spans="1:6" x14ac:dyDescent="0.25">
      <c r="E43" s="13">
        <v>1820</v>
      </c>
    </row>
    <row r="44" spans="1:6" x14ac:dyDescent="0.25"/>
    <row r="46" spans="1:6" x14ac:dyDescent="0.25">
      <c r="A46" s="112">
        <v>75</v>
      </c>
    </row>
    <row r="49" spans="1:6" x14ac:dyDescent="0.25">
      <c r="A49" s="112">
        <v>500</v>
      </c>
      <c r="B49" s="115">
        <f>500+376</f>
        <v>876</v>
      </c>
      <c r="E49" s="13">
        <v>798</v>
      </c>
      <c r="F49">
        <v>249</v>
      </c>
    </row>
    <row r="50" spans="1:6" x14ac:dyDescent="0.25">
      <c r="A50" s="112">
        <v>263</v>
      </c>
      <c r="B50" s="115"/>
      <c r="C50">
        <v>358</v>
      </c>
      <c r="E50" s="13">
        <v>1525</v>
      </c>
      <c r="F50">
        <v>300</v>
      </c>
    </row>
    <row r="52" spans="1:6" x14ac:dyDescent="0.25">
      <c r="A52">
        <v>543</v>
      </c>
      <c r="C52">
        <v>543</v>
      </c>
      <c r="E52" s="13">
        <v>543</v>
      </c>
      <c r="F52">
        <v>543</v>
      </c>
    </row>
    <row r="55" spans="1:6" x14ac:dyDescent="0.25">
      <c r="A55" s="112">
        <v>500</v>
      </c>
      <c r="C55">
        <v>500</v>
      </c>
      <c r="E55" s="13">
        <v>225</v>
      </c>
      <c r="F55">
        <v>225</v>
      </c>
    </row>
    <row r="56" spans="1:6" x14ac:dyDescent="0.25">
      <c r="A56" s="112">
        <v>103</v>
      </c>
      <c r="C56">
        <v>103</v>
      </c>
      <c r="E56" s="13">
        <v>103</v>
      </c>
      <c r="F56">
        <v>103</v>
      </c>
    </row>
    <row r="57" spans="1:6" x14ac:dyDescent="0.25">
      <c r="C57">
        <v>129</v>
      </c>
    </row>
    <row r="58" spans="1:6" ht="15.75" thickBot="1" x14ac:dyDescent="0.3"/>
    <row r="59" spans="1:6" ht="15.75" thickBot="1" x14ac:dyDescent="0.3">
      <c r="A59" s="111">
        <f t="shared" ref="A59:F59" si="0">SUM(A9:A58)</f>
        <v>4994.6000000000004</v>
      </c>
      <c r="B59" s="111">
        <f t="shared" si="0"/>
        <v>1436</v>
      </c>
      <c r="C59" s="111">
        <f t="shared" si="0"/>
        <v>2413</v>
      </c>
      <c r="D59" s="111">
        <f t="shared" si="0"/>
        <v>0</v>
      </c>
      <c r="E59" s="111">
        <f t="shared" si="0"/>
        <v>5882</v>
      </c>
      <c r="F59" s="111">
        <f t="shared" si="0"/>
        <v>4685</v>
      </c>
    </row>
    <row r="62" spans="1:6" x14ac:dyDescent="0.25">
      <c r="A62" t="e">
        <f>+A6-A59</f>
        <v>#REF!</v>
      </c>
    </row>
    <row r="210" spans="1:6" ht="15.75" thickBot="1" x14ac:dyDescent="0.3"/>
    <row r="211" spans="1:6" s="3" customFormat="1" x14ac:dyDescent="0.25">
      <c r="A211" s="537" t="s">
        <v>1073</v>
      </c>
      <c r="B211" s="538" t="s">
        <v>1102</v>
      </c>
      <c r="C211" s="263" t="s">
        <v>1103</v>
      </c>
      <c r="D211" s="539" t="s">
        <v>1104</v>
      </c>
      <c r="E211" s="539" t="s">
        <v>1105</v>
      </c>
      <c r="F211" s="540" t="s">
        <v>1106</v>
      </c>
    </row>
    <row r="212" spans="1:6" x14ac:dyDescent="0.25">
      <c r="A212" s="536" t="s">
        <v>957</v>
      </c>
      <c r="B212" s="436"/>
      <c r="C212" s="436"/>
      <c r="D212" s="436"/>
      <c r="E212" s="436"/>
      <c r="F212" s="435"/>
    </row>
    <row r="213" spans="1:6" x14ac:dyDescent="0.25">
      <c r="A213" s="536" t="s">
        <v>867</v>
      </c>
      <c r="B213" s="436"/>
      <c r="C213" s="544">
        <v>1000</v>
      </c>
      <c r="D213" s="436"/>
      <c r="E213" s="436"/>
      <c r="F213" s="435"/>
    </row>
    <row r="214" spans="1:6" x14ac:dyDescent="0.25">
      <c r="A214" s="536" t="s">
        <v>543</v>
      </c>
      <c r="B214" s="436"/>
      <c r="C214" s="436"/>
      <c r="D214" s="436"/>
      <c r="E214" s="436"/>
      <c r="F214" s="435"/>
    </row>
    <row r="215" spans="1:6" x14ac:dyDescent="0.25">
      <c r="A215" s="536" t="s">
        <v>1117</v>
      </c>
      <c r="B215" s="436"/>
      <c r="C215" s="544">
        <v>200</v>
      </c>
      <c r="D215" s="544">
        <v>200</v>
      </c>
      <c r="E215" s="544">
        <v>200</v>
      </c>
      <c r="F215" s="435">
        <v>200</v>
      </c>
    </row>
    <row r="216" spans="1:6" x14ac:dyDescent="0.25">
      <c r="A216" s="536" t="s">
        <v>860</v>
      </c>
      <c r="B216" s="436"/>
      <c r="C216" s="544">
        <v>300</v>
      </c>
      <c r="D216" s="436"/>
      <c r="E216" s="436"/>
      <c r="F216" s="435"/>
    </row>
    <row r="217" spans="1:6" x14ac:dyDescent="0.25">
      <c r="A217" s="536" t="s">
        <v>859</v>
      </c>
      <c r="B217" s="436"/>
      <c r="C217" s="544">
        <v>300</v>
      </c>
      <c r="D217" s="436"/>
      <c r="E217" s="436"/>
      <c r="F217" s="435"/>
    </row>
    <row r="218" spans="1:6" x14ac:dyDescent="0.25">
      <c r="A218" s="536" t="s">
        <v>57</v>
      </c>
      <c r="B218" s="436"/>
      <c r="C218" s="436"/>
      <c r="D218" s="436"/>
      <c r="E218" s="436"/>
      <c r="F218" s="435">
        <v>250</v>
      </c>
    </row>
    <row r="219" spans="1:6" x14ac:dyDescent="0.25">
      <c r="A219" s="536" t="s">
        <v>141</v>
      </c>
      <c r="B219" s="436"/>
      <c r="C219" s="544">
        <v>350</v>
      </c>
      <c r="D219" s="436"/>
      <c r="E219" s="436"/>
      <c r="F219" s="435"/>
    </row>
    <row r="220" spans="1:6" x14ac:dyDescent="0.25">
      <c r="A220" s="536" t="s">
        <v>155</v>
      </c>
      <c r="B220" s="436"/>
      <c r="C220" s="544">
        <v>115</v>
      </c>
      <c r="D220" s="436"/>
      <c r="E220" s="436"/>
      <c r="F220" s="435"/>
    </row>
    <row r="221" spans="1:6" x14ac:dyDescent="0.25">
      <c r="A221" s="536" t="s">
        <v>45</v>
      </c>
      <c r="B221" s="544">
        <v>120</v>
      </c>
      <c r="C221" s="436"/>
      <c r="D221" s="544">
        <v>338.88888888888891</v>
      </c>
      <c r="E221" s="544">
        <f>54+24</f>
        <v>78</v>
      </c>
      <c r="F221" s="435"/>
    </row>
    <row r="222" spans="1:6" x14ac:dyDescent="0.25">
      <c r="A222" s="536" t="s">
        <v>1074</v>
      </c>
      <c r="B222" s="436"/>
      <c r="C222" s="436"/>
      <c r="D222" s="436"/>
      <c r="E222" s="544">
        <f>400+50</f>
        <v>450</v>
      </c>
      <c r="F222" s="435"/>
    </row>
    <row r="223" spans="1:6" x14ac:dyDescent="0.25">
      <c r="A223" s="536" t="s">
        <v>1107</v>
      </c>
      <c r="B223" s="436"/>
      <c r="C223" s="544">
        <v>1100</v>
      </c>
      <c r="D223" s="436"/>
      <c r="E223" s="436"/>
      <c r="F223" s="435"/>
    </row>
    <row r="224" spans="1:6" x14ac:dyDescent="0.25">
      <c r="A224" s="536" t="s">
        <v>1108</v>
      </c>
      <c r="B224" s="436"/>
      <c r="C224" s="436"/>
      <c r="D224" s="544">
        <v>115</v>
      </c>
      <c r="E224" s="544">
        <v>40</v>
      </c>
      <c r="F224" s="435">
        <v>300</v>
      </c>
    </row>
    <row r="225" spans="1:11" x14ac:dyDescent="0.25">
      <c r="A225" s="536" t="s">
        <v>1115</v>
      </c>
      <c r="B225" s="544">
        <f>70+35+34+34</f>
        <v>173</v>
      </c>
      <c r="C225" s="544">
        <f>70+35+13+11+34</f>
        <v>163</v>
      </c>
      <c r="D225" s="544">
        <f>34-7</f>
        <v>27</v>
      </c>
      <c r="E225" s="436"/>
      <c r="F225" s="435"/>
    </row>
    <row r="226" spans="1:11" s="146" customFormat="1" x14ac:dyDescent="0.25">
      <c r="A226" s="347" t="s">
        <v>1116</v>
      </c>
      <c r="B226" s="226"/>
      <c r="C226" s="550">
        <v>50</v>
      </c>
      <c r="D226" s="226"/>
      <c r="E226" s="226"/>
      <c r="F226" s="178"/>
    </row>
    <row r="227" spans="1:11" s="3" customFormat="1" ht="15.75" thickBot="1" x14ac:dyDescent="0.3">
      <c r="A227" s="541" t="s">
        <v>31</v>
      </c>
      <c r="B227" s="542">
        <f>SUM(B212:B225)</f>
        <v>293</v>
      </c>
      <c r="C227" s="542">
        <f>SUM(C212:C225)</f>
        <v>3528</v>
      </c>
      <c r="D227" s="542">
        <f>SUM(D212:D225)</f>
        <v>680.88888888888891</v>
      </c>
      <c r="E227" s="542">
        <f>SUM(E212:E225)</f>
        <v>768</v>
      </c>
      <c r="F227" s="543">
        <f>SUM(F212:F225)</f>
        <v>750</v>
      </c>
    </row>
    <row r="229" spans="1:11" ht="15.75" thickBot="1" x14ac:dyDescent="0.3">
      <c r="I229" t="s">
        <v>1141</v>
      </c>
    </row>
    <row r="230" spans="1:11" x14ac:dyDescent="0.25">
      <c r="A230" s="537" t="s">
        <v>1113</v>
      </c>
      <c r="B230" s="538" t="s">
        <v>240</v>
      </c>
      <c r="C230" s="263" t="s">
        <v>241</v>
      </c>
      <c r="D230" s="539" t="s">
        <v>242</v>
      </c>
      <c r="E230" s="539" t="s">
        <v>243</v>
      </c>
      <c r="F230" s="540" t="s">
        <v>244</v>
      </c>
      <c r="I230" s="175" t="s">
        <v>1142</v>
      </c>
      <c r="K230">
        <f>60*3</f>
        <v>180</v>
      </c>
    </row>
    <row r="231" spans="1:11" x14ac:dyDescent="0.25">
      <c r="A231" s="536"/>
      <c r="B231" s="436"/>
      <c r="C231" s="436"/>
      <c r="D231" s="436"/>
      <c r="E231" s="436"/>
      <c r="F231" s="435"/>
      <c r="I231" t="s">
        <v>1143</v>
      </c>
      <c r="K231">
        <v>50</v>
      </c>
    </row>
    <row r="232" spans="1:11" x14ac:dyDescent="0.25">
      <c r="A232" s="536" t="s">
        <v>1109</v>
      </c>
      <c r="B232" s="436"/>
      <c r="C232" s="436">
        <v>2100</v>
      </c>
      <c r="D232" s="436"/>
      <c r="E232" s="436">
        <f>880+50</f>
        <v>930</v>
      </c>
      <c r="F232" s="435"/>
      <c r="I232" t="s">
        <v>1144</v>
      </c>
      <c r="K232">
        <v>100</v>
      </c>
    </row>
    <row r="233" spans="1:11" x14ac:dyDescent="0.25">
      <c r="A233" s="536" t="s">
        <v>1249</v>
      </c>
      <c r="B233" s="436"/>
      <c r="C233" s="436"/>
      <c r="D233" s="436"/>
      <c r="E233" s="436">
        <v>4800</v>
      </c>
      <c r="F233" s="435"/>
      <c r="I233" t="s">
        <v>1145</v>
      </c>
      <c r="K233">
        <v>20</v>
      </c>
    </row>
    <row r="234" spans="1:11" x14ac:dyDescent="0.25">
      <c r="A234" s="536" t="s">
        <v>867</v>
      </c>
      <c r="B234" s="436"/>
      <c r="C234" s="544">
        <v>3000</v>
      </c>
      <c r="D234" s="436">
        <v>4000</v>
      </c>
      <c r="E234" s="436">
        <v>-1000</v>
      </c>
      <c r="F234" s="435"/>
      <c r="I234" t="s">
        <v>1146</v>
      </c>
      <c r="K234">
        <v>30</v>
      </c>
    </row>
    <row r="235" spans="1:11" x14ac:dyDescent="0.25">
      <c r="A235" s="536"/>
      <c r="B235" s="436"/>
      <c r="C235" s="436"/>
      <c r="D235" s="436"/>
      <c r="E235" s="436"/>
      <c r="F235" s="435"/>
      <c r="I235" t="s">
        <v>38</v>
      </c>
      <c r="K235">
        <f>6*50</f>
        <v>300</v>
      </c>
    </row>
    <row r="236" spans="1:11" x14ac:dyDescent="0.25">
      <c r="A236" s="536" t="s">
        <v>1110</v>
      </c>
      <c r="B236" s="436"/>
      <c r="C236" s="544">
        <v>1200</v>
      </c>
      <c r="D236" s="436"/>
      <c r="E236" s="436">
        <v>-50</v>
      </c>
      <c r="F236" s="435"/>
    </row>
    <row r="237" spans="1:11" x14ac:dyDescent="0.25">
      <c r="A237" s="536"/>
      <c r="B237" s="436"/>
      <c r="C237" s="436"/>
      <c r="D237" s="436"/>
      <c r="E237" s="436"/>
      <c r="F237" s="435"/>
      <c r="I237" t="s">
        <v>1147</v>
      </c>
      <c r="K237">
        <v>500</v>
      </c>
    </row>
    <row r="238" spans="1:11" x14ac:dyDescent="0.25">
      <c r="A238" s="536" t="s">
        <v>1114</v>
      </c>
      <c r="B238" s="436"/>
      <c r="C238" s="544">
        <v>3000</v>
      </c>
      <c r="D238" s="436"/>
      <c r="E238" s="436"/>
      <c r="F238" s="435"/>
      <c r="I238" t="s">
        <v>1212</v>
      </c>
      <c r="K238">
        <v>225</v>
      </c>
    </row>
    <row r="239" spans="1:11" x14ac:dyDescent="0.25">
      <c r="A239" s="536"/>
      <c r="B239" s="436"/>
      <c r="C239" s="436"/>
      <c r="D239" s="436"/>
      <c r="E239" s="436"/>
      <c r="F239" s="435"/>
      <c r="I239" t="s">
        <v>1148</v>
      </c>
    </row>
    <row r="240" spans="1:11" x14ac:dyDescent="0.25">
      <c r="A240" s="536" t="s">
        <v>1111</v>
      </c>
      <c r="B240" s="436"/>
      <c r="C240" s="436"/>
      <c r="D240" s="436">
        <v>1200</v>
      </c>
      <c r="E240" s="436">
        <v>-300</v>
      </c>
      <c r="F240" s="435"/>
    </row>
    <row r="241" spans="1:12" x14ac:dyDescent="0.25">
      <c r="A241" s="536" t="s">
        <v>1112</v>
      </c>
      <c r="B241" s="436">
        <v>600</v>
      </c>
      <c r="C241" s="436"/>
      <c r="D241" s="436">
        <v>600</v>
      </c>
      <c r="E241" s="436">
        <v>-400</v>
      </c>
      <c r="F241" s="435"/>
      <c r="I241" t="s">
        <v>45</v>
      </c>
      <c r="K241">
        <v>8300</v>
      </c>
    </row>
    <row r="242" spans="1:12" x14ac:dyDescent="0.25">
      <c r="A242" s="536" t="s">
        <v>859</v>
      </c>
      <c r="B242" s="436"/>
      <c r="C242" s="436"/>
      <c r="D242" s="436">
        <v>900</v>
      </c>
      <c r="E242" s="436">
        <v>-300</v>
      </c>
      <c r="F242" s="435"/>
    </row>
    <row r="243" spans="1:12" x14ac:dyDescent="0.25">
      <c r="A243" s="536"/>
      <c r="B243" s="436"/>
      <c r="C243" s="436"/>
      <c r="D243" s="436"/>
      <c r="E243" s="436"/>
      <c r="F243" s="435"/>
      <c r="I243" t="s">
        <v>1149</v>
      </c>
      <c r="K243">
        <v>300</v>
      </c>
    </row>
    <row r="244" spans="1:12" ht="15.75" thickBot="1" x14ac:dyDescent="0.3">
      <c r="A244" s="536" t="s">
        <v>1140</v>
      </c>
      <c r="B244" s="436"/>
      <c r="C244" s="544">
        <f>500+200</f>
        <v>700</v>
      </c>
      <c r="D244" s="436">
        <v>370</v>
      </c>
      <c r="E244" s="436"/>
      <c r="F244" s="435"/>
    </row>
    <row r="245" spans="1:12" ht="15.75" thickBot="1" x14ac:dyDescent="0.3">
      <c r="A245" s="536" t="s">
        <v>57</v>
      </c>
      <c r="B245" s="436"/>
      <c r="C245" s="436"/>
      <c r="D245" s="436"/>
      <c r="E245" s="436">
        <v>-1350</v>
      </c>
      <c r="F245" s="435"/>
      <c r="K245" s="114">
        <f>SUM(K230:K244)</f>
        <v>10005</v>
      </c>
    </row>
    <row r="246" spans="1:12" x14ac:dyDescent="0.25">
      <c r="A246" s="600" t="s">
        <v>141</v>
      </c>
      <c r="E246" s="436">
        <v>-450</v>
      </c>
      <c r="F246" s="435"/>
    </row>
    <row r="247" spans="1:12" x14ac:dyDescent="0.25">
      <c r="A247" s="600" t="s">
        <v>1250</v>
      </c>
      <c r="E247" s="544">
        <v>-950</v>
      </c>
      <c r="F247" s="435"/>
      <c r="G247" s="385">
        <f>+E240+E241+E242+E234</f>
        <v>-2000</v>
      </c>
    </row>
    <row r="248" spans="1:12" x14ac:dyDescent="0.25">
      <c r="A248" s="600" t="s">
        <v>1251</v>
      </c>
      <c r="E248" s="436">
        <v>-5000</v>
      </c>
      <c r="F248" s="435"/>
      <c r="G248">
        <v>-870</v>
      </c>
    </row>
    <row r="249" spans="1:12" x14ac:dyDescent="0.25">
      <c r="A249" s="600" t="s">
        <v>1252</v>
      </c>
      <c r="E249" s="436">
        <f>-(500+525+840)</f>
        <v>-1865</v>
      </c>
      <c r="F249" s="435"/>
      <c r="G249" s="385">
        <f>SUM(G247:G248)</f>
        <v>-2870</v>
      </c>
    </row>
    <row r="250" spans="1:12" ht="15.75" thickBot="1" x14ac:dyDescent="0.3">
      <c r="A250" s="600" t="s">
        <v>1256</v>
      </c>
      <c r="E250" s="436">
        <f>-386-270-600</f>
        <v>-1256</v>
      </c>
      <c r="F250" s="435"/>
    </row>
    <row r="251" spans="1:12" ht="15.75" thickBot="1" x14ac:dyDescent="0.3">
      <c r="A251" s="536"/>
      <c r="B251" s="436"/>
      <c r="C251" s="436"/>
      <c r="D251" s="436"/>
      <c r="E251" s="436"/>
      <c r="F251" s="435"/>
      <c r="I251" s="576" t="s">
        <v>1149</v>
      </c>
      <c r="J251" s="577" t="s">
        <v>30</v>
      </c>
      <c r="K251" s="577" t="s">
        <v>1213</v>
      </c>
      <c r="L251" s="578" t="s">
        <v>1078</v>
      </c>
    </row>
    <row r="252" spans="1:12" ht="15.75" thickBot="1" x14ac:dyDescent="0.3">
      <c r="A252" s="541" t="s">
        <v>31</v>
      </c>
      <c r="B252" s="542">
        <f>SUM(B231:B251)</f>
        <v>600</v>
      </c>
      <c r="C252" s="542">
        <f>SUM(C231:C251)</f>
        <v>10000</v>
      </c>
      <c r="D252" s="542">
        <f>SUM(D231:D251)</f>
        <v>7070</v>
      </c>
      <c r="E252" s="542">
        <f>SUM(E231:E251)</f>
        <v>-7191</v>
      </c>
      <c r="F252" s="543">
        <f>SUM(F231:F251)</f>
        <v>0</v>
      </c>
      <c r="I252" t="s">
        <v>1214</v>
      </c>
      <c r="K252">
        <v>50</v>
      </c>
      <c r="L252">
        <f>+J252-K252</f>
        <v>-50</v>
      </c>
    </row>
    <row r="253" spans="1:12" x14ac:dyDescent="0.25">
      <c r="I253" t="s">
        <v>259</v>
      </c>
      <c r="J253">
        <v>612</v>
      </c>
      <c r="L253">
        <f>+J253-K253</f>
        <v>612</v>
      </c>
    </row>
    <row r="254" spans="1:12" ht="15.75" thickBot="1" x14ac:dyDescent="0.3">
      <c r="I254" t="s">
        <v>1215</v>
      </c>
      <c r="J254">
        <v>580</v>
      </c>
      <c r="K254">
        <v>100</v>
      </c>
      <c r="L254">
        <f>+J254-K254</f>
        <v>480</v>
      </c>
    </row>
    <row r="255" spans="1:12" ht="15.75" thickBot="1" x14ac:dyDescent="0.3">
      <c r="B255" s="551" t="s">
        <v>1123</v>
      </c>
      <c r="C255" s="555" t="s">
        <v>1124</v>
      </c>
      <c r="D255" s="556" t="s">
        <v>1125</v>
      </c>
      <c r="I255" t="s">
        <v>774</v>
      </c>
      <c r="J255">
        <v>250</v>
      </c>
      <c r="K255">
        <v>50</v>
      </c>
      <c r="L255">
        <f>+J255-K255</f>
        <v>200</v>
      </c>
    </row>
    <row r="256" spans="1:12" x14ac:dyDescent="0.25">
      <c r="A256" s="557" t="s">
        <v>1122</v>
      </c>
      <c r="B256" s="559">
        <v>175</v>
      </c>
      <c r="C256" s="560">
        <v>175</v>
      </c>
      <c r="D256" s="561">
        <v>90</v>
      </c>
      <c r="I256" t="s">
        <v>675</v>
      </c>
      <c r="J256">
        <v>500</v>
      </c>
      <c r="L256">
        <f>+J256-K256</f>
        <v>500</v>
      </c>
    </row>
    <row r="257" spans="1:17" x14ac:dyDescent="0.25">
      <c r="A257" s="49" t="s">
        <v>1126</v>
      </c>
      <c r="B257" s="562">
        <v>60</v>
      </c>
      <c r="C257" s="153">
        <v>60</v>
      </c>
      <c r="D257" s="563">
        <v>60</v>
      </c>
      <c r="I257" s="45" t="s">
        <v>31</v>
      </c>
      <c r="J257" s="45">
        <f>SUM(J252:J256)</f>
        <v>1942</v>
      </c>
      <c r="K257" s="45">
        <f>SUM(K252:K256)</f>
        <v>200</v>
      </c>
      <c r="L257" s="45">
        <f>SUM(L252:L256)</f>
        <v>1742</v>
      </c>
    </row>
    <row r="258" spans="1:17" ht="15.75" thickBot="1" x14ac:dyDescent="0.3">
      <c r="A258" s="49" t="s">
        <v>1127</v>
      </c>
      <c r="B258" s="564"/>
      <c r="C258" s="565"/>
      <c r="D258" s="566"/>
    </row>
    <row r="259" spans="1:17" ht="15.75" thickBot="1" x14ac:dyDescent="0.3">
      <c r="A259" s="558" t="s">
        <v>31</v>
      </c>
      <c r="B259" s="7">
        <f>SUM(B256:B258)</f>
        <v>235</v>
      </c>
      <c r="C259" s="7">
        <f>SUM(C256:C258)</f>
        <v>235</v>
      </c>
      <c r="D259" s="114">
        <f>SUM(D256:D258)</f>
        <v>150</v>
      </c>
      <c r="Q259" t="s">
        <v>66</v>
      </c>
    </row>
    <row r="260" spans="1:17" x14ac:dyDescent="0.25">
      <c r="B260" s="153"/>
      <c r="C260" s="153"/>
      <c r="D260" s="153"/>
    </row>
    <row r="261" spans="1:17" ht="15.75" thickBot="1" x14ac:dyDescent="0.3"/>
    <row r="262" spans="1:17" ht="15.75" thickBot="1" x14ac:dyDescent="0.3">
      <c r="B262" s="569" t="s">
        <v>1128</v>
      </c>
      <c r="C262" s="239" t="s">
        <v>1129</v>
      </c>
      <c r="D262" s="239" t="s">
        <v>1130</v>
      </c>
      <c r="E262" s="239" t="s">
        <v>1131</v>
      </c>
      <c r="F262" s="239" t="s">
        <v>1132</v>
      </c>
      <c r="G262" s="570" t="s">
        <v>1133</v>
      </c>
      <c r="I262" s="225" t="s">
        <v>1216</v>
      </c>
    </row>
    <row r="263" spans="1:17" x14ac:dyDescent="0.25">
      <c r="A263" s="552" t="s">
        <v>1134</v>
      </c>
      <c r="B263" s="559" t="s">
        <v>1136</v>
      </c>
      <c r="C263" s="560" t="s">
        <v>1136</v>
      </c>
      <c r="D263" s="560" t="s">
        <v>1136</v>
      </c>
      <c r="E263" s="560" t="s">
        <v>1137</v>
      </c>
      <c r="F263" s="560" t="s">
        <v>1136</v>
      </c>
      <c r="G263" s="561" t="s">
        <v>1136</v>
      </c>
    </row>
    <row r="264" spans="1:17" x14ac:dyDescent="0.25">
      <c r="A264" s="553" t="s">
        <v>1135</v>
      </c>
      <c r="B264" s="562" t="s">
        <v>1138</v>
      </c>
      <c r="C264" s="153" t="s">
        <v>1138</v>
      </c>
      <c r="D264" s="153" t="s">
        <v>1138</v>
      </c>
      <c r="E264" s="153" t="s">
        <v>1139</v>
      </c>
      <c r="F264" s="153" t="s">
        <v>1138</v>
      </c>
      <c r="G264" s="563" t="s">
        <v>1139</v>
      </c>
    </row>
    <row r="265" spans="1:17" x14ac:dyDescent="0.25">
      <c r="A265" s="553"/>
      <c r="B265" s="562"/>
      <c r="C265" s="153"/>
      <c r="D265" s="153"/>
      <c r="E265" s="153"/>
      <c r="F265" s="153"/>
      <c r="G265" s="563"/>
    </row>
    <row r="266" spans="1:17" x14ac:dyDescent="0.25">
      <c r="A266" s="553" t="s">
        <v>1136</v>
      </c>
      <c r="B266" s="562" t="s">
        <v>1136</v>
      </c>
      <c r="C266" s="153" t="s">
        <v>1136</v>
      </c>
      <c r="D266" s="153" t="s">
        <v>1136</v>
      </c>
      <c r="E266" s="178" t="s">
        <v>1136</v>
      </c>
      <c r="F266" s="238"/>
      <c r="G266" s="563" t="s">
        <v>1136</v>
      </c>
    </row>
    <row r="267" spans="1:17" x14ac:dyDescent="0.25">
      <c r="A267" s="553" t="s">
        <v>1124</v>
      </c>
      <c r="B267" s="562" t="s">
        <v>1138</v>
      </c>
      <c r="C267" s="153" t="s">
        <v>1138</v>
      </c>
      <c r="D267" s="153" t="s">
        <v>1138</v>
      </c>
      <c r="E267" s="153" t="s">
        <v>1138</v>
      </c>
      <c r="F267" s="153" t="s">
        <v>1138</v>
      </c>
      <c r="G267" s="567"/>
    </row>
    <row r="268" spans="1:17" ht="15.75" thickBot="1" x14ac:dyDescent="0.3">
      <c r="A268" s="554" t="s">
        <v>1125</v>
      </c>
      <c r="B268" s="568"/>
      <c r="C268" s="565" t="s">
        <v>1139</v>
      </c>
      <c r="D268" s="565" t="s">
        <v>1139</v>
      </c>
      <c r="E268" s="565" t="s">
        <v>1139</v>
      </c>
      <c r="F268" s="565" t="s">
        <v>1139</v>
      </c>
      <c r="G268" s="566" t="s">
        <v>1139</v>
      </c>
    </row>
    <row r="270" spans="1:17" x14ac:dyDescent="0.25">
      <c r="F270" t="s">
        <v>23</v>
      </c>
      <c r="G270" t="s">
        <v>1221</v>
      </c>
      <c r="H270" t="s">
        <v>25</v>
      </c>
      <c r="I270" t="s">
        <v>1222</v>
      </c>
    </row>
    <row r="271" spans="1:17" x14ac:dyDescent="0.25">
      <c r="A271" t="s">
        <v>1217</v>
      </c>
      <c r="F271" s="6">
        <v>44985</v>
      </c>
    </row>
    <row r="272" spans="1:17" x14ac:dyDescent="0.25">
      <c r="A272" t="s">
        <v>1114</v>
      </c>
      <c r="B272" s="95">
        <v>3300</v>
      </c>
      <c r="C272">
        <v>3300</v>
      </c>
      <c r="F272" s="6">
        <v>44986</v>
      </c>
      <c r="G272">
        <v>-350</v>
      </c>
      <c r="H272" s="583">
        <f>885-130</f>
        <v>755</v>
      </c>
    </row>
    <row r="273" spans="1:8" x14ac:dyDescent="0.25">
      <c r="A273" t="s">
        <v>1218</v>
      </c>
      <c r="B273" s="95">
        <v>1500</v>
      </c>
      <c r="C273">
        <v>1500</v>
      </c>
      <c r="F273" s="6">
        <v>44987</v>
      </c>
      <c r="H273">
        <v>0</v>
      </c>
    </row>
    <row r="274" spans="1:8" x14ac:dyDescent="0.25">
      <c r="A274" t="s">
        <v>1071</v>
      </c>
      <c r="B274">
        <v>1070</v>
      </c>
      <c r="F274" s="6">
        <v>44988</v>
      </c>
      <c r="H274" s="583" t="e">
        <f>+'daily sales'!#REF!</f>
        <v>#REF!</v>
      </c>
    </row>
    <row r="275" spans="1:8" x14ac:dyDescent="0.25">
      <c r="A275" t="s">
        <v>1219</v>
      </c>
      <c r="B275">
        <v>1350</v>
      </c>
      <c r="F275" s="6">
        <v>44989</v>
      </c>
      <c r="H275" s="583" t="e">
        <f>+'daily sales'!#REF!</f>
        <v>#REF!</v>
      </c>
    </row>
    <row r="276" spans="1:8" x14ac:dyDescent="0.25">
      <c r="A276" t="s">
        <v>1110</v>
      </c>
      <c r="B276" s="95">
        <v>2225</v>
      </c>
      <c r="C276">
        <v>1800</v>
      </c>
      <c r="F276" s="6">
        <v>44990</v>
      </c>
      <c r="H276">
        <v>0</v>
      </c>
    </row>
    <row r="277" spans="1:8" x14ac:dyDescent="0.25">
      <c r="A277" t="s">
        <v>1220</v>
      </c>
      <c r="F277" s="6">
        <v>44991</v>
      </c>
      <c r="G277">
        <v>-30</v>
      </c>
      <c r="H277" s="583" t="e">
        <f>+'daily sales'!#REF!</f>
        <v>#REF!</v>
      </c>
    </row>
    <row r="278" spans="1:8" x14ac:dyDescent="0.25">
      <c r="A278" t="s">
        <v>141</v>
      </c>
      <c r="B278">
        <v>450</v>
      </c>
      <c r="F278" s="6">
        <v>44992</v>
      </c>
      <c r="H278" s="583" t="e">
        <f>+'daily sales'!#REF!</f>
        <v>#REF!</v>
      </c>
    </row>
    <row r="279" spans="1:8" x14ac:dyDescent="0.25">
      <c r="A279" t="s">
        <v>57</v>
      </c>
      <c r="B279">
        <v>1350</v>
      </c>
      <c r="F279" s="6">
        <v>44993</v>
      </c>
      <c r="H279" s="583" t="e">
        <f>+'daily sales'!#REF!</f>
        <v>#REF!</v>
      </c>
    </row>
    <row r="280" spans="1:8" x14ac:dyDescent="0.25">
      <c r="B280">
        <f>SUM(B272:B279)</f>
        <v>11245</v>
      </c>
      <c r="F280" s="6">
        <v>44994</v>
      </c>
      <c r="H280" s="583" t="e">
        <f>+'daily sales'!#REF!</f>
        <v>#REF!</v>
      </c>
    </row>
    <row r="281" spans="1:8" x14ac:dyDescent="0.25">
      <c r="A281" t="s">
        <v>1113</v>
      </c>
      <c r="F281" s="6">
        <v>44995</v>
      </c>
      <c r="H281">
        <v>0</v>
      </c>
    </row>
    <row r="282" spans="1:8" x14ac:dyDescent="0.25">
      <c r="A282" t="s">
        <v>867</v>
      </c>
      <c r="B282">
        <v>4000</v>
      </c>
      <c r="F282" s="6">
        <v>44996</v>
      </c>
      <c r="H282" s="583" t="e">
        <f>+'daily sales'!#REF!</f>
        <v>#REF!</v>
      </c>
    </row>
    <row r="283" spans="1:8" x14ac:dyDescent="0.25">
      <c r="A283" t="s">
        <v>859</v>
      </c>
      <c r="B283">
        <v>1200</v>
      </c>
      <c r="F283" s="6">
        <v>44997</v>
      </c>
      <c r="H283">
        <v>0</v>
      </c>
    </row>
    <row r="284" spans="1:8" x14ac:dyDescent="0.25">
      <c r="A284" t="s">
        <v>1111</v>
      </c>
      <c r="B284">
        <v>1200</v>
      </c>
      <c r="E284" t="s">
        <v>1232</v>
      </c>
      <c r="F284" s="6"/>
      <c r="G284">
        <v>-670</v>
      </c>
    </row>
    <row r="285" spans="1:8" x14ac:dyDescent="0.25">
      <c r="E285" t="s">
        <v>1233</v>
      </c>
      <c r="F285" s="6"/>
      <c r="G285">
        <v>-735</v>
      </c>
    </row>
    <row r="286" spans="1:8" x14ac:dyDescent="0.25">
      <c r="F286" s="6"/>
      <c r="G286" s="3">
        <f>SUM(G272:G285)</f>
        <v>-1785</v>
      </c>
      <c r="H286" s="584" t="e">
        <f>SUM(H272:H285)</f>
        <v>#REF!</v>
      </c>
    </row>
    <row r="287" spans="1:8" x14ac:dyDescent="0.25">
      <c r="F287" s="6"/>
    </row>
    <row r="288" spans="1:8" x14ac:dyDescent="0.25">
      <c r="E288" t="s">
        <v>1223</v>
      </c>
      <c r="F288" s="6"/>
      <c r="H288" s="584" t="e">
        <f>+H286+G286</f>
        <v>#REF!</v>
      </c>
    </row>
    <row r="289" spans="2:10" x14ac:dyDescent="0.25">
      <c r="B289">
        <f>SUM(B282:B284)</f>
        <v>6400</v>
      </c>
      <c r="E289" t="s">
        <v>1218</v>
      </c>
      <c r="F289" s="6"/>
      <c r="H289">
        <v>1500</v>
      </c>
    </row>
    <row r="290" spans="2:10" x14ac:dyDescent="0.25">
      <c r="E290" t="s">
        <v>1224</v>
      </c>
      <c r="H290">
        <v>600</v>
      </c>
    </row>
    <row r="291" spans="2:10" x14ac:dyDescent="0.25">
      <c r="E291" t="s">
        <v>1071</v>
      </c>
      <c r="H291">
        <v>370</v>
      </c>
    </row>
    <row r="292" spans="2:10" x14ac:dyDescent="0.25">
      <c r="H292" s="584" t="e">
        <f>SUM(H288:H291)</f>
        <v>#REF!</v>
      </c>
      <c r="J292" s="14" t="s">
        <v>1230</v>
      </c>
    </row>
    <row r="293" spans="2:10" x14ac:dyDescent="0.25">
      <c r="E293" t="s">
        <v>1225</v>
      </c>
      <c r="G293">
        <v>-1100</v>
      </c>
    </row>
    <row r="294" spans="2:10" x14ac:dyDescent="0.25">
      <c r="E294" t="s">
        <v>1226</v>
      </c>
      <c r="G294">
        <v>-460</v>
      </c>
    </row>
    <row r="295" spans="2:10" x14ac:dyDescent="0.25">
      <c r="E295" t="s">
        <v>1227</v>
      </c>
      <c r="G295">
        <v>-500</v>
      </c>
    </row>
    <row r="296" spans="2:10" x14ac:dyDescent="0.25">
      <c r="G296" s="3">
        <f>SUM(G293:G295)</f>
        <v>-2060</v>
      </c>
    </row>
    <row r="297" spans="2:10" x14ac:dyDescent="0.25">
      <c r="E297" t="s">
        <v>1223</v>
      </c>
      <c r="G297" t="e">
        <f>+H292+G296</f>
        <v>#REF!</v>
      </c>
    </row>
    <row r="298" spans="2:10" ht="15.75" thickBot="1" x14ac:dyDescent="0.3">
      <c r="E298" t="s">
        <v>1228</v>
      </c>
      <c r="G298">
        <v>2000</v>
      </c>
    </row>
    <row r="299" spans="2:10" ht="15.75" thickBot="1" x14ac:dyDescent="0.3">
      <c r="G299" s="114" t="e">
        <f>SUM(G297:G298)</f>
        <v>#REF!</v>
      </c>
    </row>
    <row r="300" spans="2:10" x14ac:dyDescent="0.25">
      <c r="E300" t="s">
        <v>1229</v>
      </c>
      <c r="G300">
        <v>-400</v>
      </c>
    </row>
    <row r="301" spans="2:10" x14ac:dyDescent="0.25">
      <c r="E301" t="s">
        <v>1229</v>
      </c>
      <c r="G301">
        <v>-2810</v>
      </c>
    </row>
    <row r="302" spans="2:10" x14ac:dyDescent="0.25">
      <c r="E302" t="s">
        <v>1231</v>
      </c>
      <c r="G302">
        <v>-250</v>
      </c>
    </row>
    <row r="303" spans="2:10" x14ac:dyDescent="0.25">
      <c r="E303" t="s">
        <v>1223</v>
      </c>
      <c r="G303" t="e">
        <f>SUM(G299:G302)</f>
        <v>#REF!</v>
      </c>
    </row>
    <row r="304" spans="2:10" ht="15.75" thickBot="1" x14ac:dyDescent="0.3"/>
    <row r="305" spans="1:13" ht="15.75" thickBot="1" x14ac:dyDescent="0.3">
      <c r="A305" s="605">
        <v>45047</v>
      </c>
    </row>
    <row r="306" spans="1:13" x14ac:dyDescent="0.25">
      <c r="I306" t="s">
        <v>1394</v>
      </c>
    </row>
    <row r="307" spans="1:13" x14ac:dyDescent="0.25">
      <c r="A307" t="s">
        <v>1337</v>
      </c>
      <c r="B307" s="3" t="s">
        <v>1262</v>
      </c>
      <c r="C307" s="3" t="s">
        <v>1369</v>
      </c>
      <c r="D307" t="s">
        <v>152</v>
      </c>
      <c r="H307" t="s">
        <v>1395</v>
      </c>
    </row>
    <row r="308" spans="1:13" x14ac:dyDescent="0.25">
      <c r="A308" t="s">
        <v>396</v>
      </c>
      <c r="B308" s="95">
        <v>950</v>
      </c>
    </row>
    <row r="309" spans="1:13" x14ac:dyDescent="0.25">
      <c r="A309" t="s">
        <v>1338</v>
      </c>
      <c r="B309" s="95">
        <v>230</v>
      </c>
      <c r="C309" s="95">
        <v>230</v>
      </c>
    </row>
    <row r="310" spans="1:13" x14ac:dyDescent="0.25">
      <c r="A310" t="s">
        <v>1339</v>
      </c>
      <c r="C310" s="95">
        <v>280</v>
      </c>
    </row>
    <row r="311" spans="1:13" x14ac:dyDescent="0.25">
      <c r="A311" t="s">
        <v>203</v>
      </c>
      <c r="D311">
        <v>500</v>
      </c>
      <c r="I311" s="146"/>
      <c r="J311" s="146"/>
    </row>
    <row r="312" spans="1:13" x14ac:dyDescent="0.25">
      <c r="A312" t="s">
        <v>827</v>
      </c>
      <c r="C312" s="95">
        <v>615</v>
      </c>
      <c r="I312" s="146"/>
      <c r="J312" s="146"/>
    </row>
    <row r="313" spans="1:13" x14ac:dyDescent="0.25">
      <c r="A313" t="s">
        <v>1291</v>
      </c>
      <c r="B313" s="95">
        <v>1000</v>
      </c>
      <c r="C313" s="95">
        <v>1000</v>
      </c>
      <c r="I313" s="146"/>
      <c r="J313" s="146"/>
    </row>
    <row r="314" spans="1:13" x14ac:dyDescent="0.25">
      <c r="A314" t="s">
        <v>859</v>
      </c>
      <c r="B314" s="95">
        <v>300</v>
      </c>
      <c r="C314" s="95">
        <v>300</v>
      </c>
    </row>
    <row r="315" spans="1:13" x14ac:dyDescent="0.25">
      <c r="A315" t="s">
        <v>1111</v>
      </c>
      <c r="B315" s="95">
        <v>300</v>
      </c>
      <c r="C315" s="95">
        <v>300</v>
      </c>
    </row>
    <row r="316" spans="1:13" x14ac:dyDescent="0.25">
      <c r="A316" t="s">
        <v>1340</v>
      </c>
      <c r="B316" s="95">
        <v>600</v>
      </c>
      <c r="C316" s="146"/>
    </row>
    <row r="317" spans="1:13" x14ac:dyDescent="0.25">
      <c r="A317" t="s">
        <v>1345</v>
      </c>
      <c r="C317" s="95">
        <v>745</v>
      </c>
      <c r="D317">
        <v>950</v>
      </c>
    </row>
    <row r="318" spans="1:13" s="146" customFormat="1" x14ac:dyDescent="0.25">
      <c r="A318" s="146" t="s">
        <v>1393</v>
      </c>
      <c r="D318" s="146">
        <v>250</v>
      </c>
    </row>
    <row r="319" spans="1:13" x14ac:dyDescent="0.25">
      <c r="A319" t="s">
        <v>141</v>
      </c>
      <c r="B319" s="95">
        <f>175+175+100+76</f>
        <v>526</v>
      </c>
      <c r="C319" s="146"/>
      <c r="D319" s="95">
        <f>300+143+100</f>
        <v>543</v>
      </c>
    </row>
    <row r="320" spans="1:13" x14ac:dyDescent="0.25">
      <c r="A320" t="s">
        <v>1343</v>
      </c>
      <c r="B320">
        <v>158</v>
      </c>
      <c r="C320" s="95">
        <v>158</v>
      </c>
      <c r="I320" s="146"/>
      <c r="J320" s="146"/>
      <c r="K320" s="146"/>
      <c r="L320" s="146"/>
      <c r="M320" s="146"/>
    </row>
    <row r="321" spans="1:13" x14ac:dyDescent="0.25">
      <c r="A321" t="s">
        <v>860</v>
      </c>
      <c r="B321" s="95">
        <v>210</v>
      </c>
      <c r="I321" s="146"/>
      <c r="J321" s="146"/>
      <c r="K321" s="146"/>
      <c r="L321" s="146"/>
      <c r="M321" s="146"/>
    </row>
    <row r="322" spans="1:13" x14ac:dyDescent="0.25">
      <c r="A322" t="s">
        <v>1121</v>
      </c>
      <c r="B322" s="95">
        <v>80</v>
      </c>
      <c r="I322" s="146"/>
      <c r="J322" s="146"/>
      <c r="K322" s="146"/>
      <c r="L322" s="146"/>
      <c r="M322" s="146"/>
    </row>
    <row r="323" spans="1:13" s="146" customFormat="1" x14ac:dyDescent="0.25">
      <c r="A323" s="146" t="s">
        <v>1351</v>
      </c>
      <c r="B323" s="95">
        <v>342</v>
      </c>
    </row>
    <row r="324" spans="1:13" s="146" customFormat="1" x14ac:dyDescent="0.25">
      <c r="A324" s="146" t="s">
        <v>1371</v>
      </c>
      <c r="C324" s="95">
        <v>260</v>
      </c>
    </row>
    <row r="325" spans="1:13" s="146" customFormat="1" x14ac:dyDescent="0.25">
      <c r="A325" s="146" t="s">
        <v>1264</v>
      </c>
      <c r="C325" s="95">
        <f>228-50-50</f>
        <v>128</v>
      </c>
    </row>
    <row r="326" spans="1:13" s="146" customFormat="1" x14ac:dyDescent="0.25">
      <c r="A326" s="146" t="s">
        <v>1389</v>
      </c>
      <c r="D326" s="95">
        <v>1000</v>
      </c>
    </row>
    <row r="327" spans="1:13" s="146" customFormat="1" x14ac:dyDescent="0.25">
      <c r="A327" s="146" t="s">
        <v>1390</v>
      </c>
      <c r="D327" s="95">
        <v>380</v>
      </c>
    </row>
    <row r="328" spans="1:13" s="146" customFormat="1" x14ac:dyDescent="0.25">
      <c r="A328" s="146" t="s">
        <v>1391</v>
      </c>
      <c r="D328" s="95">
        <v>700</v>
      </c>
    </row>
    <row r="329" spans="1:13" s="146" customFormat="1" ht="15.75" thickBot="1" x14ac:dyDescent="0.3">
      <c r="A329" s="146" t="s">
        <v>1392</v>
      </c>
      <c r="D329" s="95">
        <v>300</v>
      </c>
    </row>
    <row r="330" spans="1:13" ht="15.75" thickBot="1" x14ac:dyDescent="0.3">
      <c r="A330" s="7" t="s">
        <v>31</v>
      </c>
      <c r="B330" s="110">
        <f>SUM(B308:B323)</f>
        <v>4696</v>
      </c>
      <c r="C330" s="110">
        <f>SUM(C308:C323)</f>
        <v>3628</v>
      </c>
      <c r="E330" s="146"/>
      <c r="I330" t="s">
        <v>1396</v>
      </c>
    </row>
    <row r="331" spans="1:13" x14ac:dyDescent="0.25">
      <c r="E331" s="146"/>
      <c r="I331" t="s">
        <v>1397</v>
      </c>
      <c r="J331" s="13">
        <v>50</v>
      </c>
    </row>
    <row r="332" spans="1:13" x14ac:dyDescent="0.25">
      <c r="A332" t="s">
        <v>1341</v>
      </c>
      <c r="B332">
        <v>2280</v>
      </c>
      <c r="C332">
        <v>1250</v>
      </c>
      <c r="E332" s="146"/>
      <c r="I332" t="s">
        <v>1398</v>
      </c>
      <c r="J332" s="13">
        <v>300</v>
      </c>
    </row>
    <row r="333" spans="1:13" x14ac:dyDescent="0.25">
      <c r="A333" t="s">
        <v>1344</v>
      </c>
      <c r="B333">
        <v>775</v>
      </c>
      <c r="C333">
        <v>820</v>
      </c>
      <c r="E333" s="146"/>
      <c r="I333" s="146"/>
      <c r="J333" s="146"/>
    </row>
    <row r="334" spans="1:13" x14ac:dyDescent="0.25">
      <c r="A334" t="s">
        <v>1346</v>
      </c>
      <c r="B334">
        <v>910</v>
      </c>
      <c r="E334" s="146"/>
      <c r="I334" s="146"/>
      <c r="J334" s="146"/>
    </row>
    <row r="335" spans="1:13" x14ac:dyDescent="0.25">
      <c r="A335" t="s">
        <v>1352</v>
      </c>
      <c r="B335">
        <f>590-B336</f>
        <v>410</v>
      </c>
      <c r="E335" s="146"/>
      <c r="J335">
        <f>SUM(J331:J334)</f>
        <v>350</v>
      </c>
    </row>
    <row r="336" spans="1:13" x14ac:dyDescent="0.25">
      <c r="A336" t="s">
        <v>1353</v>
      </c>
      <c r="B336">
        <f>55+125</f>
        <v>180</v>
      </c>
      <c r="E336" s="146"/>
    </row>
    <row r="337" spans="1:11" x14ac:dyDescent="0.25">
      <c r="A337" t="s">
        <v>1354</v>
      </c>
      <c r="B337">
        <v>390</v>
      </c>
      <c r="J337" s="146">
        <f>+J316+J322+J327+J335</f>
        <v>350</v>
      </c>
    </row>
    <row r="338" spans="1:11" x14ac:dyDescent="0.25">
      <c r="A338" t="s">
        <v>1355</v>
      </c>
      <c r="B338">
        <v>150</v>
      </c>
      <c r="K338">
        <f>+J337-2700</f>
        <v>-2350</v>
      </c>
    </row>
    <row r="339" spans="1:11" x14ac:dyDescent="0.25">
      <c r="A339" t="s">
        <v>1356</v>
      </c>
      <c r="B339">
        <f>170+150</f>
        <v>320</v>
      </c>
    </row>
    <row r="340" spans="1:11" x14ac:dyDescent="0.25">
      <c r="A340" t="s">
        <v>1357</v>
      </c>
      <c r="B340">
        <v>190</v>
      </c>
    </row>
    <row r="341" spans="1:11" ht="15.75" thickBot="1" x14ac:dyDescent="0.3">
      <c r="A341" t="s">
        <v>1357</v>
      </c>
      <c r="B341">
        <v>478</v>
      </c>
    </row>
    <row r="342" spans="1:11" ht="15.75" thickBot="1" x14ac:dyDescent="0.3">
      <c r="A342" s="7" t="s">
        <v>31</v>
      </c>
      <c r="B342" s="110">
        <f>SUM(B332:B341)</f>
        <v>6083</v>
      </c>
      <c r="C342" s="110">
        <f>SUM(C332:C341)</f>
        <v>2070</v>
      </c>
    </row>
    <row r="343" spans="1:11" ht="15.75" thickBot="1" x14ac:dyDescent="0.3"/>
    <row r="344" spans="1:11" ht="15.75" thickBot="1" x14ac:dyDescent="0.3">
      <c r="A344" s="606" t="s">
        <v>1342</v>
      </c>
      <c r="B344" s="607">
        <f>+B342-B330</f>
        <v>1387</v>
      </c>
    </row>
    <row r="346" spans="1:11" x14ac:dyDescent="0.25">
      <c r="A346" t="s">
        <v>1455</v>
      </c>
    </row>
    <row r="347" spans="1:11" x14ac:dyDescent="0.25">
      <c r="A347" t="s">
        <v>1377</v>
      </c>
      <c r="B347">
        <f>9*2</f>
        <v>18</v>
      </c>
    </row>
    <row r="348" spans="1:11" x14ac:dyDescent="0.25">
      <c r="B348">
        <f>9*4</f>
        <v>36</v>
      </c>
    </row>
    <row r="349" spans="1:11" x14ac:dyDescent="0.25">
      <c r="B349" s="3">
        <f>SUM(B347:B348)</f>
        <v>54</v>
      </c>
    </row>
    <row r="350" spans="1:11" x14ac:dyDescent="0.25">
      <c r="A350" t="s">
        <v>1378</v>
      </c>
      <c r="B350">
        <f>1*4</f>
        <v>4</v>
      </c>
    </row>
    <row r="351" spans="1:11" hidden="1" x14ac:dyDescent="0.25">
      <c r="B351">
        <f>10*1</f>
        <v>10</v>
      </c>
    </row>
    <row r="352" spans="1:11" hidden="1" x14ac:dyDescent="0.25">
      <c r="B352">
        <f>1.5*1</f>
        <v>1.5</v>
      </c>
    </row>
    <row r="353" spans="1:2" hidden="1" x14ac:dyDescent="0.25">
      <c r="B353">
        <f>0.5*5</f>
        <v>2.5</v>
      </c>
    </row>
    <row r="354" spans="1:2" hidden="1" x14ac:dyDescent="0.25">
      <c r="B354">
        <f>4*1</f>
        <v>4</v>
      </c>
    </row>
    <row r="355" spans="1:2" hidden="1" x14ac:dyDescent="0.25">
      <c r="B355">
        <f>4*2*0.1</f>
        <v>0.8</v>
      </c>
    </row>
    <row r="356" spans="1:2" hidden="1" x14ac:dyDescent="0.25">
      <c r="B356">
        <f>4*2</f>
        <v>8</v>
      </c>
    </row>
    <row r="357" spans="1:2" hidden="1" x14ac:dyDescent="0.25">
      <c r="B357">
        <f>2.5*1</f>
        <v>2.5</v>
      </c>
    </row>
    <row r="358" spans="1:2" hidden="1" x14ac:dyDescent="0.25">
      <c r="B358">
        <f>5*1</f>
        <v>5</v>
      </c>
    </row>
    <row r="359" spans="1:2" hidden="1" x14ac:dyDescent="0.25">
      <c r="B359">
        <f>7*1</f>
        <v>7</v>
      </c>
    </row>
    <row r="360" spans="1:2" hidden="1" x14ac:dyDescent="0.25">
      <c r="B360">
        <f>1*1</f>
        <v>1</v>
      </c>
    </row>
    <row r="361" spans="1:2" hidden="1" x14ac:dyDescent="0.25">
      <c r="B361">
        <f>1*1</f>
        <v>1</v>
      </c>
    </row>
    <row r="362" spans="1:2" hidden="1" x14ac:dyDescent="0.25">
      <c r="B362">
        <f>4.5*1</f>
        <v>4.5</v>
      </c>
    </row>
    <row r="363" spans="1:2" hidden="1" x14ac:dyDescent="0.25">
      <c r="B363">
        <f>3.5*1</f>
        <v>3.5</v>
      </c>
    </row>
    <row r="364" spans="1:2" hidden="1" x14ac:dyDescent="0.25">
      <c r="B364">
        <f>4*1</f>
        <v>4</v>
      </c>
    </row>
    <row r="365" spans="1:2" ht="15.75" thickBot="1" x14ac:dyDescent="0.3">
      <c r="B365">
        <f>4*1</f>
        <v>4</v>
      </c>
    </row>
    <row r="366" spans="1:2" ht="15.75" thickBot="1" x14ac:dyDescent="0.3">
      <c r="B366" s="114">
        <f>SUM(B350:B365)</f>
        <v>63.3</v>
      </c>
    </row>
    <row r="367" spans="1:2" ht="15.75" thickBot="1" x14ac:dyDescent="0.3"/>
    <row r="368" spans="1:2" ht="15.75" thickBot="1" x14ac:dyDescent="0.3">
      <c r="A368" t="s">
        <v>1379</v>
      </c>
      <c r="B368" s="114">
        <f>4*4</f>
        <v>16</v>
      </c>
    </row>
    <row r="370" spans="1:2" x14ac:dyDescent="0.25">
      <c r="A370" t="s">
        <v>1380</v>
      </c>
      <c r="B370">
        <f>7*1</f>
        <v>7</v>
      </c>
    </row>
    <row r="371" spans="1:2" x14ac:dyDescent="0.25">
      <c r="B371">
        <f>10*1</f>
        <v>10</v>
      </c>
    </row>
    <row r="372" spans="1:2" ht="15.75" thickBot="1" x14ac:dyDescent="0.3">
      <c r="B372">
        <f>3*1*2</f>
        <v>6</v>
      </c>
    </row>
    <row r="373" spans="1:2" ht="15.75" thickBot="1" x14ac:dyDescent="0.3">
      <c r="B373" s="114">
        <f>SUM(B370:B372)</f>
        <v>23</v>
      </c>
    </row>
    <row r="375" spans="1:2" x14ac:dyDescent="0.25">
      <c r="A375" t="s">
        <v>1381</v>
      </c>
      <c r="B375">
        <f>12*5</f>
        <v>60</v>
      </c>
    </row>
    <row r="376" spans="1:2" ht="15.75" thickBot="1" x14ac:dyDescent="0.3">
      <c r="A376" t="s">
        <v>1382</v>
      </c>
      <c r="B376">
        <f>2*2</f>
        <v>4</v>
      </c>
    </row>
    <row r="377" spans="1:2" ht="15.75" thickBot="1" x14ac:dyDescent="0.3">
      <c r="B377" s="114">
        <f>SUM(B375:B376)</f>
        <v>64</v>
      </c>
    </row>
    <row r="379" spans="1:2" x14ac:dyDescent="0.25">
      <c r="A379" t="s">
        <v>1384</v>
      </c>
      <c r="B379">
        <f>6*3</f>
        <v>18</v>
      </c>
    </row>
    <row r="381" spans="1:2" x14ac:dyDescent="0.25">
      <c r="A381" t="s">
        <v>1383</v>
      </c>
      <c r="B381">
        <f>6*3-2</f>
        <v>16</v>
      </c>
    </row>
    <row r="384" spans="1:2" x14ac:dyDescent="0.25">
      <c r="A384" t="s">
        <v>1385</v>
      </c>
      <c r="B384">
        <f>+B349+B366+B368+B373</f>
        <v>156.30000000000001</v>
      </c>
    </row>
    <row r="386" spans="1:6" x14ac:dyDescent="0.25">
      <c r="A386" t="s">
        <v>1386</v>
      </c>
      <c r="B386">
        <f>+B377</f>
        <v>64</v>
      </c>
    </row>
    <row r="387" spans="1:6" x14ac:dyDescent="0.25">
      <c r="A387" t="s">
        <v>1387</v>
      </c>
      <c r="B387">
        <f>+B379</f>
        <v>18</v>
      </c>
    </row>
    <row r="388" spans="1:6" x14ac:dyDescent="0.25">
      <c r="A388" t="s">
        <v>1388</v>
      </c>
      <c r="B388">
        <f>+B381</f>
        <v>16</v>
      </c>
    </row>
    <row r="390" spans="1:6" x14ac:dyDescent="0.25">
      <c r="A390" t="s">
        <v>1456</v>
      </c>
      <c r="B390" t="s">
        <v>1454</v>
      </c>
      <c r="C390" t="s">
        <v>1457</v>
      </c>
      <c r="D390" t="s">
        <v>1458</v>
      </c>
      <c r="E390" t="s">
        <v>1459</v>
      </c>
      <c r="F390" t="s">
        <v>1460</v>
      </c>
    </row>
    <row r="391" spans="1:6" x14ac:dyDescent="0.25">
      <c r="A391" s="3" t="s">
        <v>104</v>
      </c>
      <c r="B391" s="3" t="s">
        <v>124</v>
      </c>
      <c r="C391" s="3" t="s">
        <v>84</v>
      </c>
      <c r="D391" s="3" t="s">
        <v>85</v>
      </c>
      <c r="E391" s="3" t="s">
        <v>86</v>
      </c>
      <c r="F391" s="3" t="s">
        <v>87</v>
      </c>
    </row>
    <row r="392" spans="1:6" x14ac:dyDescent="0.25">
      <c r="A392" s="3" t="s">
        <v>1482</v>
      </c>
      <c r="B392" s="584">
        <f>+'sales analysis'!K11</f>
        <v>10015</v>
      </c>
      <c r="C392" s="3"/>
      <c r="D392" s="3"/>
      <c r="E392" s="3"/>
      <c r="F392" s="3"/>
    </row>
    <row r="393" spans="1:6" x14ac:dyDescent="0.25">
      <c r="A393" t="s">
        <v>1461</v>
      </c>
      <c r="B393">
        <v>8000</v>
      </c>
      <c r="C393">
        <v>8500</v>
      </c>
      <c r="D393">
        <v>9000</v>
      </c>
      <c r="E393">
        <v>9500</v>
      </c>
      <c r="F393">
        <v>10000</v>
      </c>
    </row>
    <row r="394" spans="1:6" x14ac:dyDescent="0.25">
      <c r="A394" t="s">
        <v>1463</v>
      </c>
      <c r="D394">
        <v>5000</v>
      </c>
    </row>
    <row r="395" spans="1:6" x14ac:dyDescent="0.25">
      <c r="A395" t="s">
        <v>1464</v>
      </c>
      <c r="D395">
        <v>1200</v>
      </c>
      <c r="E395">
        <v>1200</v>
      </c>
    </row>
    <row r="396" spans="1:6" ht="15.75" thickBot="1" x14ac:dyDescent="0.3">
      <c r="A396" t="s">
        <v>1465</v>
      </c>
      <c r="D396">
        <v>1200</v>
      </c>
    </row>
    <row r="397" spans="1:6" ht="15.75" thickBot="1" x14ac:dyDescent="0.3">
      <c r="B397" s="7">
        <f>SUM(B393:B396)</f>
        <v>8000</v>
      </c>
      <c r="C397" s="8">
        <f>SUM(C393:C396)</f>
        <v>8500</v>
      </c>
      <c r="D397" s="8">
        <f>SUM(D393:D396)</f>
        <v>16400</v>
      </c>
      <c r="E397" s="8">
        <f>SUM(E393:E396)</f>
        <v>10700</v>
      </c>
      <c r="F397" s="110">
        <f>SUM(F393:F396)</f>
        <v>10000</v>
      </c>
    </row>
    <row r="399" spans="1:6" x14ac:dyDescent="0.25">
      <c r="A399" s="3" t="s">
        <v>1466</v>
      </c>
    </row>
    <row r="400" spans="1:6" x14ac:dyDescent="0.25">
      <c r="A400" t="s">
        <v>1467</v>
      </c>
      <c r="C400">
        <v>500</v>
      </c>
      <c r="D400">
        <v>500</v>
      </c>
      <c r="E400">
        <v>500</v>
      </c>
      <c r="F400">
        <v>500</v>
      </c>
    </row>
    <row r="401" spans="1:6" x14ac:dyDescent="0.25">
      <c r="A401" t="s">
        <v>1487</v>
      </c>
      <c r="B401" s="95">
        <v>400</v>
      </c>
      <c r="C401">
        <v>400</v>
      </c>
      <c r="D401">
        <v>400</v>
      </c>
      <c r="E401">
        <v>400</v>
      </c>
      <c r="F401">
        <v>400</v>
      </c>
    </row>
    <row r="402" spans="1:6" x14ac:dyDescent="0.25">
      <c r="A402" t="s">
        <v>57</v>
      </c>
      <c r="B402" s="95">
        <v>250</v>
      </c>
      <c r="C402">
        <v>250</v>
      </c>
      <c r="D402">
        <v>250</v>
      </c>
      <c r="E402">
        <v>250</v>
      </c>
      <c r="F402">
        <v>250</v>
      </c>
    </row>
    <row r="403" spans="1:6" x14ac:dyDescent="0.25">
      <c r="A403" t="s">
        <v>1468</v>
      </c>
      <c r="B403" s="95">
        <v>250</v>
      </c>
      <c r="C403">
        <v>250</v>
      </c>
      <c r="D403">
        <v>250</v>
      </c>
      <c r="E403">
        <v>250</v>
      </c>
      <c r="F403">
        <v>250</v>
      </c>
    </row>
    <row r="404" spans="1:6" x14ac:dyDescent="0.25">
      <c r="A404" t="s">
        <v>1473</v>
      </c>
      <c r="B404">
        <f>+B397*0.4</f>
        <v>3200</v>
      </c>
      <c r="C404">
        <f>+C397*0.4</f>
        <v>3400</v>
      </c>
      <c r="D404">
        <f>+D397*0.4</f>
        <v>6560</v>
      </c>
      <c r="E404">
        <f>+E397*0.4</f>
        <v>4280</v>
      </c>
      <c r="F404">
        <f>+F397*0.4</f>
        <v>4000</v>
      </c>
    </row>
    <row r="405" spans="1:6" x14ac:dyDescent="0.25">
      <c r="A405" t="s">
        <v>1474</v>
      </c>
      <c r="B405" s="95">
        <f>+B393*0.125</f>
        <v>1000</v>
      </c>
      <c r="C405">
        <f>+C393*0.125</f>
        <v>1062.5</v>
      </c>
      <c r="D405">
        <f>+D393*0.125</f>
        <v>1125</v>
      </c>
      <c r="E405">
        <f>+E393*0.125</f>
        <v>1187.5</v>
      </c>
      <c r="F405">
        <f>+F393*0.125</f>
        <v>1250</v>
      </c>
    </row>
    <row r="406" spans="1:6" x14ac:dyDescent="0.25">
      <c r="A406" t="s">
        <v>1462</v>
      </c>
      <c r="B406" s="95">
        <f>1000+600</f>
        <v>1600</v>
      </c>
      <c r="C406">
        <v>1000</v>
      </c>
      <c r="D406">
        <v>600</v>
      </c>
      <c r="E406">
        <v>1300</v>
      </c>
      <c r="F406">
        <v>1600</v>
      </c>
    </row>
    <row r="407" spans="1:6" x14ac:dyDescent="0.25">
      <c r="A407" t="s">
        <v>1475</v>
      </c>
      <c r="B407" s="95">
        <f>1100+240</f>
        <v>1340</v>
      </c>
      <c r="C407">
        <f>160+150</f>
        <v>310</v>
      </c>
      <c r="D407">
        <f>4*150+3*40</f>
        <v>720</v>
      </c>
      <c r="E407">
        <f>4*120+3*40</f>
        <v>600</v>
      </c>
    </row>
    <row r="408" spans="1:6" hidden="1" x14ac:dyDescent="0.25">
      <c r="A408" t="s">
        <v>1472</v>
      </c>
    </row>
    <row r="409" spans="1:6" hidden="1" x14ac:dyDescent="0.25">
      <c r="A409" t="s">
        <v>1469</v>
      </c>
    </row>
    <row r="410" spans="1:6" hidden="1" x14ac:dyDescent="0.25">
      <c r="A410" t="s">
        <v>1470</v>
      </c>
    </row>
    <row r="411" spans="1:6" hidden="1" x14ac:dyDescent="0.25">
      <c r="A411" t="s">
        <v>1471</v>
      </c>
    </row>
    <row r="412" spans="1:6" x14ac:dyDescent="0.25">
      <c r="A412" t="s">
        <v>1478</v>
      </c>
      <c r="C412">
        <v>5000</v>
      </c>
    </row>
    <row r="413" spans="1:6" x14ac:dyDescent="0.25">
      <c r="A413" t="s">
        <v>1486</v>
      </c>
      <c r="B413">
        <v>12</v>
      </c>
    </row>
    <row r="414" spans="1:6" ht="15.75" thickBot="1" x14ac:dyDescent="0.3">
      <c r="A414" t="s">
        <v>1498</v>
      </c>
      <c r="C414">
        <v>2500</v>
      </c>
      <c r="D414">
        <v>2500</v>
      </c>
      <c r="E414">
        <v>1000</v>
      </c>
      <c r="F414">
        <v>3500</v>
      </c>
    </row>
    <row r="415" spans="1:6" ht="15.75" thickBot="1" x14ac:dyDescent="0.3">
      <c r="A415" s="7" t="s">
        <v>1477</v>
      </c>
      <c r="B415" s="8">
        <f>SUM(B400:B414)</f>
        <v>8052</v>
      </c>
      <c r="C415" s="8">
        <f t="shared" ref="C415:F415" si="1">SUM(C400:C414)</f>
        <v>14672.5</v>
      </c>
      <c r="D415" s="8">
        <f t="shared" si="1"/>
        <v>12905</v>
      </c>
      <c r="E415" s="8">
        <f t="shared" si="1"/>
        <v>9767.5</v>
      </c>
      <c r="F415" s="8">
        <f t="shared" si="1"/>
        <v>11750</v>
      </c>
    </row>
    <row r="416" spans="1:6" ht="15.75" thickBot="1" x14ac:dyDescent="0.3"/>
    <row r="417" spans="1:28" ht="15.75" thickBot="1" x14ac:dyDescent="0.3">
      <c r="A417" s="7" t="s">
        <v>1476</v>
      </c>
      <c r="B417" s="616">
        <f>+B397-B415</f>
        <v>-52</v>
      </c>
      <c r="C417" s="616">
        <f>+C397-C415</f>
        <v>-6172.5</v>
      </c>
      <c r="D417" s="618">
        <f>+D397-D415</f>
        <v>3495</v>
      </c>
      <c r="E417" s="616">
        <f>+E397-E415</f>
        <v>932.5</v>
      </c>
      <c r="F417" s="617">
        <f>+F397-F415</f>
        <v>-1750</v>
      </c>
    </row>
    <row r="419" spans="1:28" x14ac:dyDescent="0.25">
      <c r="A419" s="225" t="s">
        <v>1478</v>
      </c>
    </row>
    <row r="420" spans="1:28" x14ac:dyDescent="0.25">
      <c r="A420" t="s">
        <v>1499</v>
      </c>
      <c r="D420">
        <v>11480</v>
      </c>
    </row>
    <row r="421" spans="1:28" x14ac:dyDescent="0.25">
      <c r="A421" t="s">
        <v>1500</v>
      </c>
      <c r="D421">
        <v>5000</v>
      </c>
    </row>
    <row r="422" spans="1:28" x14ac:dyDescent="0.25">
      <c r="A422" t="s">
        <v>1502</v>
      </c>
      <c r="B422">
        <f>+B405</f>
        <v>1000</v>
      </c>
      <c r="C422">
        <f>+C405</f>
        <v>1062.5</v>
      </c>
      <c r="D422">
        <f>+D405</f>
        <v>1125</v>
      </c>
      <c r="E422">
        <f>+E405</f>
        <v>1187.5</v>
      </c>
      <c r="F422">
        <f>+F405</f>
        <v>1250</v>
      </c>
    </row>
    <row r="423" spans="1:28" ht="15.75" thickBot="1" x14ac:dyDescent="0.3">
      <c r="A423" t="s">
        <v>1501</v>
      </c>
      <c r="C423">
        <f>1500+1200</f>
        <v>2700</v>
      </c>
      <c r="D423">
        <v>1200</v>
      </c>
    </row>
    <row r="424" spans="1:28" ht="15.75" thickBot="1" x14ac:dyDescent="0.3">
      <c r="B424" s="7">
        <f>SUM(B420:B422)</f>
        <v>1000</v>
      </c>
      <c r="C424" s="8">
        <f>SUM(C420:C422)</f>
        <v>1062.5</v>
      </c>
      <c r="D424" s="8">
        <f>SUM(D420:D422)</f>
        <v>17605</v>
      </c>
      <c r="E424" s="8">
        <f>SUM(E420:E422)</f>
        <v>1187.5</v>
      </c>
      <c r="F424" s="110">
        <f>SUM(F420:F422)</f>
        <v>1250</v>
      </c>
      <c r="G424" s="225">
        <f>SUM(B424:F424)</f>
        <v>22105</v>
      </c>
    </row>
    <row r="426" spans="1:28" x14ac:dyDescent="0.25">
      <c r="A426" t="s">
        <v>45</v>
      </c>
      <c r="B426">
        <f>0.4*B392</f>
        <v>4006</v>
      </c>
      <c r="D426" t="s">
        <v>1483</v>
      </c>
    </row>
    <row r="427" spans="1:28" x14ac:dyDescent="0.25">
      <c r="A427" t="s">
        <v>1481</v>
      </c>
      <c r="B427">
        <v>541</v>
      </c>
      <c r="D427" s="6" t="s">
        <v>1485</v>
      </c>
      <c r="E427">
        <f>0.125*B392</f>
        <v>1251.875</v>
      </c>
    </row>
    <row r="428" spans="1:28" x14ac:dyDescent="0.25">
      <c r="A428" t="s">
        <v>1484</v>
      </c>
      <c r="B428">
        <f>+B426-B427</f>
        <v>3465</v>
      </c>
    </row>
    <row r="430" spans="1:28" x14ac:dyDescent="0.25">
      <c r="B430" t="s">
        <v>1503</v>
      </c>
      <c r="C430" s="6">
        <v>45193</v>
      </c>
      <c r="D430" s="6">
        <v>45194</v>
      </c>
      <c r="E430" s="6">
        <v>45195</v>
      </c>
      <c r="F430" s="6">
        <v>45196</v>
      </c>
      <c r="G430" s="6">
        <v>45197</v>
      </c>
      <c r="H430" s="6">
        <v>45198</v>
      </c>
      <c r="I430" s="6">
        <v>45199</v>
      </c>
      <c r="J430" s="6">
        <v>45200</v>
      </c>
      <c r="K430" s="6">
        <v>45201</v>
      </c>
      <c r="L430" s="6">
        <v>45202</v>
      </c>
      <c r="M430" s="6">
        <v>45203</v>
      </c>
      <c r="N430" s="6">
        <v>45204</v>
      </c>
      <c r="O430" s="6">
        <v>45205</v>
      </c>
      <c r="P430" s="6">
        <v>45206</v>
      </c>
      <c r="Q430" s="6">
        <v>45207</v>
      </c>
      <c r="R430" s="6">
        <v>45208</v>
      </c>
      <c r="S430" s="6">
        <v>45209</v>
      </c>
      <c r="T430" s="6">
        <v>45210</v>
      </c>
      <c r="U430" s="6">
        <v>45211</v>
      </c>
      <c r="V430" s="6">
        <v>45212</v>
      </c>
      <c r="W430" s="6">
        <v>45213</v>
      </c>
      <c r="X430" s="6">
        <v>45214</v>
      </c>
      <c r="Y430" s="6">
        <v>45215</v>
      </c>
      <c r="Z430" s="6">
        <v>45216</v>
      </c>
      <c r="AA430" s="6">
        <v>45217</v>
      </c>
      <c r="AB430" s="6">
        <v>45218</v>
      </c>
    </row>
    <row r="431" spans="1:28" x14ac:dyDescent="0.25">
      <c r="C431" s="620"/>
      <c r="D431" s="619"/>
      <c r="E431" s="95"/>
      <c r="F431" s="95"/>
      <c r="G431" s="95"/>
      <c r="H431" s="95"/>
      <c r="I431" s="619"/>
      <c r="J431" s="620"/>
      <c r="K431" s="95"/>
      <c r="L431" s="95"/>
      <c r="M431" s="619"/>
      <c r="N431" s="95"/>
      <c r="O431" s="95"/>
      <c r="P431" s="95"/>
      <c r="Q431" s="95"/>
      <c r="R431" s="95"/>
      <c r="S431" s="95"/>
      <c r="T431" s="95"/>
      <c r="U431" s="95"/>
      <c r="V431" s="619"/>
      <c r="W431" s="619"/>
      <c r="X431" s="619"/>
      <c r="Y431" s="95"/>
      <c r="Z431" s="95"/>
      <c r="AA431" s="619"/>
      <c r="AB431" s="619"/>
    </row>
    <row r="434" spans="1:18" x14ac:dyDescent="0.25">
      <c r="A434" t="s">
        <v>1510</v>
      </c>
      <c r="B434" s="95">
        <v>10800</v>
      </c>
      <c r="C434" t="s">
        <v>1114</v>
      </c>
      <c r="D434" s="634" t="s">
        <v>1587</v>
      </c>
      <c r="E434" s="634"/>
      <c r="P434" t="s">
        <v>1504</v>
      </c>
      <c r="R434">
        <v>26</v>
      </c>
    </row>
    <row r="435" spans="1:18" x14ac:dyDescent="0.25">
      <c r="B435" s="95">
        <v>3150</v>
      </c>
      <c r="C435" t="s">
        <v>1511</v>
      </c>
      <c r="D435" s="634"/>
      <c r="E435" s="634"/>
      <c r="P435" t="s">
        <v>1505</v>
      </c>
      <c r="R435">
        <v>8</v>
      </c>
    </row>
    <row r="436" spans="1:18" ht="15.75" thickBot="1" x14ac:dyDescent="0.3">
      <c r="B436" s="95">
        <v>900</v>
      </c>
      <c r="C436" t="s">
        <v>1514</v>
      </c>
      <c r="D436" s="634" t="s">
        <v>1588</v>
      </c>
      <c r="E436" s="634"/>
      <c r="P436" t="s">
        <v>1506</v>
      </c>
      <c r="R436">
        <v>2</v>
      </c>
    </row>
    <row r="437" spans="1:18" ht="15.75" thickBot="1" x14ac:dyDescent="0.3">
      <c r="B437" s="574">
        <f>SUM(B434:B436)</f>
        <v>14850</v>
      </c>
      <c r="D437" s="634" t="s">
        <v>1589</v>
      </c>
      <c r="E437" s="634"/>
      <c r="P437" t="s">
        <v>1507</v>
      </c>
      <c r="R437">
        <v>12</v>
      </c>
    </row>
    <row r="438" spans="1:18" x14ac:dyDescent="0.25">
      <c r="P438" t="s">
        <v>1508</v>
      </c>
      <c r="R438">
        <v>4</v>
      </c>
    </row>
    <row r="439" spans="1:18" x14ac:dyDescent="0.25">
      <c r="A439" t="s">
        <v>1513</v>
      </c>
      <c r="B439" s="95">
        <v>430</v>
      </c>
      <c r="C439" t="s">
        <v>1261</v>
      </c>
    </row>
    <row r="440" spans="1:18" x14ac:dyDescent="0.25">
      <c r="B440" s="95">
        <v>1500</v>
      </c>
      <c r="C440" t="s">
        <v>1512</v>
      </c>
    </row>
    <row r="441" spans="1:18" x14ac:dyDescent="0.25">
      <c r="A441" t="s">
        <v>22</v>
      </c>
      <c r="B441" s="95">
        <f>3200-B439-B440-B442</f>
        <v>270</v>
      </c>
    </row>
    <row r="442" spans="1:18" x14ac:dyDescent="0.25">
      <c r="A442" t="s">
        <v>867</v>
      </c>
      <c r="B442" s="95">
        <v>1000</v>
      </c>
      <c r="C442" t="s">
        <v>22</v>
      </c>
    </row>
    <row r="444" spans="1:18" x14ac:dyDescent="0.25">
      <c r="A444" t="s">
        <v>1251</v>
      </c>
      <c r="B444" s="95">
        <v>2100</v>
      </c>
      <c r="C444" t="s">
        <v>1249</v>
      </c>
    </row>
    <row r="445" spans="1:18" x14ac:dyDescent="0.25">
      <c r="B445" s="95">
        <v>2000</v>
      </c>
      <c r="C445" t="s">
        <v>1110</v>
      </c>
    </row>
    <row r="446" spans="1:18" x14ac:dyDescent="0.25">
      <c r="B446" s="95">
        <v>2000</v>
      </c>
      <c r="C446" t="s">
        <v>22</v>
      </c>
    </row>
    <row r="449" spans="1:4" x14ac:dyDescent="0.25">
      <c r="A449" t="s">
        <v>1515</v>
      </c>
      <c r="B449">
        <v>1000</v>
      </c>
    </row>
    <row r="450" spans="1:4" x14ac:dyDescent="0.25">
      <c r="B450">
        <v>2000</v>
      </c>
    </row>
    <row r="452" spans="1:4" x14ac:dyDescent="0.25">
      <c r="A452" t="s">
        <v>1552</v>
      </c>
    </row>
    <row r="453" spans="1:4" x14ac:dyDescent="0.25">
      <c r="B453" t="s">
        <v>1614</v>
      </c>
    </row>
    <row r="454" spans="1:4" x14ac:dyDescent="0.25">
      <c r="B454" t="s">
        <v>1615</v>
      </c>
      <c r="D454" t="s">
        <v>1616</v>
      </c>
    </row>
    <row r="455" spans="1:4" x14ac:dyDescent="0.25">
      <c r="A455" t="s">
        <v>1509</v>
      </c>
      <c r="B455">
        <f>230+20</f>
        <v>250</v>
      </c>
      <c r="D455">
        <f>240+25</f>
        <v>265</v>
      </c>
    </row>
    <row r="456" spans="1:4" x14ac:dyDescent="0.25">
      <c r="A456" t="s">
        <v>141</v>
      </c>
      <c r="B456">
        <f>120+175*2</f>
        <v>470</v>
      </c>
      <c r="D456">
        <v>150</v>
      </c>
    </row>
    <row r="457" spans="1:4" x14ac:dyDescent="0.25">
      <c r="A457" t="s">
        <v>1617</v>
      </c>
      <c r="D457">
        <f>1000+500-300</f>
        <v>1200</v>
      </c>
    </row>
    <row r="458" spans="1:4" x14ac:dyDescent="0.25">
      <c r="A458" t="s">
        <v>1618</v>
      </c>
      <c r="B458">
        <v>5200</v>
      </c>
    </row>
    <row r="459" spans="1:4" x14ac:dyDescent="0.25">
      <c r="A459" t="s">
        <v>859</v>
      </c>
      <c r="B459">
        <v>300</v>
      </c>
    </row>
    <row r="460" spans="1:4" x14ac:dyDescent="0.25">
      <c r="A460" t="s">
        <v>43</v>
      </c>
      <c r="B460">
        <v>500</v>
      </c>
    </row>
    <row r="461" spans="1:4" x14ac:dyDescent="0.25">
      <c r="A461" t="s">
        <v>1619</v>
      </c>
      <c r="B461">
        <v>900</v>
      </c>
      <c r="C461">
        <v>-400</v>
      </c>
    </row>
    <row r="462" spans="1:4" x14ac:dyDescent="0.25">
      <c r="A462" t="s">
        <v>1343</v>
      </c>
      <c r="B462">
        <f>200+223+150</f>
        <v>573</v>
      </c>
    </row>
    <row r="463" spans="1:4" x14ac:dyDescent="0.25">
      <c r="A463" t="s">
        <v>1219</v>
      </c>
      <c r="B463" s="95">
        <v>300</v>
      </c>
    </row>
    <row r="464" spans="1:4" x14ac:dyDescent="0.25">
      <c r="A464" t="s">
        <v>1620</v>
      </c>
      <c r="B464" s="95">
        <v>400</v>
      </c>
    </row>
    <row r="465" spans="1:4" x14ac:dyDescent="0.25">
      <c r="A465" t="s">
        <v>1110</v>
      </c>
      <c r="B465">
        <v>2547</v>
      </c>
    </row>
    <row r="466" spans="1:4" x14ac:dyDescent="0.25">
      <c r="A466" t="s">
        <v>396</v>
      </c>
      <c r="B466">
        <f>2585*1.1</f>
        <v>2843.5000000000005</v>
      </c>
    </row>
    <row r="468" spans="1:4" x14ac:dyDescent="0.25">
      <c r="A468" t="s">
        <v>1228</v>
      </c>
      <c r="B468">
        <v>-5000</v>
      </c>
    </row>
    <row r="469" spans="1:4" x14ac:dyDescent="0.25">
      <c r="A469" t="s">
        <v>1621</v>
      </c>
      <c r="B469">
        <v>-1200</v>
      </c>
    </row>
    <row r="473" spans="1:4" x14ac:dyDescent="0.25">
      <c r="B473">
        <f>SUM(B455:B472)</f>
        <v>8083.5</v>
      </c>
      <c r="C473">
        <f t="shared" ref="C473:D473" si="2">SUM(C455:C472)</f>
        <v>-400</v>
      </c>
      <c r="D473">
        <f t="shared" si="2"/>
        <v>1615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</sheetPr>
  <dimension ref="A1:Y2015"/>
  <sheetViews>
    <sheetView showOutlineSymbols="0" topLeftCell="C1" zoomScale="140" zoomScaleNormal="140" zoomScaleSheetLayoutView="70" workbookViewId="0">
      <pane ySplit="1" topLeftCell="A571" activePane="bottomLeft" state="frozen"/>
      <selection activeCell="E313" sqref="E313"/>
      <selection pane="bottomLeft" activeCell="F1" sqref="F1:L1048576"/>
    </sheetView>
  </sheetViews>
  <sheetFormatPr defaultColWidth="9.140625" defaultRowHeight="15" customHeight="1" outlineLevelRow="2" outlineLevelCol="3" x14ac:dyDescent="0.25"/>
  <cols>
    <col min="1" max="1" width="9.28515625" style="154" customWidth="1"/>
    <col min="2" max="2" width="22.5703125" style="149" customWidth="1"/>
    <col min="3" max="3" width="5.5703125" style="496" customWidth="1"/>
    <col min="4" max="4" width="7.42578125" style="496" customWidth="1"/>
    <col min="5" max="5" width="40.7109375" style="149" customWidth="1"/>
    <col min="6" max="6" width="11.140625" style="22" customWidth="1" outlineLevel="3"/>
    <col min="7" max="7" width="10.140625" style="11" customWidth="1" outlineLevel="3"/>
    <col min="8" max="8" width="9.7109375" style="11" customWidth="1" outlineLevel="3"/>
    <col min="9" max="9" width="9.140625" style="258" customWidth="1" outlineLevel="2"/>
    <col min="10" max="10" width="9.140625" style="258" customWidth="1" outlineLevel="1"/>
    <col min="11" max="11" width="9.140625" style="160" customWidth="1" outlineLevel="1"/>
    <col min="12" max="12" width="8.85546875" style="394" customWidth="1" collapsed="1"/>
    <col min="13" max="13" width="10.85546875" style="22" customWidth="1"/>
    <col min="14" max="14" width="11" style="747" customWidth="1"/>
    <col min="15" max="15" width="8.28515625" style="149" hidden="1" customWidth="1"/>
    <col min="16" max="16" width="34.42578125" style="11" customWidth="1"/>
    <col min="17" max="17" width="11" style="857" customWidth="1"/>
    <col min="18" max="18" width="13" style="933" customWidth="1"/>
    <col min="19" max="19" width="9.140625" style="11"/>
    <col min="20" max="20" width="8.140625" style="11" customWidth="1"/>
    <col min="21" max="16384" width="9.140625" style="11"/>
  </cols>
  <sheetData>
    <row r="1" spans="1:20" s="66" customFormat="1" ht="30.75" customHeight="1" x14ac:dyDescent="0.25">
      <c r="A1" s="732" t="s">
        <v>733</v>
      </c>
      <c r="B1" s="152" t="s">
        <v>420</v>
      </c>
      <c r="C1" s="519" t="s">
        <v>1826</v>
      </c>
      <c r="D1" s="733" t="s">
        <v>487</v>
      </c>
      <c r="E1" s="152" t="s">
        <v>1</v>
      </c>
      <c r="F1" s="221" t="s">
        <v>2</v>
      </c>
      <c r="G1" s="221" t="s">
        <v>3</v>
      </c>
      <c r="H1" s="219" t="s">
        <v>4</v>
      </c>
      <c r="I1" s="221" t="s">
        <v>5</v>
      </c>
      <c r="J1" s="221" t="s">
        <v>6</v>
      </c>
      <c r="K1" s="222" t="s">
        <v>7</v>
      </c>
      <c r="L1" s="224" t="s">
        <v>757</v>
      </c>
      <c r="M1" s="221" t="s">
        <v>9</v>
      </c>
      <c r="N1" s="741" t="s">
        <v>1837</v>
      </c>
      <c r="O1" s="224" t="s">
        <v>1700</v>
      </c>
      <c r="P1" s="221" t="s">
        <v>10</v>
      </c>
      <c r="Q1" s="831" t="s">
        <v>23</v>
      </c>
      <c r="R1" s="910" t="s">
        <v>22</v>
      </c>
      <c r="S1" s="734"/>
      <c r="T1" s="53"/>
    </row>
    <row r="2" spans="1:20" s="388" customFormat="1" ht="15" customHeight="1" x14ac:dyDescent="0.25">
      <c r="A2" s="154" t="s">
        <v>136</v>
      </c>
      <c r="B2" s="152"/>
      <c r="C2" s="519"/>
      <c r="D2" s="519"/>
      <c r="E2" s="152"/>
      <c r="F2" s="221"/>
      <c r="G2" s="221"/>
      <c r="H2" s="219"/>
      <c r="I2" s="221"/>
      <c r="J2" s="221"/>
      <c r="K2" s="222"/>
      <c r="L2" s="224"/>
      <c r="M2" s="221"/>
      <c r="N2" s="741"/>
      <c r="O2" s="378"/>
      <c r="P2" s="326"/>
      <c r="Q2" s="832"/>
      <c r="R2" s="911"/>
      <c r="T2" s="389"/>
    </row>
    <row r="3" spans="1:20" s="388" customFormat="1" ht="15" customHeight="1" x14ac:dyDescent="0.25">
      <c r="A3" s="173"/>
      <c r="B3" s="152"/>
      <c r="C3" s="519"/>
      <c r="D3" s="519"/>
      <c r="E3" s="152" t="s">
        <v>2379</v>
      </c>
      <c r="F3" s="221"/>
      <c r="G3" s="221"/>
      <c r="H3" s="219"/>
      <c r="I3" s="221"/>
      <c r="J3" s="221"/>
      <c r="K3" s="222"/>
      <c r="L3" s="224"/>
      <c r="M3" s="520"/>
      <c r="N3" s="742"/>
      <c r="O3" s="378"/>
      <c r="P3" s="221"/>
      <c r="Q3" s="832"/>
      <c r="R3" s="911"/>
      <c r="T3" s="389"/>
    </row>
    <row r="4" spans="1:20" s="149" customFormat="1" ht="15" customHeight="1" outlineLevel="1" x14ac:dyDescent="0.25">
      <c r="A4" s="154" t="s">
        <v>139</v>
      </c>
      <c r="B4" s="395" t="s">
        <v>142</v>
      </c>
      <c r="C4" s="395">
        <v>1</v>
      </c>
      <c r="D4" s="395"/>
      <c r="E4" s="395" t="s">
        <v>140</v>
      </c>
      <c r="F4" s="395">
        <v>33</v>
      </c>
      <c r="G4" s="395">
        <v>5920.5</v>
      </c>
      <c r="H4" s="395">
        <v>13960</v>
      </c>
      <c r="I4" s="395">
        <f>+F4/G4*H4</f>
        <v>77.810995692931328</v>
      </c>
      <c r="J4" s="394">
        <f>+F4+I4</f>
        <v>110.81099569293133</v>
      </c>
      <c r="K4" s="395">
        <v>0.3</v>
      </c>
      <c r="L4" s="394">
        <f t="shared" ref="L4:L8" si="0">+J4*K4+J4</f>
        <v>144.05429440081073</v>
      </c>
      <c r="M4" s="395">
        <v>150</v>
      </c>
      <c r="N4" s="494"/>
      <c r="O4" s="395"/>
      <c r="P4" s="395"/>
      <c r="Q4" s="833"/>
      <c r="R4" s="912"/>
    </row>
    <row r="5" spans="1:20" ht="15" hidden="1" customHeight="1" outlineLevel="1" x14ac:dyDescent="0.25">
      <c r="B5" s="395" t="s">
        <v>137</v>
      </c>
      <c r="C5" s="395">
        <v>2</v>
      </c>
      <c r="D5" s="395">
        <v>48</v>
      </c>
      <c r="E5" s="317" t="s">
        <v>138</v>
      </c>
      <c r="F5" s="317">
        <v>45</v>
      </c>
      <c r="G5" s="317">
        <v>5920.5</v>
      </c>
      <c r="H5" s="317">
        <v>13960</v>
      </c>
      <c r="I5" s="317">
        <f>+F5/G5*H5</f>
        <v>106.10590321763365</v>
      </c>
      <c r="J5" s="493">
        <f>+F5+I5</f>
        <v>151.10590321763365</v>
      </c>
      <c r="K5" s="317">
        <v>0.3</v>
      </c>
      <c r="L5" s="493">
        <f t="shared" si="0"/>
        <v>196.43767418292376</v>
      </c>
      <c r="M5" s="317">
        <v>100</v>
      </c>
      <c r="N5" s="494">
        <v>80</v>
      </c>
      <c r="O5" s="362"/>
      <c r="P5" s="160" t="s">
        <v>2069</v>
      </c>
      <c r="Q5" s="834">
        <v>45351</v>
      </c>
      <c r="R5" s="913">
        <f>+N5*15000</f>
        <v>1200000</v>
      </c>
    </row>
    <row r="6" spans="1:20" ht="15" customHeight="1" outlineLevel="1" x14ac:dyDescent="0.25">
      <c r="B6" s="395" t="s">
        <v>137</v>
      </c>
      <c r="C6" s="395">
        <v>3</v>
      </c>
      <c r="D6" s="395">
        <v>48</v>
      </c>
      <c r="E6" s="395" t="s">
        <v>138</v>
      </c>
      <c r="F6" s="395">
        <v>45</v>
      </c>
      <c r="G6" s="395">
        <v>5920.5</v>
      </c>
      <c r="H6" s="395">
        <v>13960</v>
      </c>
      <c r="I6" s="395">
        <f>+F6/G6*H6</f>
        <v>106.10590321763365</v>
      </c>
      <c r="J6" s="394">
        <f>+F6+I6</f>
        <v>151.10590321763365</v>
      </c>
      <c r="K6" s="395">
        <v>0.3</v>
      </c>
      <c r="L6" s="394">
        <f t="shared" si="0"/>
        <v>196.43767418292376</v>
      </c>
      <c r="M6" s="395">
        <v>100</v>
      </c>
      <c r="N6" s="494"/>
      <c r="O6" s="362"/>
      <c r="P6" s="160"/>
      <c r="Q6" s="834"/>
      <c r="R6" s="913"/>
    </row>
    <row r="7" spans="1:20" ht="15" customHeight="1" outlineLevel="1" x14ac:dyDescent="0.25">
      <c r="B7" s="395" t="s">
        <v>157</v>
      </c>
      <c r="C7" s="395">
        <v>4</v>
      </c>
      <c r="D7" s="395">
        <v>38</v>
      </c>
      <c r="E7" s="395" t="s">
        <v>402</v>
      </c>
      <c r="F7" s="394"/>
      <c r="G7" s="395"/>
      <c r="H7" s="395"/>
      <c r="I7" s="394"/>
      <c r="J7" s="394"/>
      <c r="K7" s="491"/>
      <c r="L7" s="394">
        <f t="shared" si="0"/>
        <v>0</v>
      </c>
      <c r="M7" s="395"/>
      <c r="N7" s="494"/>
      <c r="O7" s="362"/>
      <c r="P7" s="160" t="s">
        <v>403</v>
      </c>
      <c r="Q7" s="834"/>
      <c r="R7" s="913"/>
    </row>
    <row r="8" spans="1:20" ht="15" customHeight="1" outlineLevel="1" x14ac:dyDescent="0.25">
      <c r="B8" s="395" t="s">
        <v>100</v>
      </c>
      <c r="C8" s="395">
        <v>5</v>
      </c>
      <c r="D8" s="395">
        <v>44</v>
      </c>
      <c r="E8" s="395" t="s">
        <v>200</v>
      </c>
      <c r="F8" s="394">
        <v>55</v>
      </c>
      <c r="G8" s="395">
        <v>5500</v>
      </c>
      <c r="H8" s="395">
        <v>11950</v>
      </c>
      <c r="I8" s="394">
        <f>+F8/G8*H8</f>
        <v>119.5</v>
      </c>
      <c r="J8" s="394"/>
      <c r="K8" s="492">
        <v>0.3</v>
      </c>
      <c r="L8" s="394">
        <f t="shared" si="0"/>
        <v>0</v>
      </c>
      <c r="M8" s="395">
        <v>220</v>
      </c>
      <c r="N8" s="494"/>
      <c r="O8" s="362"/>
      <c r="P8" s="160"/>
      <c r="Q8" s="834"/>
      <c r="R8" s="913"/>
    </row>
    <row r="9" spans="1:20" s="395" customFormat="1" ht="15" customHeight="1" outlineLevel="1" x14ac:dyDescent="0.25">
      <c r="B9" s="395" t="s">
        <v>359</v>
      </c>
      <c r="C9" s="395">
        <v>6</v>
      </c>
      <c r="D9" s="395">
        <v>42</v>
      </c>
      <c r="E9" s="395" t="s">
        <v>360</v>
      </c>
      <c r="F9" s="395">
        <v>55</v>
      </c>
      <c r="G9" s="179">
        <v>5690</v>
      </c>
      <c r="H9" s="394">
        <v>9443</v>
      </c>
      <c r="I9" s="394">
        <f>+F9/G9*H9</f>
        <v>91.276801405975391</v>
      </c>
      <c r="J9" s="394">
        <f>+F9+I9</f>
        <v>146.27680140597539</v>
      </c>
      <c r="K9" s="491">
        <v>0.3</v>
      </c>
      <c r="L9" s="394"/>
      <c r="M9" s="395">
        <v>180</v>
      </c>
      <c r="N9" s="494"/>
      <c r="O9" s="362"/>
      <c r="Q9" s="833"/>
      <c r="R9" s="396"/>
    </row>
    <row r="10" spans="1:20" ht="15" customHeight="1" outlineLevel="1" x14ac:dyDescent="0.25">
      <c r="B10" s="393" t="s">
        <v>263</v>
      </c>
      <c r="C10" s="500"/>
      <c r="D10" s="500"/>
      <c r="E10" s="395"/>
      <c r="F10" s="258"/>
      <c r="G10" s="160"/>
      <c r="H10" s="160"/>
      <c r="K10" s="497"/>
      <c r="L10" s="394">
        <f t="shared" ref="L10:L32" si="1">+J10*K10+J10</f>
        <v>0</v>
      </c>
      <c r="M10" s="160"/>
      <c r="N10" s="494"/>
      <c r="O10" s="395"/>
      <c r="P10" s="160"/>
      <c r="Q10" s="834"/>
      <c r="R10" s="913"/>
    </row>
    <row r="11" spans="1:20" ht="15" customHeight="1" outlineLevel="1" x14ac:dyDescent="0.25">
      <c r="B11" s="395" t="s">
        <v>157</v>
      </c>
      <c r="C11" s="500">
        <v>7</v>
      </c>
      <c r="D11" s="500">
        <v>42</v>
      </c>
      <c r="E11" s="395" t="s">
        <v>257</v>
      </c>
      <c r="F11" s="394">
        <v>50</v>
      </c>
      <c r="G11" s="395">
        <v>4794</v>
      </c>
      <c r="H11" s="395">
        <v>7939</v>
      </c>
      <c r="I11" s="394">
        <f>+F11/G11*H11</f>
        <v>82.801418439716301</v>
      </c>
      <c r="J11" s="394">
        <f>+F11+I11</f>
        <v>132.80141843971631</v>
      </c>
      <c r="K11" s="492">
        <v>0.3</v>
      </c>
      <c r="L11" s="394">
        <f t="shared" si="1"/>
        <v>172.6418439716312</v>
      </c>
      <c r="M11" s="395">
        <v>200</v>
      </c>
      <c r="N11" s="494"/>
      <c r="O11" s="362"/>
      <c r="P11" s="160"/>
      <c r="Q11" s="833"/>
      <c r="R11" s="912"/>
    </row>
    <row r="12" spans="1:20" s="149" customFormat="1" ht="15" customHeight="1" outlineLevel="1" x14ac:dyDescent="0.25">
      <c r="A12" s="154"/>
      <c r="B12" s="395" t="s">
        <v>157</v>
      </c>
      <c r="C12" s="500">
        <v>8</v>
      </c>
      <c r="D12" s="500">
        <v>44</v>
      </c>
      <c r="E12" s="395" t="s">
        <v>257</v>
      </c>
      <c r="F12" s="394">
        <v>50</v>
      </c>
      <c r="G12" s="395">
        <v>4794</v>
      </c>
      <c r="H12" s="395">
        <v>7939</v>
      </c>
      <c r="I12" s="394">
        <f>+F12/G12*H12</f>
        <v>82.801418439716301</v>
      </c>
      <c r="J12" s="394">
        <f>+F12+I12</f>
        <v>132.80141843971631</v>
      </c>
      <c r="K12" s="492">
        <v>0.3</v>
      </c>
      <c r="L12" s="394">
        <f t="shared" si="1"/>
        <v>172.6418439716312</v>
      </c>
      <c r="M12" s="395">
        <v>200</v>
      </c>
      <c r="N12" s="494"/>
      <c r="O12" s="395"/>
      <c r="P12" s="395" t="s">
        <v>1723</v>
      </c>
      <c r="Q12" s="833"/>
      <c r="R12" s="912"/>
    </row>
    <row r="13" spans="1:20" s="149" customFormat="1" ht="15" customHeight="1" outlineLevel="1" x14ac:dyDescent="0.25">
      <c r="B13" s="395"/>
      <c r="C13" s="500"/>
      <c r="D13" s="500"/>
      <c r="E13" s="393" t="s">
        <v>383</v>
      </c>
      <c r="F13" s="394"/>
      <c r="G13" s="395"/>
      <c r="H13" s="395"/>
      <c r="I13" s="394"/>
      <c r="J13" s="394"/>
      <c r="K13" s="492"/>
      <c r="L13" s="394">
        <f t="shared" si="1"/>
        <v>0</v>
      </c>
      <c r="M13" s="394"/>
      <c r="N13" s="504"/>
      <c r="O13" s="395"/>
      <c r="P13" s="395"/>
      <c r="Q13" s="833"/>
      <c r="R13" s="396"/>
    </row>
    <row r="14" spans="1:20" s="395" customFormat="1" ht="15" customHeight="1" outlineLevel="1" x14ac:dyDescent="0.25">
      <c r="A14" s="393" t="s">
        <v>356</v>
      </c>
      <c r="B14" s="395" t="s">
        <v>330</v>
      </c>
      <c r="C14" s="395">
        <v>9</v>
      </c>
      <c r="D14" s="395">
        <v>48</v>
      </c>
      <c r="E14" s="395" t="s">
        <v>357</v>
      </c>
      <c r="F14" s="395">
        <v>19</v>
      </c>
      <c r="G14" s="179">
        <v>5690</v>
      </c>
      <c r="H14" s="394">
        <v>9443</v>
      </c>
      <c r="I14" s="394">
        <f t="shared" ref="I14:I18" si="2">+F14/G14*H14</f>
        <v>31.531985940246045</v>
      </c>
      <c r="J14" s="394">
        <f t="shared" ref="J14:J18" si="3">+F14+I14</f>
        <v>50.531985940246045</v>
      </c>
      <c r="K14" s="491">
        <v>0.3</v>
      </c>
      <c r="L14" s="394">
        <f t="shared" si="1"/>
        <v>65.691581722319853</v>
      </c>
      <c r="M14" s="395">
        <v>100</v>
      </c>
      <c r="N14" s="494"/>
      <c r="O14" s="362"/>
      <c r="Q14" s="833"/>
      <c r="R14" s="396"/>
    </row>
    <row r="15" spans="1:20" s="395" customFormat="1" ht="15" customHeight="1" outlineLevel="1" x14ac:dyDescent="0.25">
      <c r="B15" s="395" t="s">
        <v>395</v>
      </c>
      <c r="C15" s="395">
        <v>10</v>
      </c>
      <c r="D15" s="395">
        <v>44</v>
      </c>
      <c r="E15" s="395" t="s">
        <v>369</v>
      </c>
      <c r="F15" s="395">
        <v>20</v>
      </c>
      <c r="G15" s="179">
        <v>5690</v>
      </c>
      <c r="H15" s="394">
        <v>9443</v>
      </c>
      <c r="I15" s="394">
        <f t="shared" si="2"/>
        <v>33.191564147627417</v>
      </c>
      <c r="J15" s="394">
        <f t="shared" si="3"/>
        <v>53.191564147627417</v>
      </c>
      <c r="K15" s="491">
        <v>0.3</v>
      </c>
      <c r="L15" s="394">
        <f t="shared" si="1"/>
        <v>69.149033391915637</v>
      </c>
      <c r="M15" s="395">
        <v>95</v>
      </c>
      <c r="N15" s="494"/>
      <c r="O15" s="362"/>
      <c r="Q15" s="833"/>
      <c r="R15" s="396"/>
    </row>
    <row r="16" spans="1:20" s="395" customFormat="1" ht="15" customHeight="1" outlineLevel="1" x14ac:dyDescent="0.25">
      <c r="B16" s="395" t="s">
        <v>395</v>
      </c>
      <c r="C16" s="395">
        <v>11</v>
      </c>
      <c r="D16" s="395">
        <v>44</v>
      </c>
      <c r="E16" s="395" t="s">
        <v>369</v>
      </c>
      <c r="F16" s="395">
        <v>20</v>
      </c>
      <c r="G16" s="179">
        <v>5690</v>
      </c>
      <c r="H16" s="394">
        <v>9443</v>
      </c>
      <c r="I16" s="394">
        <f t="shared" si="2"/>
        <v>33.191564147627417</v>
      </c>
      <c r="J16" s="394">
        <f t="shared" si="3"/>
        <v>53.191564147627417</v>
      </c>
      <c r="K16" s="491">
        <v>0.3</v>
      </c>
      <c r="L16" s="394">
        <f t="shared" si="1"/>
        <v>69.149033391915637</v>
      </c>
      <c r="M16" s="395">
        <v>95</v>
      </c>
      <c r="N16" s="494"/>
      <c r="O16" s="362"/>
      <c r="Q16" s="833"/>
      <c r="R16" s="396"/>
    </row>
    <row r="17" spans="1:18" s="395" customFormat="1" ht="15" customHeight="1" outlineLevel="1" x14ac:dyDescent="0.25">
      <c r="B17" s="395" t="s">
        <v>395</v>
      </c>
      <c r="C17" s="395">
        <v>12</v>
      </c>
      <c r="D17" s="395">
        <v>46</v>
      </c>
      <c r="E17" s="395" t="s">
        <v>369</v>
      </c>
      <c r="F17" s="395">
        <v>20</v>
      </c>
      <c r="G17" s="179">
        <v>5690</v>
      </c>
      <c r="H17" s="394">
        <v>9443</v>
      </c>
      <c r="I17" s="394">
        <f t="shared" si="2"/>
        <v>33.191564147627417</v>
      </c>
      <c r="J17" s="394">
        <f t="shared" si="3"/>
        <v>53.191564147627417</v>
      </c>
      <c r="K17" s="491">
        <v>0.3</v>
      </c>
      <c r="L17" s="394">
        <f t="shared" si="1"/>
        <v>69.149033391915637</v>
      </c>
      <c r="M17" s="395">
        <v>95</v>
      </c>
      <c r="N17" s="494"/>
      <c r="O17" s="362"/>
      <c r="Q17" s="833"/>
      <c r="R17" s="396"/>
    </row>
    <row r="18" spans="1:18" s="395" customFormat="1" ht="15" hidden="1" customHeight="1" outlineLevel="1" x14ac:dyDescent="0.25">
      <c r="B18" s="395" t="s">
        <v>395</v>
      </c>
      <c r="C18" s="395">
        <v>13</v>
      </c>
      <c r="D18" s="395">
        <v>46</v>
      </c>
      <c r="E18" s="317" t="s">
        <v>369</v>
      </c>
      <c r="F18" s="317">
        <v>20</v>
      </c>
      <c r="G18" s="509">
        <v>5690</v>
      </c>
      <c r="H18" s="493">
        <v>9443</v>
      </c>
      <c r="I18" s="493">
        <f t="shared" si="2"/>
        <v>33.191564147627417</v>
      </c>
      <c r="J18" s="493">
        <f t="shared" si="3"/>
        <v>53.191564147627417</v>
      </c>
      <c r="K18" s="533">
        <v>0.3</v>
      </c>
      <c r="L18" s="493">
        <f t="shared" si="1"/>
        <v>69.149033391915637</v>
      </c>
      <c r="M18" s="317">
        <v>95</v>
      </c>
      <c r="N18" s="494">
        <v>60</v>
      </c>
      <c r="O18" s="362"/>
      <c r="P18" s="395" t="s">
        <v>2069</v>
      </c>
      <c r="Q18" s="833">
        <v>45351</v>
      </c>
      <c r="R18" s="396">
        <f>+N18*10000</f>
        <v>600000</v>
      </c>
    </row>
    <row r="19" spans="1:18" s="395" customFormat="1" ht="15" customHeight="1" outlineLevel="1" x14ac:dyDescent="0.25">
      <c r="E19" s="393" t="s">
        <v>401</v>
      </c>
      <c r="G19" s="179"/>
      <c r="H19" s="394"/>
      <c r="I19" s="394"/>
      <c r="J19" s="394"/>
      <c r="K19" s="491"/>
      <c r="L19" s="394">
        <f t="shared" si="1"/>
        <v>0</v>
      </c>
      <c r="N19" s="494"/>
      <c r="Q19" s="833"/>
      <c r="R19" s="396"/>
    </row>
    <row r="20" spans="1:18" s="395" customFormat="1" ht="15.75" outlineLevel="1" x14ac:dyDescent="0.25">
      <c r="A20" s="393"/>
      <c r="B20" s="395" t="s">
        <v>224</v>
      </c>
      <c r="C20" s="395">
        <v>14</v>
      </c>
      <c r="D20" s="395">
        <v>48</v>
      </c>
      <c r="E20" s="395" t="s">
        <v>397</v>
      </c>
      <c r="F20" s="394">
        <v>28</v>
      </c>
      <c r="G20" s="395">
        <v>283</v>
      </c>
      <c r="H20" s="394">
        <f>+G20+314</f>
        <v>597</v>
      </c>
      <c r="I20" s="498">
        <f>+F20/G20*H20</f>
        <v>59.06713780918728</v>
      </c>
      <c r="J20" s="394">
        <f>+F20+I20</f>
        <v>87.067137809187273</v>
      </c>
      <c r="K20" s="492">
        <v>0.3</v>
      </c>
      <c r="L20" s="394">
        <f t="shared" si="1"/>
        <v>113.18727915194346</v>
      </c>
      <c r="M20" s="394">
        <v>100</v>
      </c>
      <c r="N20" s="504"/>
      <c r="O20" s="362"/>
      <c r="Q20" s="833"/>
      <c r="R20" s="396"/>
    </row>
    <row r="21" spans="1:18" s="395" customFormat="1" ht="15.75" outlineLevel="1" x14ac:dyDescent="0.25">
      <c r="A21" s="393"/>
      <c r="E21" s="393" t="s">
        <v>445</v>
      </c>
      <c r="F21" s="394"/>
      <c r="H21" s="394"/>
      <c r="I21" s="498"/>
      <c r="J21" s="394"/>
      <c r="K21" s="492"/>
      <c r="L21" s="394">
        <f t="shared" si="1"/>
        <v>0</v>
      </c>
      <c r="M21" s="394"/>
      <c r="N21" s="504"/>
      <c r="Q21" s="833"/>
      <c r="R21" s="396"/>
    </row>
    <row r="22" spans="1:18" s="395" customFormat="1" ht="15.75" outlineLevel="1" x14ac:dyDescent="0.25">
      <c r="A22" s="393"/>
      <c r="B22" s="395" t="s">
        <v>436</v>
      </c>
      <c r="C22" s="395">
        <v>15</v>
      </c>
      <c r="D22" s="395">
        <v>42</v>
      </c>
      <c r="E22" s="395" t="s">
        <v>444</v>
      </c>
      <c r="F22" s="167">
        <v>28</v>
      </c>
      <c r="G22" s="395">
        <v>272</v>
      </c>
      <c r="H22" s="394">
        <f>+G22+50+16</f>
        <v>338</v>
      </c>
      <c r="I22" s="394">
        <f>+F22/G22*H22</f>
        <v>34.794117647058819</v>
      </c>
      <c r="J22" s="394">
        <f>+F22+I22</f>
        <v>62.794117647058819</v>
      </c>
      <c r="K22" s="492">
        <v>0.3</v>
      </c>
      <c r="L22" s="394">
        <f t="shared" si="1"/>
        <v>81.632352941176464</v>
      </c>
      <c r="M22" s="394">
        <v>110</v>
      </c>
      <c r="N22" s="504"/>
      <c r="O22" s="494"/>
      <c r="Q22" s="833"/>
      <c r="R22" s="396"/>
    </row>
    <row r="23" spans="1:18" s="395" customFormat="1" ht="15.75" outlineLevel="1" x14ac:dyDescent="0.25">
      <c r="A23" s="393"/>
      <c r="B23" s="395" t="s">
        <v>436</v>
      </c>
      <c r="C23" s="395">
        <v>16</v>
      </c>
      <c r="D23" s="395">
        <v>44</v>
      </c>
      <c r="E23" s="395" t="s">
        <v>444</v>
      </c>
      <c r="F23" s="167">
        <v>28</v>
      </c>
      <c r="G23" s="395">
        <v>272</v>
      </c>
      <c r="H23" s="394">
        <f>+G23+50+16</f>
        <v>338</v>
      </c>
      <c r="I23" s="394">
        <f>+F23/G23*H23</f>
        <v>34.794117647058819</v>
      </c>
      <c r="J23" s="394">
        <f>+F23+I23</f>
        <v>62.794117647058819</v>
      </c>
      <c r="K23" s="492">
        <v>0.3</v>
      </c>
      <c r="L23" s="394">
        <f t="shared" si="1"/>
        <v>81.632352941176464</v>
      </c>
      <c r="M23" s="394">
        <v>110</v>
      </c>
      <c r="N23" s="504"/>
      <c r="O23" s="494"/>
      <c r="Q23" s="833"/>
      <c r="R23" s="396"/>
    </row>
    <row r="24" spans="1:18" s="395" customFormat="1" ht="15.75" outlineLevel="1" x14ac:dyDescent="0.25">
      <c r="A24" s="393"/>
      <c r="B24" s="395" t="s">
        <v>436</v>
      </c>
      <c r="C24" s="395">
        <v>17</v>
      </c>
      <c r="D24" s="395">
        <v>46</v>
      </c>
      <c r="E24" s="395" t="s">
        <v>444</v>
      </c>
      <c r="F24" s="167">
        <v>28</v>
      </c>
      <c r="G24" s="395">
        <v>272</v>
      </c>
      <c r="H24" s="394">
        <f>+G24+50+16</f>
        <v>338</v>
      </c>
      <c r="I24" s="394">
        <f>+F24/G24*H24</f>
        <v>34.794117647058819</v>
      </c>
      <c r="J24" s="394">
        <f>+F24+I24</f>
        <v>62.794117647058819</v>
      </c>
      <c r="K24" s="492">
        <v>0.3</v>
      </c>
      <c r="L24" s="394">
        <f t="shared" si="1"/>
        <v>81.632352941176464</v>
      </c>
      <c r="M24" s="394">
        <v>110</v>
      </c>
      <c r="N24" s="504"/>
      <c r="O24" s="494"/>
      <c r="Q24" s="833"/>
      <c r="R24" s="396"/>
    </row>
    <row r="25" spans="1:18" s="395" customFormat="1" ht="15.75" outlineLevel="1" x14ac:dyDescent="0.25">
      <c r="A25" s="393"/>
      <c r="B25" s="395" t="s">
        <v>436</v>
      </c>
      <c r="C25" s="395">
        <v>18</v>
      </c>
      <c r="D25" s="395">
        <v>48</v>
      </c>
      <c r="E25" s="395" t="s">
        <v>444</v>
      </c>
      <c r="F25" s="167">
        <v>28</v>
      </c>
      <c r="G25" s="395">
        <v>272</v>
      </c>
      <c r="H25" s="394">
        <f>+G25+50+16</f>
        <v>338</v>
      </c>
      <c r="I25" s="394">
        <f>+F25/G25*H25</f>
        <v>34.794117647058819</v>
      </c>
      <c r="J25" s="394">
        <f>+F25+I25</f>
        <v>62.794117647058819</v>
      </c>
      <c r="K25" s="492">
        <v>0.3</v>
      </c>
      <c r="L25" s="394">
        <f t="shared" si="1"/>
        <v>81.632352941176464</v>
      </c>
      <c r="M25" s="394">
        <v>110</v>
      </c>
      <c r="N25" s="504"/>
      <c r="O25" s="494"/>
      <c r="Q25" s="833"/>
      <c r="R25" s="396"/>
    </row>
    <row r="26" spans="1:18" s="395" customFormat="1" ht="15.75" outlineLevel="1" x14ac:dyDescent="0.25">
      <c r="A26" s="393"/>
      <c r="B26" s="393"/>
      <c r="E26" s="393" t="s">
        <v>702</v>
      </c>
      <c r="F26" s="394"/>
      <c r="H26" s="394"/>
      <c r="I26" s="394"/>
      <c r="J26" s="394"/>
      <c r="K26" s="492"/>
      <c r="L26" s="394">
        <f t="shared" si="1"/>
        <v>0</v>
      </c>
      <c r="M26" s="394"/>
      <c r="N26" s="504"/>
      <c r="Q26" s="833"/>
      <c r="R26" s="396"/>
    </row>
    <row r="27" spans="1:18" s="395" customFormat="1" ht="15.75" outlineLevel="1" x14ac:dyDescent="0.25">
      <c r="A27" s="393" t="s">
        <v>259</v>
      </c>
      <c r="B27" s="395" t="s">
        <v>292</v>
      </c>
      <c r="C27" s="395">
        <v>19</v>
      </c>
      <c r="D27" s="395">
        <v>42</v>
      </c>
      <c r="E27" s="395" t="s">
        <v>667</v>
      </c>
      <c r="F27" s="395">
        <v>41</v>
      </c>
      <c r="G27" s="395">
        <v>6556</v>
      </c>
      <c r="H27" s="394">
        <v>9750</v>
      </c>
      <c r="I27" s="394">
        <f t="shared" ref="I27:I32" si="4">+F27/G27*H27</f>
        <v>60.974679682733374</v>
      </c>
      <c r="J27" s="394">
        <f t="shared" ref="J27:J32" si="5">+F27+I27</f>
        <v>101.97467968273338</v>
      </c>
      <c r="K27" s="492">
        <v>0.3</v>
      </c>
      <c r="L27" s="394">
        <f t="shared" si="1"/>
        <v>132.56708358755338</v>
      </c>
      <c r="M27" s="394">
        <v>150</v>
      </c>
      <c r="N27" s="504"/>
      <c r="O27" s="362"/>
      <c r="Q27" s="833"/>
      <c r="R27" s="396"/>
    </row>
    <row r="28" spans="1:18" s="395" customFormat="1" ht="15.75" outlineLevel="1" x14ac:dyDescent="0.25">
      <c r="A28" s="393" t="s">
        <v>259</v>
      </c>
      <c r="B28" s="395" t="s">
        <v>292</v>
      </c>
      <c r="C28" s="395">
        <v>20</v>
      </c>
      <c r="D28" s="395">
        <v>44</v>
      </c>
      <c r="E28" s="395" t="s">
        <v>667</v>
      </c>
      <c r="F28" s="395">
        <v>41</v>
      </c>
      <c r="G28" s="395">
        <v>6556</v>
      </c>
      <c r="H28" s="394">
        <v>9750</v>
      </c>
      <c r="I28" s="394">
        <f t="shared" si="4"/>
        <v>60.974679682733374</v>
      </c>
      <c r="J28" s="394">
        <f t="shared" si="5"/>
        <v>101.97467968273338</v>
      </c>
      <c r="K28" s="492">
        <v>0.3</v>
      </c>
      <c r="L28" s="394">
        <f t="shared" si="1"/>
        <v>132.56708358755338</v>
      </c>
      <c r="M28" s="394">
        <v>150</v>
      </c>
      <c r="N28" s="504"/>
      <c r="O28" s="362"/>
      <c r="Q28" s="833"/>
      <c r="R28" s="396"/>
    </row>
    <row r="29" spans="1:18" s="395" customFormat="1" ht="15.75" outlineLevel="1" x14ac:dyDescent="0.25">
      <c r="A29" s="393" t="s">
        <v>259</v>
      </c>
      <c r="B29" s="395" t="s">
        <v>292</v>
      </c>
      <c r="C29" s="395">
        <v>21</v>
      </c>
      <c r="D29" s="395">
        <v>48</v>
      </c>
      <c r="E29" s="395" t="s">
        <v>667</v>
      </c>
      <c r="F29" s="395">
        <v>41</v>
      </c>
      <c r="G29" s="395">
        <v>6556</v>
      </c>
      <c r="H29" s="394">
        <v>9750</v>
      </c>
      <c r="I29" s="394">
        <f t="shared" si="4"/>
        <v>60.974679682733374</v>
      </c>
      <c r="J29" s="394">
        <f t="shared" si="5"/>
        <v>101.97467968273338</v>
      </c>
      <c r="K29" s="492">
        <v>0.3</v>
      </c>
      <c r="L29" s="394">
        <f t="shared" si="1"/>
        <v>132.56708358755338</v>
      </c>
      <c r="M29" s="394">
        <v>150</v>
      </c>
      <c r="N29" s="504"/>
      <c r="O29" s="362"/>
      <c r="Q29" s="833"/>
      <c r="R29" s="396"/>
    </row>
    <row r="30" spans="1:18" s="395" customFormat="1" ht="15.75" outlineLevel="1" x14ac:dyDescent="0.25">
      <c r="A30" s="393" t="s">
        <v>259</v>
      </c>
      <c r="B30" s="395" t="s">
        <v>258</v>
      </c>
      <c r="C30" s="395">
        <v>22</v>
      </c>
      <c r="D30" s="395">
        <v>50</v>
      </c>
      <c r="E30" s="395" t="s">
        <v>667</v>
      </c>
      <c r="F30" s="395">
        <v>41</v>
      </c>
      <c r="G30" s="395">
        <v>6556</v>
      </c>
      <c r="H30" s="394">
        <v>9750</v>
      </c>
      <c r="I30" s="394">
        <f t="shared" si="4"/>
        <v>60.974679682733374</v>
      </c>
      <c r="J30" s="394">
        <f t="shared" si="5"/>
        <v>101.97467968273338</v>
      </c>
      <c r="K30" s="492">
        <v>0.3</v>
      </c>
      <c r="L30" s="394">
        <f t="shared" si="1"/>
        <v>132.56708358755338</v>
      </c>
      <c r="M30" s="394">
        <v>150</v>
      </c>
      <c r="N30" s="504"/>
      <c r="O30" s="362"/>
      <c r="Q30" s="833"/>
      <c r="R30" s="396"/>
    </row>
    <row r="31" spans="1:18" s="395" customFormat="1" ht="15.75" outlineLevel="1" x14ac:dyDescent="0.25">
      <c r="A31" s="393" t="s">
        <v>259</v>
      </c>
      <c r="B31" s="395" t="s">
        <v>258</v>
      </c>
      <c r="C31" s="395">
        <v>23</v>
      </c>
      <c r="D31" s="395">
        <v>54</v>
      </c>
      <c r="E31" s="395" t="s">
        <v>667</v>
      </c>
      <c r="F31" s="395">
        <v>41</v>
      </c>
      <c r="G31" s="395">
        <v>6556</v>
      </c>
      <c r="H31" s="394">
        <v>9750</v>
      </c>
      <c r="I31" s="394">
        <f t="shared" si="4"/>
        <v>60.974679682733374</v>
      </c>
      <c r="J31" s="394">
        <f t="shared" si="5"/>
        <v>101.97467968273338</v>
      </c>
      <c r="K31" s="492">
        <v>0.3</v>
      </c>
      <c r="L31" s="394">
        <f t="shared" si="1"/>
        <v>132.56708358755338</v>
      </c>
      <c r="M31" s="394">
        <v>150</v>
      </c>
      <c r="N31" s="504"/>
      <c r="O31" s="362"/>
      <c r="Q31" s="833"/>
      <c r="R31" s="396"/>
    </row>
    <row r="32" spans="1:18" s="395" customFormat="1" ht="15.75" outlineLevel="1" x14ac:dyDescent="0.25">
      <c r="A32" s="393" t="s">
        <v>259</v>
      </c>
      <c r="B32" s="395" t="s">
        <v>258</v>
      </c>
      <c r="C32" s="395">
        <v>24</v>
      </c>
      <c r="D32" s="395">
        <v>56</v>
      </c>
      <c r="E32" s="395" t="s">
        <v>667</v>
      </c>
      <c r="F32" s="395">
        <v>41</v>
      </c>
      <c r="G32" s="395">
        <v>6556</v>
      </c>
      <c r="H32" s="394">
        <v>9750</v>
      </c>
      <c r="I32" s="394">
        <f t="shared" si="4"/>
        <v>60.974679682733374</v>
      </c>
      <c r="J32" s="394">
        <f t="shared" si="5"/>
        <v>101.97467968273338</v>
      </c>
      <c r="K32" s="492">
        <v>0.3</v>
      </c>
      <c r="L32" s="394">
        <f t="shared" si="1"/>
        <v>132.56708358755338</v>
      </c>
      <c r="M32" s="394">
        <v>150</v>
      </c>
      <c r="N32" s="504"/>
      <c r="O32" s="362"/>
      <c r="Q32" s="833"/>
      <c r="R32" s="396"/>
    </row>
    <row r="33" spans="1:20" s="149" customFormat="1" ht="15" customHeight="1" outlineLevel="1" x14ac:dyDescent="0.25">
      <c r="B33" s="395"/>
      <c r="C33" s="395"/>
      <c r="D33" s="500"/>
      <c r="E33" s="393" t="s">
        <v>1066</v>
      </c>
      <c r="F33" s="394"/>
      <c r="G33" s="395"/>
      <c r="H33" s="395"/>
      <c r="I33" s="394"/>
      <c r="J33" s="394"/>
      <c r="K33" s="492"/>
      <c r="L33" s="394"/>
      <c r="M33" s="394"/>
      <c r="N33" s="504"/>
      <c r="O33" s="395"/>
      <c r="P33" s="395"/>
      <c r="Q33" s="833"/>
      <c r="R33" s="396"/>
    </row>
    <row r="34" spans="1:20" s="337" customFormat="1" ht="15.75" x14ac:dyDescent="0.25">
      <c r="A34" s="169"/>
      <c r="B34" s="331" t="s">
        <v>1163</v>
      </c>
      <c r="C34" s="337">
        <v>25</v>
      </c>
      <c r="D34" s="337">
        <v>44</v>
      </c>
      <c r="E34" s="337" t="s">
        <v>1211</v>
      </c>
      <c r="F34" s="338">
        <v>55</v>
      </c>
      <c r="G34" s="339">
        <v>8267</v>
      </c>
      <c r="H34" s="338">
        <v>7400</v>
      </c>
      <c r="I34" s="338">
        <f t="shared" ref="I34:I48" si="6">+F34/G34*H34</f>
        <v>49.231885811056003</v>
      </c>
      <c r="J34" s="338">
        <f t="shared" ref="J34:J48" si="7">+F34+I34</f>
        <v>104.231885811056</v>
      </c>
      <c r="K34" s="340">
        <v>0.3</v>
      </c>
      <c r="L34" s="338">
        <f t="shared" ref="L34:L44" si="8">+J34*1.3</f>
        <v>135.50145155437281</v>
      </c>
      <c r="M34" s="341">
        <v>150</v>
      </c>
      <c r="N34" s="675"/>
      <c r="O34" s="361"/>
      <c r="P34" s="169"/>
      <c r="Q34" s="835"/>
      <c r="R34" s="580"/>
    </row>
    <row r="35" spans="1:20" s="337" customFormat="1" ht="15.75" x14ac:dyDescent="0.25">
      <c r="A35" s="169"/>
      <c r="B35" s="331" t="s">
        <v>1163</v>
      </c>
      <c r="C35" s="337">
        <v>26</v>
      </c>
      <c r="D35" s="337">
        <v>44</v>
      </c>
      <c r="E35" s="337" t="s">
        <v>1164</v>
      </c>
      <c r="F35" s="338">
        <v>55</v>
      </c>
      <c r="G35" s="339">
        <v>8267</v>
      </c>
      <c r="H35" s="338">
        <v>7400</v>
      </c>
      <c r="I35" s="338">
        <f t="shared" si="6"/>
        <v>49.231885811056003</v>
      </c>
      <c r="J35" s="338">
        <f t="shared" si="7"/>
        <v>104.231885811056</v>
      </c>
      <c r="K35" s="340">
        <v>0.3</v>
      </c>
      <c r="L35" s="338">
        <f t="shared" si="8"/>
        <v>135.50145155437281</v>
      </c>
      <c r="M35" s="341">
        <v>150</v>
      </c>
      <c r="N35" s="675"/>
      <c r="O35" s="361"/>
      <c r="P35" s="169"/>
      <c r="Q35" s="835"/>
      <c r="R35" s="580"/>
    </row>
    <row r="36" spans="1:20" s="337" customFormat="1" ht="15.75" x14ac:dyDescent="0.25">
      <c r="A36" s="169"/>
      <c r="B36" s="331" t="s">
        <v>1163</v>
      </c>
      <c r="C36" s="337">
        <v>27</v>
      </c>
      <c r="D36" s="337">
        <v>52</v>
      </c>
      <c r="E36" s="337" t="s">
        <v>1164</v>
      </c>
      <c r="F36" s="338">
        <v>55</v>
      </c>
      <c r="G36" s="339">
        <v>8267</v>
      </c>
      <c r="H36" s="338">
        <v>7400</v>
      </c>
      <c r="I36" s="338">
        <f t="shared" si="6"/>
        <v>49.231885811056003</v>
      </c>
      <c r="J36" s="338">
        <f t="shared" si="7"/>
        <v>104.231885811056</v>
      </c>
      <c r="K36" s="340">
        <v>0.3</v>
      </c>
      <c r="L36" s="338">
        <f t="shared" si="8"/>
        <v>135.50145155437281</v>
      </c>
      <c r="M36" s="341">
        <v>150</v>
      </c>
      <c r="N36" s="675"/>
      <c r="O36" s="361"/>
      <c r="P36" s="169"/>
      <c r="Q36" s="835"/>
      <c r="R36" s="580"/>
    </row>
    <row r="37" spans="1:20" s="337" customFormat="1" ht="15.75" x14ac:dyDescent="0.25">
      <c r="A37" s="169"/>
      <c r="B37" s="331" t="s">
        <v>201</v>
      </c>
      <c r="C37" s="337">
        <v>28</v>
      </c>
      <c r="D37" s="337">
        <v>38</v>
      </c>
      <c r="E37" s="337" t="s">
        <v>1177</v>
      </c>
      <c r="F37" s="338">
        <v>60</v>
      </c>
      <c r="G37" s="339">
        <v>8267</v>
      </c>
      <c r="H37" s="338">
        <v>7400</v>
      </c>
      <c r="I37" s="338">
        <f t="shared" si="6"/>
        <v>53.707511793879277</v>
      </c>
      <c r="J37" s="338">
        <f t="shared" si="7"/>
        <v>113.70751179387928</v>
      </c>
      <c r="K37" s="340">
        <v>0.3</v>
      </c>
      <c r="L37" s="338">
        <f t="shared" si="8"/>
        <v>147.81976533204306</v>
      </c>
      <c r="M37" s="341">
        <v>80</v>
      </c>
      <c r="N37" s="675"/>
      <c r="O37" s="361"/>
      <c r="P37" s="169"/>
      <c r="Q37" s="835"/>
      <c r="R37" s="580"/>
    </row>
    <row r="38" spans="1:20" s="337" customFormat="1" ht="15.75" x14ac:dyDescent="0.25">
      <c r="A38" s="169"/>
      <c r="B38" s="575" t="s">
        <v>1253</v>
      </c>
      <c r="F38" s="338"/>
      <c r="G38" s="339"/>
      <c r="H38" s="338"/>
      <c r="I38" s="338"/>
      <c r="J38" s="338"/>
      <c r="K38" s="340"/>
      <c r="L38" s="338"/>
      <c r="M38" s="341"/>
      <c r="N38" s="675"/>
      <c r="O38" s="169"/>
      <c r="P38" s="169"/>
      <c r="Q38" s="835"/>
      <c r="R38" s="580"/>
    </row>
    <row r="39" spans="1:20" s="178" customFormat="1" ht="15.75" x14ac:dyDescent="0.25">
      <c r="A39" s="319"/>
      <c r="B39" s="319" t="s">
        <v>1243</v>
      </c>
      <c r="C39" s="337">
        <v>29</v>
      </c>
      <c r="D39" s="178">
        <v>40</v>
      </c>
      <c r="E39" s="549" t="s">
        <v>1244</v>
      </c>
      <c r="F39" s="226">
        <v>50</v>
      </c>
      <c r="G39" s="227">
        <f t="shared" ref="G39:G44" si="9">+(700+612+375)*1.5</f>
        <v>2530.5</v>
      </c>
      <c r="H39" s="226">
        <v>631</v>
      </c>
      <c r="I39" s="338">
        <f t="shared" si="6"/>
        <v>12.467891721003754</v>
      </c>
      <c r="J39" s="338">
        <f t="shared" si="7"/>
        <v>62.467891721003753</v>
      </c>
      <c r="K39" s="340">
        <v>0.4</v>
      </c>
      <c r="L39" s="338">
        <f t="shared" si="8"/>
        <v>81.208259237304887</v>
      </c>
      <c r="M39" s="175">
        <v>150</v>
      </c>
      <c r="N39" s="633"/>
      <c r="O39" s="362"/>
      <c r="P39" s="395"/>
      <c r="Q39" s="836"/>
      <c r="R39" s="914"/>
    </row>
    <row r="40" spans="1:20" s="178" customFormat="1" ht="15.75" x14ac:dyDescent="0.25">
      <c r="A40" s="319"/>
      <c r="B40" s="319" t="s">
        <v>1243</v>
      </c>
      <c r="C40" s="337">
        <v>30</v>
      </c>
      <c r="E40" s="549" t="s">
        <v>1244</v>
      </c>
      <c r="F40" s="226">
        <v>50</v>
      </c>
      <c r="G40" s="227">
        <f t="shared" si="9"/>
        <v>2530.5</v>
      </c>
      <c r="H40" s="226">
        <v>631</v>
      </c>
      <c r="I40" s="338">
        <f t="shared" si="6"/>
        <v>12.467891721003754</v>
      </c>
      <c r="J40" s="338">
        <f t="shared" si="7"/>
        <v>62.467891721003753</v>
      </c>
      <c r="K40" s="340">
        <v>0.4</v>
      </c>
      <c r="L40" s="338">
        <f t="shared" si="8"/>
        <v>81.208259237304887</v>
      </c>
      <c r="M40" s="175">
        <v>150</v>
      </c>
      <c r="N40" s="633"/>
      <c r="O40" s="362"/>
      <c r="P40" s="395"/>
      <c r="Q40" s="836"/>
      <c r="R40" s="914"/>
    </row>
    <row r="41" spans="1:20" s="178" customFormat="1" ht="15.75" hidden="1" x14ac:dyDescent="0.25">
      <c r="A41" s="319"/>
      <c r="B41" s="319" t="s">
        <v>1243</v>
      </c>
      <c r="C41" s="337">
        <v>31</v>
      </c>
      <c r="D41" s="178">
        <v>44</v>
      </c>
      <c r="E41" s="788" t="s">
        <v>1245</v>
      </c>
      <c r="F41" s="232">
        <v>50</v>
      </c>
      <c r="G41" s="305">
        <f t="shared" si="9"/>
        <v>2530.5</v>
      </c>
      <c r="H41" s="232">
        <v>631</v>
      </c>
      <c r="I41" s="695">
        <f t="shared" si="6"/>
        <v>12.467891721003754</v>
      </c>
      <c r="J41" s="695">
        <f t="shared" si="7"/>
        <v>62.467891721003753</v>
      </c>
      <c r="K41" s="706">
        <v>0.4</v>
      </c>
      <c r="L41" s="695">
        <f t="shared" si="8"/>
        <v>81.208259237304887</v>
      </c>
      <c r="M41" s="698">
        <v>150</v>
      </c>
      <c r="N41" s="633"/>
      <c r="O41" s="362"/>
      <c r="P41" s="395" t="s">
        <v>12</v>
      </c>
      <c r="Q41" s="836">
        <v>45408</v>
      </c>
      <c r="R41" s="914">
        <f>+M41*36000</f>
        <v>5400000</v>
      </c>
    </row>
    <row r="42" spans="1:20" s="178" customFormat="1" ht="15.75" hidden="1" x14ac:dyDescent="0.25">
      <c r="A42" s="319"/>
      <c r="B42" s="319" t="s">
        <v>1243</v>
      </c>
      <c r="C42" s="337">
        <v>32</v>
      </c>
      <c r="D42" s="178">
        <v>46</v>
      </c>
      <c r="E42" s="788" t="s">
        <v>1245</v>
      </c>
      <c r="F42" s="232">
        <v>50</v>
      </c>
      <c r="G42" s="305">
        <f t="shared" si="9"/>
        <v>2530.5</v>
      </c>
      <c r="H42" s="232">
        <v>631</v>
      </c>
      <c r="I42" s="695">
        <f t="shared" si="6"/>
        <v>12.467891721003754</v>
      </c>
      <c r="J42" s="695">
        <f t="shared" si="7"/>
        <v>62.467891721003753</v>
      </c>
      <c r="K42" s="706">
        <v>0.4</v>
      </c>
      <c r="L42" s="695">
        <f t="shared" si="8"/>
        <v>81.208259237304887</v>
      </c>
      <c r="M42" s="698">
        <v>125</v>
      </c>
      <c r="N42" s="633"/>
      <c r="O42" s="362"/>
      <c r="P42" s="395" t="s">
        <v>2026</v>
      </c>
      <c r="Q42" s="836">
        <v>45337</v>
      </c>
      <c r="R42" s="914">
        <f>+M42*10000</f>
        <v>1250000</v>
      </c>
    </row>
    <row r="43" spans="1:20" s="178" customFormat="1" ht="15.75" x14ac:dyDescent="0.25">
      <c r="A43" s="319"/>
      <c r="B43" s="319" t="s">
        <v>1243</v>
      </c>
      <c r="C43" s="337">
        <v>33</v>
      </c>
      <c r="D43" s="178">
        <v>50</v>
      </c>
      <c r="E43" s="549" t="s">
        <v>1245</v>
      </c>
      <c r="F43" s="226">
        <v>50</v>
      </c>
      <c r="G43" s="227">
        <f t="shared" si="9"/>
        <v>2530.5</v>
      </c>
      <c r="H43" s="226">
        <v>631</v>
      </c>
      <c r="I43" s="338">
        <f t="shared" si="6"/>
        <v>12.467891721003754</v>
      </c>
      <c r="J43" s="338">
        <f t="shared" si="7"/>
        <v>62.467891721003753</v>
      </c>
      <c r="K43" s="340">
        <v>0.4</v>
      </c>
      <c r="L43" s="338">
        <f t="shared" si="8"/>
        <v>81.208259237304887</v>
      </c>
      <c r="M43" s="175">
        <v>150</v>
      </c>
      <c r="N43" s="633"/>
      <c r="O43" s="362"/>
      <c r="P43" s="395"/>
      <c r="Q43" s="836"/>
      <c r="R43" s="914"/>
    </row>
    <row r="44" spans="1:20" s="178" customFormat="1" ht="15.75" x14ac:dyDescent="0.25">
      <c r="A44" s="319"/>
      <c r="B44" s="319" t="s">
        <v>1243</v>
      </c>
      <c r="C44" s="337">
        <v>34</v>
      </c>
      <c r="D44" s="178">
        <v>46</v>
      </c>
      <c r="E44" s="788" t="s">
        <v>1245</v>
      </c>
      <c r="F44" s="232">
        <v>50</v>
      </c>
      <c r="G44" s="305">
        <f t="shared" si="9"/>
        <v>2530.5</v>
      </c>
      <c r="H44" s="232">
        <v>631</v>
      </c>
      <c r="I44" s="695">
        <f t="shared" si="6"/>
        <v>12.467891721003754</v>
      </c>
      <c r="J44" s="695">
        <f t="shared" si="7"/>
        <v>62.467891721003753</v>
      </c>
      <c r="K44" s="706">
        <v>0.4</v>
      </c>
      <c r="L44" s="695">
        <f t="shared" si="8"/>
        <v>81.208259237304887</v>
      </c>
      <c r="M44" s="698">
        <v>150</v>
      </c>
      <c r="N44" s="633"/>
      <c r="O44" s="362"/>
      <c r="P44" s="395" t="s">
        <v>12</v>
      </c>
      <c r="Q44" s="836">
        <v>45500</v>
      </c>
      <c r="R44" s="914"/>
    </row>
    <row r="45" spans="1:20" s="178" customFormat="1" ht="15.75" x14ac:dyDescent="0.25">
      <c r="A45" s="319"/>
      <c r="B45" s="319"/>
      <c r="E45" s="549" t="s">
        <v>1362</v>
      </c>
      <c r="F45" s="226"/>
      <c r="G45" s="227"/>
      <c r="H45" s="226"/>
      <c r="I45" s="338"/>
      <c r="J45" s="338"/>
      <c r="K45" s="340"/>
      <c r="L45" s="338"/>
      <c r="M45" s="175"/>
      <c r="N45" s="633"/>
      <c r="O45" s="395"/>
      <c r="P45" s="395"/>
      <c r="Q45" s="836"/>
      <c r="R45" s="914"/>
    </row>
    <row r="46" spans="1:20" s="12" customFormat="1" ht="15" customHeight="1" x14ac:dyDescent="0.25">
      <c r="A46" s="319" t="s">
        <v>1277</v>
      </c>
      <c r="B46" s="319" t="s">
        <v>1277</v>
      </c>
      <c r="C46" s="337">
        <v>35</v>
      </c>
      <c r="D46" s="178">
        <v>38</v>
      </c>
      <c r="E46" s="337" t="s">
        <v>1278</v>
      </c>
      <c r="F46" s="226">
        <v>55</v>
      </c>
      <c r="G46" s="227">
        <v>9682</v>
      </c>
      <c r="H46" s="226">
        <v>7766</v>
      </c>
      <c r="I46" s="174">
        <f t="shared" si="6"/>
        <v>44.115885147696758</v>
      </c>
      <c r="J46" s="174">
        <f t="shared" si="7"/>
        <v>99.115885147696758</v>
      </c>
      <c r="K46" s="316">
        <v>0.4</v>
      </c>
      <c r="L46" s="174">
        <f t="shared" ref="L46:L48" si="10">+J46*1.4</f>
        <v>138.76223920677546</v>
      </c>
      <c r="M46" s="175">
        <v>150</v>
      </c>
      <c r="N46" s="633"/>
      <c r="O46" s="362"/>
      <c r="P46" s="395"/>
      <c r="Q46" s="836"/>
      <c r="R46" s="914"/>
      <c r="S46" s="178"/>
      <c r="T46" s="178"/>
    </row>
    <row r="47" spans="1:20" s="395" customFormat="1" ht="15.75" outlineLevel="1" x14ac:dyDescent="0.25">
      <c r="A47" s="319" t="s">
        <v>1277</v>
      </c>
      <c r="B47" s="319" t="s">
        <v>1277</v>
      </c>
      <c r="C47" s="337">
        <v>36</v>
      </c>
      <c r="D47" s="178">
        <v>46</v>
      </c>
      <c r="E47" s="337" t="s">
        <v>1279</v>
      </c>
      <c r="F47" s="226">
        <v>55</v>
      </c>
      <c r="G47" s="227">
        <v>9682</v>
      </c>
      <c r="H47" s="226">
        <v>7766</v>
      </c>
      <c r="I47" s="174">
        <f t="shared" si="6"/>
        <v>44.115885147696758</v>
      </c>
      <c r="J47" s="174">
        <f t="shared" si="7"/>
        <v>99.115885147696758</v>
      </c>
      <c r="K47" s="316">
        <v>0.4</v>
      </c>
      <c r="L47" s="174">
        <f t="shared" si="10"/>
        <v>138.76223920677546</v>
      </c>
      <c r="M47" s="175">
        <v>150</v>
      </c>
      <c r="N47" s="633"/>
      <c r="O47" s="362"/>
      <c r="P47" s="178"/>
      <c r="Q47" s="836"/>
      <c r="R47" s="914"/>
    </row>
    <row r="48" spans="1:20" s="395" customFormat="1" ht="15.75" outlineLevel="1" x14ac:dyDescent="0.25">
      <c r="A48" s="319" t="s">
        <v>1277</v>
      </c>
      <c r="B48" s="319" t="s">
        <v>1277</v>
      </c>
      <c r="C48" s="337">
        <v>37</v>
      </c>
      <c r="D48" s="178">
        <v>50</v>
      </c>
      <c r="E48" s="337" t="s">
        <v>1279</v>
      </c>
      <c r="F48" s="226">
        <v>55</v>
      </c>
      <c r="G48" s="227">
        <v>9682</v>
      </c>
      <c r="H48" s="226">
        <v>7766</v>
      </c>
      <c r="I48" s="174">
        <f t="shared" si="6"/>
        <v>44.115885147696758</v>
      </c>
      <c r="J48" s="174">
        <f t="shared" si="7"/>
        <v>99.115885147696758</v>
      </c>
      <c r="K48" s="316">
        <v>0.4</v>
      </c>
      <c r="L48" s="174">
        <f t="shared" si="10"/>
        <v>138.76223920677546</v>
      </c>
      <c r="M48" s="175">
        <v>150</v>
      </c>
      <c r="N48" s="633"/>
      <c r="O48" s="362"/>
      <c r="Q48" s="836"/>
      <c r="R48" s="914"/>
      <c r="S48" s="178"/>
      <c r="T48" s="178"/>
    </row>
    <row r="49" spans="1:18" s="178" customFormat="1" ht="15.75" x14ac:dyDescent="0.25">
      <c r="A49" s="319"/>
      <c r="B49" s="318" t="s">
        <v>1362</v>
      </c>
      <c r="C49" s="319"/>
      <c r="E49" s="549" t="s">
        <v>1269</v>
      </c>
      <c r="G49" s="226"/>
      <c r="H49" s="227"/>
      <c r="I49" s="226"/>
      <c r="J49" s="174"/>
      <c r="K49" s="174"/>
      <c r="L49" s="316"/>
      <c r="M49" s="174"/>
      <c r="N49" s="663"/>
      <c r="P49" s="395"/>
      <c r="Q49" s="833"/>
      <c r="R49" s="914"/>
    </row>
    <row r="50" spans="1:18" s="178" customFormat="1" ht="15.75" x14ac:dyDescent="0.25">
      <c r="A50" s="319" t="s">
        <v>1076</v>
      </c>
      <c r="B50" s="319" t="s">
        <v>1306</v>
      </c>
      <c r="C50" s="337">
        <v>38</v>
      </c>
      <c r="D50" s="178">
        <v>44</v>
      </c>
      <c r="E50" s="337" t="s">
        <v>1365</v>
      </c>
      <c r="F50" s="226">
        <v>33</v>
      </c>
      <c r="G50" s="227">
        <v>9682</v>
      </c>
      <c r="H50" s="226">
        <v>7766</v>
      </c>
      <c r="I50" s="174">
        <f t="shared" ref="I50:I55" si="11">+F50/G50*H50</f>
        <v>26.469531088618055</v>
      </c>
      <c r="J50" s="174">
        <f t="shared" ref="J50:J55" si="12">+F50+I50</f>
        <v>59.469531088618055</v>
      </c>
      <c r="K50" s="316">
        <v>0.4</v>
      </c>
      <c r="L50" s="174">
        <f t="shared" ref="L50:L55" si="13">+J50*1.4</f>
        <v>83.257343524065277</v>
      </c>
      <c r="M50" s="175">
        <v>125</v>
      </c>
      <c r="N50" s="633"/>
      <c r="O50" s="362"/>
      <c r="P50" s="395"/>
      <c r="Q50" s="836"/>
      <c r="R50" s="914"/>
    </row>
    <row r="51" spans="1:18" s="178" customFormat="1" ht="15.75" hidden="1" x14ac:dyDescent="0.25">
      <c r="A51" s="319" t="s">
        <v>1076</v>
      </c>
      <c r="B51" s="319" t="s">
        <v>1306</v>
      </c>
      <c r="C51" s="337">
        <v>39</v>
      </c>
      <c r="D51" s="178">
        <v>48</v>
      </c>
      <c r="E51" s="704" t="s">
        <v>1365</v>
      </c>
      <c r="F51" s="232">
        <v>33</v>
      </c>
      <c r="G51" s="305">
        <v>9682</v>
      </c>
      <c r="H51" s="232">
        <v>7766</v>
      </c>
      <c r="I51" s="611">
        <f t="shared" si="11"/>
        <v>26.469531088618055</v>
      </c>
      <c r="J51" s="611">
        <f t="shared" si="12"/>
        <v>59.469531088618055</v>
      </c>
      <c r="K51" s="612">
        <v>0.4</v>
      </c>
      <c r="L51" s="611">
        <f t="shared" si="13"/>
        <v>83.257343524065277</v>
      </c>
      <c r="M51" s="698">
        <v>125</v>
      </c>
      <c r="N51" s="633"/>
      <c r="O51" s="362"/>
      <c r="P51" s="395" t="s">
        <v>2714</v>
      </c>
      <c r="Q51" s="836">
        <v>45435</v>
      </c>
      <c r="R51" s="914">
        <f>+M54*14.5</f>
        <v>1812.5</v>
      </c>
    </row>
    <row r="52" spans="1:18" s="178" customFormat="1" ht="15.75" x14ac:dyDescent="0.25">
      <c r="A52" s="319" t="s">
        <v>1305</v>
      </c>
      <c r="B52" s="319" t="s">
        <v>1305</v>
      </c>
      <c r="C52" s="337">
        <v>40</v>
      </c>
      <c r="D52" s="178">
        <v>40</v>
      </c>
      <c r="E52" s="337" t="s">
        <v>1290</v>
      </c>
      <c r="F52" s="226">
        <v>40</v>
      </c>
      <c r="G52" s="227">
        <v>9682</v>
      </c>
      <c r="H52" s="226">
        <v>7766</v>
      </c>
      <c r="I52" s="174">
        <f t="shared" si="11"/>
        <v>32.084280107415822</v>
      </c>
      <c r="J52" s="174">
        <f t="shared" si="12"/>
        <v>72.084280107415822</v>
      </c>
      <c r="K52" s="316">
        <v>0.4</v>
      </c>
      <c r="L52" s="174">
        <f t="shared" si="13"/>
        <v>100.91799215038215</v>
      </c>
      <c r="M52" s="175">
        <v>125</v>
      </c>
      <c r="N52" s="633"/>
      <c r="O52" s="362"/>
      <c r="P52" s="395"/>
      <c r="Q52" s="836"/>
      <c r="R52" s="914"/>
    </row>
    <row r="53" spans="1:18" s="178" customFormat="1" ht="15.75" x14ac:dyDescent="0.25">
      <c r="A53" s="319" t="s">
        <v>1305</v>
      </c>
      <c r="B53" s="319" t="s">
        <v>1305</v>
      </c>
      <c r="C53" s="337">
        <v>41</v>
      </c>
      <c r="D53" s="178">
        <v>44</v>
      </c>
      <c r="E53" s="337" t="s">
        <v>1290</v>
      </c>
      <c r="F53" s="226">
        <v>40</v>
      </c>
      <c r="G53" s="227">
        <v>9682</v>
      </c>
      <c r="H53" s="226">
        <v>7766</v>
      </c>
      <c r="I53" s="174">
        <f t="shared" si="11"/>
        <v>32.084280107415822</v>
      </c>
      <c r="J53" s="174">
        <f t="shared" si="12"/>
        <v>72.084280107415822</v>
      </c>
      <c r="K53" s="316">
        <v>0.4</v>
      </c>
      <c r="L53" s="174">
        <f t="shared" si="13"/>
        <v>100.91799215038215</v>
      </c>
      <c r="M53" s="175">
        <v>125</v>
      </c>
      <c r="N53" s="633"/>
      <c r="O53" s="362"/>
      <c r="P53" s="395"/>
      <c r="Q53" s="836"/>
      <c r="R53" s="914"/>
    </row>
    <row r="54" spans="1:18" s="178" customFormat="1" ht="15.75" x14ac:dyDescent="0.25">
      <c r="A54" s="319" t="s">
        <v>1305</v>
      </c>
      <c r="B54" s="319" t="s">
        <v>1305</v>
      </c>
      <c r="C54" s="337">
        <v>42</v>
      </c>
      <c r="D54" s="178">
        <v>46</v>
      </c>
      <c r="E54" s="337" t="s">
        <v>1290</v>
      </c>
      <c r="F54" s="226">
        <v>40</v>
      </c>
      <c r="G54" s="227">
        <v>9682</v>
      </c>
      <c r="H54" s="226">
        <v>7766</v>
      </c>
      <c r="I54" s="174">
        <f t="shared" si="11"/>
        <v>32.084280107415822</v>
      </c>
      <c r="J54" s="174">
        <f t="shared" si="12"/>
        <v>72.084280107415822</v>
      </c>
      <c r="K54" s="316">
        <v>0.4</v>
      </c>
      <c r="L54" s="174">
        <f t="shared" si="13"/>
        <v>100.91799215038215</v>
      </c>
      <c r="M54" s="175">
        <v>125</v>
      </c>
      <c r="N54" s="633"/>
      <c r="O54" s="362"/>
    </row>
    <row r="55" spans="1:18" s="178" customFormat="1" ht="15.75" x14ac:dyDescent="0.25">
      <c r="A55" s="319" t="s">
        <v>1305</v>
      </c>
      <c r="B55" s="319" t="s">
        <v>1305</v>
      </c>
      <c r="C55" s="337">
        <v>43</v>
      </c>
      <c r="D55" s="178">
        <v>48</v>
      </c>
      <c r="E55" s="337" t="s">
        <v>1290</v>
      </c>
      <c r="F55" s="226">
        <v>40</v>
      </c>
      <c r="G55" s="227">
        <v>9682</v>
      </c>
      <c r="H55" s="226">
        <v>7766</v>
      </c>
      <c r="I55" s="174">
        <f t="shared" si="11"/>
        <v>32.084280107415822</v>
      </c>
      <c r="J55" s="174">
        <f t="shared" si="12"/>
        <v>72.084280107415822</v>
      </c>
      <c r="K55" s="316">
        <v>0.4</v>
      </c>
      <c r="L55" s="174">
        <f t="shared" si="13"/>
        <v>100.91799215038215</v>
      </c>
      <c r="M55" s="175">
        <v>125</v>
      </c>
      <c r="N55" s="633"/>
      <c r="O55" s="362"/>
      <c r="P55" s="395"/>
      <c r="Q55" s="836"/>
      <c r="R55" s="914"/>
    </row>
    <row r="56" spans="1:18" s="178" customFormat="1" ht="15.75" x14ac:dyDescent="0.25">
      <c r="A56" s="319"/>
      <c r="B56" s="319"/>
      <c r="E56" s="549" t="s">
        <v>1452</v>
      </c>
      <c r="F56" s="226"/>
      <c r="G56" s="227"/>
      <c r="H56" s="226"/>
      <c r="I56" s="174"/>
      <c r="J56" s="174"/>
      <c r="K56" s="316"/>
      <c r="L56" s="174"/>
      <c r="M56" s="175"/>
      <c r="N56" s="633"/>
      <c r="O56" s="395"/>
      <c r="P56" s="395"/>
      <c r="Q56" s="836"/>
      <c r="R56" s="914"/>
    </row>
    <row r="57" spans="1:18" s="178" customFormat="1" x14ac:dyDescent="0.25">
      <c r="A57" s="225" t="s">
        <v>1420</v>
      </c>
      <c r="B57" s="225" t="s">
        <v>1420</v>
      </c>
      <c r="C57" s="178">
        <v>44</v>
      </c>
      <c r="D57" s="178">
        <v>38</v>
      </c>
      <c r="E57" s="178" t="s">
        <v>1421</v>
      </c>
      <c r="F57" s="226">
        <v>50</v>
      </c>
      <c r="G57" s="178">
        <v>6066</v>
      </c>
      <c r="H57" s="226">
        <v>6015</v>
      </c>
      <c r="I57" s="338">
        <f>+F57/G57*H57</f>
        <v>49.579624134520273</v>
      </c>
      <c r="J57" s="614">
        <f>+F57+I57</f>
        <v>99.579624134520273</v>
      </c>
      <c r="K57" s="316">
        <v>0.4</v>
      </c>
      <c r="L57" s="174">
        <f>+J57*1.4</f>
        <v>139.41147378832838</v>
      </c>
      <c r="M57" s="226">
        <v>150</v>
      </c>
      <c r="N57" s="631"/>
      <c r="O57" s="590"/>
      <c r="Q57" s="836"/>
      <c r="R57" s="914"/>
    </row>
    <row r="58" spans="1:18" s="178" customFormat="1" x14ac:dyDescent="0.25">
      <c r="A58" s="225" t="s">
        <v>1420</v>
      </c>
      <c r="B58" s="225" t="s">
        <v>1420</v>
      </c>
      <c r="C58" s="178">
        <v>45</v>
      </c>
      <c r="D58" s="178">
        <v>40</v>
      </c>
      <c r="E58" s="178" t="s">
        <v>1421</v>
      </c>
      <c r="F58" s="226">
        <v>50</v>
      </c>
      <c r="G58" s="178">
        <v>6066</v>
      </c>
      <c r="H58" s="226">
        <v>6015</v>
      </c>
      <c r="I58" s="338">
        <f>+F58/G58*H58</f>
        <v>49.579624134520273</v>
      </c>
      <c r="J58" s="614">
        <f>+F58+I58</f>
        <v>99.579624134520273</v>
      </c>
      <c r="K58" s="316">
        <v>0.4</v>
      </c>
      <c r="L58" s="174">
        <f>+J58*1.4</f>
        <v>139.41147378832838</v>
      </c>
      <c r="M58" s="226">
        <v>150</v>
      </c>
      <c r="N58" s="631"/>
      <c r="O58" s="590"/>
      <c r="Q58" s="836"/>
      <c r="R58" s="914"/>
    </row>
    <row r="59" spans="1:18" s="178" customFormat="1" x14ac:dyDescent="0.25">
      <c r="A59" s="225" t="s">
        <v>1420</v>
      </c>
      <c r="B59" s="225" t="s">
        <v>1420</v>
      </c>
      <c r="C59" s="178">
        <v>46</v>
      </c>
      <c r="D59" s="178">
        <v>44</v>
      </c>
      <c r="E59" s="178" t="s">
        <v>1421</v>
      </c>
      <c r="F59" s="226">
        <v>50</v>
      </c>
      <c r="G59" s="178">
        <v>6066</v>
      </c>
      <c r="H59" s="226">
        <v>6015</v>
      </c>
      <c r="I59" s="338">
        <f>+F59/G59*H59</f>
        <v>49.579624134520273</v>
      </c>
      <c r="J59" s="614">
        <f>+F59+I59</f>
        <v>99.579624134520273</v>
      </c>
      <c r="K59" s="316">
        <v>0.4</v>
      </c>
      <c r="L59" s="174">
        <f>+J59*1.4</f>
        <v>139.41147378832838</v>
      </c>
      <c r="M59" s="226">
        <v>150</v>
      </c>
      <c r="N59" s="631"/>
      <c r="O59" s="590"/>
      <c r="Q59" s="836"/>
      <c r="R59" s="914"/>
    </row>
    <row r="60" spans="1:18" s="178" customFormat="1" x14ac:dyDescent="0.25">
      <c r="A60" s="225" t="s">
        <v>1420</v>
      </c>
      <c r="B60" s="225" t="s">
        <v>1420</v>
      </c>
      <c r="C60" s="178">
        <v>47</v>
      </c>
      <c r="D60" s="178">
        <v>46</v>
      </c>
      <c r="E60" s="178" t="s">
        <v>1421</v>
      </c>
      <c r="F60" s="226">
        <v>50</v>
      </c>
      <c r="G60" s="178">
        <v>6066</v>
      </c>
      <c r="H60" s="226">
        <v>6015</v>
      </c>
      <c r="I60" s="338">
        <f>+F60/G60*H60</f>
        <v>49.579624134520273</v>
      </c>
      <c r="J60" s="614">
        <f>+F60+I60</f>
        <v>99.579624134520273</v>
      </c>
      <c r="K60" s="316">
        <v>0.4</v>
      </c>
      <c r="L60" s="174">
        <f>+J60*1.4</f>
        <v>139.41147378832838</v>
      </c>
      <c r="M60" s="226">
        <v>150</v>
      </c>
      <c r="N60" s="631"/>
      <c r="O60" s="590"/>
      <c r="Q60" s="836"/>
      <c r="R60" s="914"/>
    </row>
    <row r="61" spans="1:18" s="178" customFormat="1" x14ac:dyDescent="0.25">
      <c r="A61" s="225"/>
      <c r="B61" s="653">
        <v>45352</v>
      </c>
      <c r="F61" s="226"/>
      <c r="H61" s="226"/>
      <c r="I61" s="338"/>
      <c r="J61" s="614"/>
      <c r="K61" s="316"/>
      <c r="L61" s="174"/>
      <c r="M61" s="226"/>
      <c r="N61" s="631"/>
      <c r="O61" s="590"/>
      <c r="Q61" s="836"/>
      <c r="R61" s="914"/>
    </row>
    <row r="63" spans="1:18" s="178" customFormat="1" x14ac:dyDescent="0.25">
      <c r="A63" s="628" t="s">
        <v>1243</v>
      </c>
      <c r="B63" s="628" t="s">
        <v>1243</v>
      </c>
      <c r="C63" s="178">
        <v>49</v>
      </c>
      <c r="D63" s="656">
        <v>42</v>
      </c>
      <c r="E63" s="628" t="s">
        <v>2160</v>
      </c>
      <c r="F63" s="226">
        <v>55</v>
      </c>
      <c r="G63" s="226">
        <f>825+725*0.045</f>
        <v>857.625</v>
      </c>
      <c r="H63" s="226">
        <v>370</v>
      </c>
      <c r="I63" s="226">
        <f>+F63/G63*H63</f>
        <v>23.728319486955254</v>
      </c>
      <c r="J63" s="226">
        <f>+I63+F63</f>
        <v>78.728319486955257</v>
      </c>
      <c r="K63" s="228">
        <v>0.4</v>
      </c>
      <c r="L63" s="226">
        <f>+J63*1.4</f>
        <v>110.21964728173735</v>
      </c>
      <c r="M63" s="226">
        <v>150</v>
      </c>
      <c r="R63" s="914"/>
    </row>
    <row r="64" spans="1:18" s="178" customFormat="1" hidden="1" x14ac:dyDescent="0.25">
      <c r="A64" s="628" t="s">
        <v>1243</v>
      </c>
      <c r="B64" s="628" t="s">
        <v>1243</v>
      </c>
      <c r="C64" s="178">
        <v>50</v>
      </c>
      <c r="D64" s="656">
        <v>44</v>
      </c>
      <c r="E64" s="708" t="s">
        <v>2160</v>
      </c>
      <c r="F64" s="232">
        <v>55</v>
      </c>
      <c r="G64" s="232">
        <f t="shared" ref="G64:G77" si="14">825+725*0.045</f>
        <v>857.625</v>
      </c>
      <c r="H64" s="232">
        <v>370</v>
      </c>
      <c r="I64" s="232">
        <f t="shared" ref="I64:I77" si="15">+F64/G64*H64</f>
        <v>23.728319486955254</v>
      </c>
      <c r="J64" s="232">
        <f t="shared" ref="J64:J77" si="16">+I64+F64</f>
        <v>78.728319486955257</v>
      </c>
      <c r="K64" s="864">
        <v>0.4</v>
      </c>
      <c r="L64" s="232">
        <f t="shared" ref="L64:L77" si="17">+J64*1.4</f>
        <v>110.21964728173735</v>
      </c>
      <c r="M64" s="232">
        <v>150</v>
      </c>
      <c r="P64" s="178" t="s">
        <v>3001</v>
      </c>
      <c r="Q64" s="229">
        <v>45491</v>
      </c>
      <c r="R64" s="914"/>
    </row>
    <row r="65" spans="1:20" s="178" customFormat="1" hidden="1" x14ac:dyDescent="0.25">
      <c r="A65" s="628" t="s">
        <v>1243</v>
      </c>
      <c r="B65" s="628" t="s">
        <v>1243</v>
      </c>
      <c r="C65" s="178">
        <v>51</v>
      </c>
      <c r="D65" s="656">
        <v>46</v>
      </c>
      <c r="E65" s="708" t="s">
        <v>2160</v>
      </c>
      <c r="F65" s="232">
        <v>55</v>
      </c>
      <c r="G65" s="232">
        <f t="shared" si="14"/>
        <v>857.625</v>
      </c>
      <c r="H65" s="232">
        <v>370</v>
      </c>
      <c r="I65" s="232">
        <f t="shared" si="15"/>
        <v>23.728319486955254</v>
      </c>
      <c r="J65" s="232">
        <f t="shared" si="16"/>
        <v>78.728319486955257</v>
      </c>
      <c r="K65" s="864">
        <v>0.4</v>
      </c>
      <c r="L65" s="232">
        <f t="shared" si="17"/>
        <v>110.21964728173735</v>
      </c>
      <c r="M65" s="232">
        <v>145</v>
      </c>
      <c r="P65" s="178" t="s">
        <v>12</v>
      </c>
      <c r="Q65" s="229">
        <v>45457</v>
      </c>
      <c r="R65" s="914">
        <f>+M65*14.5</f>
        <v>2102.5</v>
      </c>
    </row>
    <row r="66" spans="1:20" s="178" customFormat="1" x14ac:dyDescent="0.25">
      <c r="A66" s="628" t="s">
        <v>1243</v>
      </c>
      <c r="B66" s="628" t="s">
        <v>1243</v>
      </c>
      <c r="C66" s="178">
        <v>52</v>
      </c>
      <c r="D66" s="656">
        <v>48</v>
      </c>
      <c r="E66" s="628" t="s">
        <v>2160</v>
      </c>
      <c r="F66" s="226">
        <v>55</v>
      </c>
      <c r="G66" s="226">
        <f t="shared" si="14"/>
        <v>857.625</v>
      </c>
      <c r="H66" s="226">
        <v>370</v>
      </c>
      <c r="I66" s="226">
        <f t="shared" si="15"/>
        <v>23.728319486955254</v>
      </c>
      <c r="J66" s="226">
        <f t="shared" si="16"/>
        <v>78.728319486955257</v>
      </c>
      <c r="K66" s="228">
        <v>0.4</v>
      </c>
      <c r="L66" s="226">
        <f t="shared" si="17"/>
        <v>110.21964728173735</v>
      </c>
      <c r="M66" s="226">
        <v>150</v>
      </c>
      <c r="R66" s="914"/>
    </row>
    <row r="67" spans="1:20" s="178" customFormat="1" hidden="1" x14ac:dyDescent="0.25">
      <c r="A67" s="628" t="s">
        <v>1243</v>
      </c>
      <c r="B67" s="628" t="s">
        <v>1243</v>
      </c>
      <c r="C67" s="178">
        <v>53</v>
      </c>
      <c r="D67" s="656">
        <v>50</v>
      </c>
      <c r="E67" s="708" t="s">
        <v>2160</v>
      </c>
      <c r="F67" s="232">
        <v>55</v>
      </c>
      <c r="G67" s="232">
        <f t="shared" si="14"/>
        <v>857.625</v>
      </c>
      <c r="H67" s="232">
        <v>370</v>
      </c>
      <c r="I67" s="232">
        <f t="shared" si="15"/>
        <v>23.728319486955254</v>
      </c>
      <c r="J67" s="232">
        <f t="shared" si="16"/>
        <v>78.728319486955257</v>
      </c>
      <c r="K67" s="864">
        <v>0.4</v>
      </c>
      <c r="L67" s="232">
        <f t="shared" si="17"/>
        <v>110.21964728173735</v>
      </c>
      <c r="M67" s="232">
        <v>150</v>
      </c>
      <c r="P67" s="178" t="s">
        <v>2303</v>
      </c>
      <c r="Q67" s="229">
        <v>45432</v>
      </c>
      <c r="R67" s="914">
        <f>+M67*14.5</f>
        <v>2175</v>
      </c>
    </row>
    <row r="68" spans="1:20" s="178" customFormat="1" x14ac:dyDescent="0.25">
      <c r="A68" s="628" t="s">
        <v>1243</v>
      </c>
      <c r="B68" s="628" t="s">
        <v>1243</v>
      </c>
      <c r="C68" s="178">
        <v>54</v>
      </c>
      <c r="D68" s="656">
        <v>38</v>
      </c>
      <c r="E68" s="628" t="s">
        <v>2431</v>
      </c>
      <c r="F68" s="226">
        <v>55</v>
      </c>
      <c r="G68" s="226">
        <f t="shared" si="14"/>
        <v>857.625</v>
      </c>
      <c r="H68" s="226">
        <v>370</v>
      </c>
      <c r="I68" s="226">
        <f t="shared" si="15"/>
        <v>23.728319486955254</v>
      </c>
      <c r="J68" s="226">
        <f t="shared" si="16"/>
        <v>78.728319486955257</v>
      </c>
      <c r="K68" s="228">
        <v>0.4</v>
      </c>
      <c r="L68" s="226">
        <f t="shared" si="17"/>
        <v>110.21964728173735</v>
      </c>
      <c r="M68" s="226">
        <v>150</v>
      </c>
      <c r="R68" s="914"/>
    </row>
    <row r="69" spans="1:20" s="178" customFormat="1" x14ac:dyDescent="0.25">
      <c r="A69" s="628" t="s">
        <v>1243</v>
      </c>
      <c r="B69" s="628" t="s">
        <v>1243</v>
      </c>
      <c r="C69" s="178">
        <v>55</v>
      </c>
      <c r="D69" s="656">
        <v>40</v>
      </c>
      <c r="E69" s="628" t="s">
        <v>2431</v>
      </c>
      <c r="F69" s="226">
        <v>55</v>
      </c>
      <c r="G69" s="226">
        <f t="shared" si="14"/>
        <v>857.625</v>
      </c>
      <c r="H69" s="226">
        <v>370</v>
      </c>
      <c r="I69" s="226">
        <f t="shared" si="15"/>
        <v>23.728319486955254</v>
      </c>
      <c r="J69" s="226">
        <f t="shared" si="16"/>
        <v>78.728319486955257</v>
      </c>
      <c r="K69" s="228">
        <v>0.4</v>
      </c>
      <c r="L69" s="226">
        <f t="shared" si="17"/>
        <v>110.21964728173735</v>
      </c>
      <c r="M69" s="226">
        <v>150</v>
      </c>
      <c r="R69" s="914"/>
    </row>
    <row r="70" spans="1:20" s="178" customFormat="1" x14ac:dyDescent="0.25">
      <c r="A70" s="628" t="s">
        <v>1243</v>
      </c>
      <c r="B70" s="628" t="s">
        <v>1243</v>
      </c>
      <c r="C70" s="178">
        <v>56</v>
      </c>
      <c r="D70" s="656">
        <v>42</v>
      </c>
      <c r="E70" s="628" t="s">
        <v>2431</v>
      </c>
      <c r="F70" s="226">
        <v>55</v>
      </c>
      <c r="G70" s="226">
        <f t="shared" si="14"/>
        <v>857.625</v>
      </c>
      <c r="H70" s="226">
        <v>370</v>
      </c>
      <c r="I70" s="226">
        <f t="shared" si="15"/>
        <v>23.728319486955254</v>
      </c>
      <c r="J70" s="226">
        <f t="shared" si="16"/>
        <v>78.728319486955257</v>
      </c>
      <c r="K70" s="228">
        <v>0.4</v>
      </c>
      <c r="L70" s="226">
        <f t="shared" si="17"/>
        <v>110.21964728173735</v>
      </c>
      <c r="M70" s="226">
        <v>150</v>
      </c>
      <c r="R70" s="914"/>
    </row>
    <row r="71" spans="1:20" s="178" customFormat="1" hidden="1" x14ac:dyDescent="0.25">
      <c r="A71" s="628" t="s">
        <v>1243</v>
      </c>
      <c r="B71" s="628" t="s">
        <v>1243</v>
      </c>
      <c r="C71" s="178">
        <v>57</v>
      </c>
      <c r="D71" s="656">
        <v>44</v>
      </c>
      <c r="E71" s="708" t="s">
        <v>2431</v>
      </c>
      <c r="F71" s="232">
        <v>55</v>
      </c>
      <c r="G71" s="232">
        <f t="shared" si="14"/>
        <v>857.625</v>
      </c>
      <c r="H71" s="232">
        <v>370</v>
      </c>
      <c r="I71" s="232">
        <f t="shared" si="15"/>
        <v>23.728319486955254</v>
      </c>
      <c r="J71" s="232">
        <f t="shared" si="16"/>
        <v>78.728319486955257</v>
      </c>
      <c r="K71" s="864">
        <v>0.4</v>
      </c>
      <c r="L71" s="232">
        <f t="shared" si="17"/>
        <v>110.21964728173735</v>
      </c>
      <c r="M71" s="232">
        <v>150</v>
      </c>
      <c r="P71" s="178" t="s">
        <v>12</v>
      </c>
      <c r="Q71" s="229">
        <v>45408</v>
      </c>
      <c r="R71" s="914">
        <f>+M71*36000</f>
        <v>5400000</v>
      </c>
    </row>
    <row r="72" spans="1:20" s="178" customFormat="1" hidden="1" x14ac:dyDescent="0.25">
      <c r="A72" s="628" t="s">
        <v>1243</v>
      </c>
      <c r="B72" s="628" t="s">
        <v>1243</v>
      </c>
      <c r="C72" s="178">
        <v>58</v>
      </c>
      <c r="D72" s="656">
        <v>46</v>
      </c>
      <c r="E72" s="708" t="s">
        <v>2431</v>
      </c>
      <c r="F72" s="232">
        <v>55</v>
      </c>
      <c r="G72" s="232">
        <f t="shared" si="14"/>
        <v>857.625</v>
      </c>
      <c r="H72" s="232">
        <v>370</v>
      </c>
      <c r="I72" s="232">
        <f t="shared" si="15"/>
        <v>23.728319486955254</v>
      </c>
      <c r="J72" s="232">
        <f t="shared" si="16"/>
        <v>78.728319486955257</v>
      </c>
      <c r="K72" s="864">
        <v>0.4</v>
      </c>
      <c r="L72" s="232">
        <f t="shared" si="17"/>
        <v>110.21964728173735</v>
      </c>
      <c r="M72" s="232">
        <v>145</v>
      </c>
      <c r="P72" s="178" t="s">
        <v>12</v>
      </c>
      <c r="Q72" s="229">
        <v>45457</v>
      </c>
      <c r="R72" s="914">
        <f>+M72*14.5</f>
        <v>2102.5</v>
      </c>
    </row>
    <row r="73" spans="1:20" s="178" customFormat="1" hidden="1" x14ac:dyDescent="0.25">
      <c r="A73" s="628" t="s">
        <v>1243</v>
      </c>
      <c r="B73" s="628" t="s">
        <v>1243</v>
      </c>
      <c r="C73" s="178">
        <v>59</v>
      </c>
      <c r="D73" s="656">
        <v>38</v>
      </c>
      <c r="E73" s="708" t="s">
        <v>2432</v>
      </c>
      <c r="F73" s="232">
        <v>55</v>
      </c>
      <c r="G73" s="232">
        <f t="shared" si="14"/>
        <v>857.625</v>
      </c>
      <c r="H73" s="232">
        <v>370</v>
      </c>
      <c r="I73" s="232">
        <f t="shared" si="15"/>
        <v>23.728319486955254</v>
      </c>
      <c r="J73" s="232">
        <f t="shared" si="16"/>
        <v>78.728319486955257</v>
      </c>
      <c r="K73" s="864">
        <v>0.4</v>
      </c>
      <c r="L73" s="232">
        <f t="shared" si="17"/>
        <v>110.21964728173735</v>
      </c>
      <c r="M73" s="232">
        <v>150</v>
      </c>
      <c r="P73" s="178" t="s">
        <v>12</v>
      </c>
      <c r="Q73" s="229">
        <v>45496</v>
      </c>
      <c r="R73" s="914"/>
    </row>
    <row r="74" spans="1:20" s="178" customFormat="1" hidden="1" x14ac:dyDescent="0.25">
      <c r="A74" s="628" t="s">
        <v>1243</v>
      </c>
      <c r="B74" s="628" t="s">
        <v>1243</v>
      </c>
      <c r="C74" s="178">
        <v>60</v>
      </c>
      <c r="D74" s="656">
        <v>40</v>
      </c>
      <c r="E74" s="708" t="s">
        <v>2432</v>
      </c>
      <c r="F74" s="232">
        <v>55</v>
      </c>
      <c r="G74" s="232">
        <f t="shared" si="14"/>
        <v>857.625</v>
      </c>
      <c r="H74" s="232">
        <v>370</v>
      </c>
      <c r="I74" s="232">
        <f t="shared" si="15"/>
        <v>23.728319486955254</v>
      </c>
      <c r="J74" s="232">
        <f t="shared" si="16"/>
        <v>78.728319486955257</v>
      </c>
      <c r="K74" s="864">
        <v>0.4</v>
      </c>
      <c r="L74" s="232">
        <f t="shared" si="17"/>
        <v>110.21964728173735</v>
      </c>
      <c r="M74" s="232">
        <v>150</v>
      </c>
      <c r="P74" s="178" t="s">
        <v>12</v>
      </c>
      <c r="Q74" s="229">
        <v>45458</v>
      </c>
      <c r="R74" s="914">
        <f>+M74*14.5</f>
        <v>2175</v>
      </c>
    </row>
    <row r="75" spans="1:20" s="178" customFormat="1" hidden="1" x14ac:dyDescent="0.25">
      <c r="A75" s="628" t="s">
        <v>1243</v>
      </c>
      <c r="B75" s="628" t="s">
        <v>1243</v>
      </c>
      <c r="C75" s="178">
        <v>61</v>
      </c>
      <c r="D75" s="656">
        <v>42</v>
      </c>
      <c r="E75" s="708" t="s">
        <v>2432</v>
      </c>
      <c r="F75" s="232">
        <v>55</v>
      </c>
      <c r="G75" s="232">
        <f t="shared" si="14"/>
        <v>857.625</v>
      </c>
      <c r="H75" s="232">
        <v>370</v>
      </c>
      <c r="I75" s="232">
        <f t="shared" si="15"/>
        <v>23.728319486955254</v>
      </c>
      <c r="J75" s="232">
        <f t="shared" si="16"/>
        <v>78.728319486955257</v>
      </c>
      <c r="K75" s="864">
        <v>0.4</v>
      </c>
      <c r="L75" s="232">
        <f t="shared" si="17"/>
        <v>110.21964728173735</v>
      </c>
      <c r="M75" s="232">
        <v>150</v>
      </c>
      <c r="P75" s="178" t="s">
        <v>2625</v>
      </c>
      <c r="Q75" s="229">
        <v>45433</v>
      </c>
      <c r="R75" s="914">
        <f>+M75*14.5</f>
        <v>2175</v>
      </c>
    </row>
    <row r="76" spans="1:20" s="178" customFormat="1" hidden="1" x14ac:dyDescent="0.25">
      <c r="A76" s="628" t="s">
        <v>1243</v>
      </c>
      <c r="B76" s="628" t="s">
        <v>1243</v>
      </c>
      <c r="C76" s="178">
        <v>62</v>
      </c>
      <c r="D76" s="656">
        <v>44</v>
      </c>
      <c r="E76" s="708" t="s">
        <v>2432</v>
      </c>
      <c r="F76" s="232">
        <v>55</v>
      </c>
      <c r="G76" s="232">
        <f t="shared" si="14"/>
        <v>857.625</v>
      </c>
      <c r="H76" s="232">
        <v>370</v>
      </c>
      <c r="I76" s="232">
        <f t="shared" si="15"/>
        <v>23.728319486955254</v>
      </c>
      <c r="J76" s="232">
        <f t="shared" si="16"/>
        <v>78.728319486955257</v>
      </c>
      <c r="K76" s="864">
        <v>0.4</v>
      </c>
      <c r="L76" s="232">
        <f t="shared" si="17"/>
        <v>110.21964728173735</v>
      </c>
      <c r="M76" s="232">
        <v>150</v>
      </c>
      <c r="P76" s="178" t="s">
        <v>2724</v>
      </c>
      <c r="Q76" s="229">
        <v>45447</v>
      </c>
      <c r="R76" s="914">
        <f>+M76*14.5</f>
        <v>2175</v>
      </c>
      <c r="S76" s="229"/>
    </row>
    <row r="77" spans="1:20" s="178" customFormat="1" hidden="1" x14ac:dyDescent="0.25">
      <c r="A77" s="628" t="s">
        <v>1243</v>
      </c>
      <c r="B77" s="628" t="s">
        <v>1243</v>
      </c>
      <c r="C77" s="178">
        <v>63</v>
      </c>
      <c r="D77" s="656">
        <v>46</v>
      </c>
      <c r="E77" s="708" t="s">
        <v>2432</v>
      </c>
      <c r="F77" s="232">
        <v>55</v>
      </c>
      <c r="G77" s="232">
        <f t="shared" si="14"/>
        <v>857.625</v>
      </c>
      <c r="H77" s="232">
        <v>370</v>
      </c>
      <c r="I77" s="232">
        <f t="shared" si="15"/>
        <v>23.728319486955254</v>
      </c>
      <c r="J77" s="232">
        <f t="shared" si="16"/>
        <v>78.728319486955257</v>
      </c>
      <c r="K77" s="864">
        <v>0.4</v>
      </c>
      <c r="L77" s="232">
        <f t="shared" si="17"/>
        <v>110.21964728173735</v>
      </c>
      <c r="M77" s="232">
        <v>150</v>
      </c>
      <c r="P77" s="178" t="s">
        <v>2184</v>
      </c>
      <c r="Q77" s="229">
        <v>45455</v>
      </c>
      <c r="R77" s="914">
        <f>+M77*14.5</f>
        <v>2175</v>
      </c>
    </row>
    <row r="78" spans="1:20" s="178" customFormat="1" x14ac:dyDescent="0.25">
      <c r="A78" s="628"/>
      <c r="B78" s="904">
        <v>45413</v>
      </c>
      <c r="D78" s="656"/>
      <c r="E78" s="628"/>
      <c r="F78" s="226"/>
      <c r="G78" s="226"/>
      <c r="H78" s="226"/>
      <c r="I78" s="226"/>
      <c r="J78" s="226"/>
      <c r="K78" s="228"/>
      <c r="L78" s="226"/>
      <c r="M78" s="226"/>
      <c r="R78" s="914"/>
    </row>
    <row r="79" spans="1:20" s="149" customFormat="1" ht="15" customHeight="1" outlineLevel="1" x14ac:dyDescent="0.25">
      <c r="A79" s="319" t="s">
        <v>18</v>
      </c>
      <c r="B79" s="319" t="s">
        <v>18</v>
      </c>
      <c r="C79" s="347"/>
      <c r="D79" s="656">
        <v>42</v>
      </c>
      <c r="E79" s="628" t="s">
        <v>2667</v>
      </c>
      <c r="F79" s="226">
        <v>42</v>
      </c>
      <c r="G79" s="178">
        <v>768</v>
      </c>
      <c r="H79" s="226">
        <v>515</v>
      </c>
      <c r="I79" s="820">
        <f t="shared" ref="I79:I90" si="18">+F79/G79*H79</f>
        <v>28.1640625</v>
      </c>
      <c r="J79" s="820">
        <f t="shared" ref="J79:J90" si="19">+F79+I79</f>
        <v>70.1640625</v>
      </c>
      <c r="K79" s="228"/>
      <c r="L79" s="226">
        <f t="shared" ref="L79:L90" si="20">+J79*1.4</f>
        <v>98.229687499999997</v>
      </c>
      <c r="M79" s="226">
        <v>125</v>
      </c>
      <c r="O79" s="167"/>
      <c r="P79" s="395"/>
      <c r="Q79" s="395"/>
      <c r="R79" s="396"/>
      <c r="S79" s="395"/>
      <c r="T79" s="395"/>
    </row>
    <row r="80" spans="1:20" s="149" customFormat="1" ht="15" hidden="1" customHeight="1" outlineLevel="1" x14ac:dyDescent="0.25">
      <c r="A80" s="319" t="s">
        <v>18</v>
      </c>
      <c r="B80" s="319" t="s">
        <v>18</v>
      </c>
      <c r="C80" s="347"/>
      <c r="D80" s="656">
        <v>44</v>
      </c>
      <c r="E80" s="708" t="s">
        <v>2667</v>
      </c>
      <c r="F80" s="232">
        <v>42</v>
      </c>
      <c r="G80" s="213">
        <v>768</v>
      </c>
      <c r="H80" s="232">
        <v>515</v>
      </c>
      <c r="I80" s="863">
        <f t="shared" si="18"/>
        <v>28.1640625</v>
      </c>
      <c r="J80" s="863">
        <f t="shared" si="19"/>
        <v>70.1640625</v>
      </c>
      <c r="K80" s="864"/>
      <c r="L80" s="232">
        <f t="shared" si="20"/>
        <v>98.229687499999997</v>
      </c>
      <c r="M80" s="232">
        <v>115</v>
      </c>
      <c r="O80" s="167"/>
      <c r="P80" s="395" t="s">
        <v>2724</v>
      </c>
      <c r="Q80" s="495">
        <v>45447</v>
      </c>
      <c r="R80" s="396">
        <f>+M80*14.5</f>
        <v>1667.5</v>
      </c>
      <c r="S80" s="395"/>
      <c r="T80" s="395"/>
    </row>
    <row r="81" spans="1:20" s="149" customFormat="1" ht="15" customHeight="1" outlineLevel="1" x14ac:dyDescent="0.25">
      <c r="A81" s="319" t="s">
        <v>18</v>
      </c>
      <c r="B81" s="319" t="s">
        <v>18</v>
      </c>
      <c r="C81" s="347"/>
      <c r="D81" s="656">
        <v>46</v>
      </c>
      <c r="E81" s="628" t="s">
        <v>2667</v>
      </c>
      <c r="F81" s="226">
        <v>42</v>
      </c>
      <c r="G81" s="178">
        <v>768</v>
      </c>
      <c r="H81" s="226">
        <v>515</v>
      </c>
      <c r="I81" s="820">
        <f t="shared" si="18"/>
        <v>28.1640625</v>
      </c>
      <c r="J81" s="820">
        <f t="shared" si="19"/>
        <v>70.1640625</v>
      </c>
      <c r="K81" s="228"/>
      <c r="L81" s="226">
        <f t="shared" si="20"/>
        <v>98.229687499999997</v>
      </c>
      <c r="M81" s="226">
        <v>125</v>
      </c>
      <c r="O81" s="167"/>
      <c r="P81" s="395"/>
      <c r="Q81" s="395"/>
      <c r="R81" s="396"/>
      <c r="S81" s="395"/>
      <c r="T81" s="395"/>
    </row>
    <row r="82" spans="1:20" s="149" customFormat="1" ht="15" customHeight="1" outlineLevel="1" x14ac:dyDescent="0.25">
      <c r="A82" s="319" t="s">
        <v>18</v>
      </c>
      <c r="B82" s="319" t="s">
        <v>18</v>
      </c>
      <c r="C82" s="347"/>
      <c r="D82" s="656">
        <v>48</v>
      </c>
      <c r="E82" s="628" t="s">
        <v>2667</v>
      </c>
      <c r="F82" s="226">
        <v>42</v>
      </c>
      <c r="G82" s="178">
        <v>768</v>
      </c>
      <c r="H82" s="226">
        <v>515</v>
      </c>
      <c r="I82" s="820">
        <f t="shared" si="18"/>
        <v>28.1640625</v>
      </c>
      <c r="J82" s="820">
        <f t="shared" si="19"/>
        <v>70.1640625</v>
      </c>
      <c r="K82" s="228"/>
      <c r="L82" s="226">
        <f t="shared" si="20"/>
        <v>98.229687499999997</v>
      </c>
      <c r="M82" s="226">
        <v>125</v>
      </c>
      <c r="O82" s="167"/>
      <c r="P82" s="395"/>
      <c r="Q82" s="395"/>
      <c r="R82" s="396"/>
      <c r="S82" s="395"/>
      <c r="T82" s="395"/>
    </row>
    <row r="83" spans="1:20" s="149" customFormat="1" ht="15" customHeight="1" outlineLevel="1" x14ac:dyDescent="0.25">
      <c r="A83" s="319" t="s">
        <v>18</v>
      </c>
      <c r="B83" s="319" t="s">
        <v>18</v>
      </c>
      <c r="C83" s="347"/>
      <c r="D83" s="656">
        <v>42</v>
      </c>
      <c r="E83" s="628" t="s">
        <v>2668</v>
      </c>
      <c r="F83" s="226">
        <v>42</v>
      </c>
      <c r="G83" s="178">
        <v>768</v>
      </c>
      <c r="H83" s="226">
        <v>515</v>
      </c>
      <c r="I83" s="820">
        <f t="shared" si="18"/>
        <v>28.1640625</v>
      </c>
      <c r="J83" s="820">
        <f t="shared" si="19"/>
        <v>70.1640625</v>
      </c>
      <c r="K83" s="228"/>
      <c r="L83" s="226">
        <f t="shared" si="20"/>
        <v>98.229687499999997</v>
      </c>
      <c r="M83" s="226">
        <v>125</v>
      </c>
      <c r="O83" s="167"/>
      <c r="P83" s="395"/>
      <c r="Q83" s="395"/>
      <c r="R83" s="396"/>
      <c r="S83" s="395"/>
      <c r="T83" s="395"/>
    </row>
    <row r="84" spans="1:20" s="149" customFormat="1" ht="15" customHeight="1" outlineLevel="1" x14ac:dyDescent="0.25">
      <c r="A84" s="319" t="s">
        <v>18</v>
      </c>
      <c r="B84" s="319" t="s">
        <v>18</v>
      </c>
      <c r="C84" s="347"/>
      <c r="D84" s="656">
        <v>44</v>
      </c>
      <c r="E84" s="628" t="s">
        <v>2668</v>
      </c>
      <c r="F84" s="226">
        <v>42</v>
      </c>
      <c r="G84" s="178">
        <v>768</v>
      </c>
      <c r="H84" s="226">
        <v>515</v>
      </c>
      <c r="I84" s="820">
        <f t="shared" si="18"/>
        <v>28.1640625</v>
      </c>
      <c r="J84" s="820">
        <f t="shared" si="19"/>
        <v>70.1640625</v>
      </c>
      <c r="K84" s="228"/>
      <c r="L84" s="226">
        <f t="shared" si="20"/>
        <v>98.229687499999997</v>
      </c>
      <c r="M84" s="226">
        <v>125</v>
      </c>
      <c r="O84" s="167"/>
      <c r="P84" s="395"/>
      <c r="Q84" s="395"/>
      <c r="R84" s="396"/>
      <c r="S84" s="395"/>
      <c r="T84" s="395"/>
    </row>
    <row r="85" spans="1:20" s="149" customFormat="1" ht="15" customHeight="1" outlineLevel="1" x14ac:dyDescent="0.25">
      <c r="A85" s="319" t="s">
        <v>18</v>
      </c>
      <c r="B85" s="319" t="s">
        <v>18</v>
      </c>
      <c r="C85" s="347"/>
      <c r="D85" s="656">
        <v>46</v>
      </c>
      <c r="E85" s="628" t="s">
        <v>2668</v>
      </c>
      <c r="F85" s="226">
        <v>42</v>
      </c>
      <c r="G85" s="178">
        <v>768</v>
      </c>
      <c r="H85" s="226">
        <v>515</v>
      </c>
      <c r="I85" s="820">
        <f t="shared" si="18"/>
        <v>28.1640625</v>
      </c>
      <c r="J85" s="820">
        <f t="shared" si="19"/>
        <v>70.1640625</v>
      </c>
      <c r="K85" s="228"/>
      <c r="L85" s="226">
        <f t="shared" si="20"/>
        <v>98.229687499999997</v>
      </c>
      <c r="M85" s="226">
        <v>125</v>
      </c>
      <c r="O85" s="167"/>
      <c r="P85" s="395"/>
      <c r="Q85" s="395"/>
      <c r="R85" s="396"/>
      <c r="S85" s="395"/>
      <c r="T85" s="395"/>
    </row>
    <row r="86" spans="1:20" s="149" customFormat="1" ht="15" customHeight="1" outlineLevel="1" x14ac:dyDescent="0.25">
      <c r="A86" s="319" t="s">
        <v>18</v>
      </c>
      <c r="B86" s="319" t="s">
        <v>18</v>
      </c>
      <c r="C86" s="347"/>
      <c r="D86" s="656">
        <v>48</v>
      </c>
      <c r="E86" s="628" t="s">
        <v>2668</v>
      </c>
      <c r="F86" s="226">
        <v>42</v>
      </c>
      <c r="G86" s="178">
        <v>768</v>
      </c>
      <c r="H86" s="226">
        <v>515</v>
      </c>
      <c r="I86" s="820">
        <f t="shared" si="18"/>
        <v>28.1640625</v>
      </c>
      <c r="J86" s="820">
        <f t="shared" si="19"/>
        <v>70.1640625</v>
      </c>
      <c r="K86" s="228"/>
      <c r="L86" s="226">
        <f t="shared" si="20"/>
        <v>98.229687499999997</v>
      </c>
      <c r="M86" s="226">
        <v>125</v>
      </c>
      <c r="O86" s="167"/>
      <c r="P86" s="395"/>
      <c r="Q86" s="395"/>
      <c r="R86" s="396"/>
      <c r="S86" s="395"/>
      <c r="T86" s="395"/>
    </row>
    <row r="87" spans="1:20" s="149" customFormat="1" ht="15" customHeight="1" outlineLevel="1" x14ac:dyDescent="0.25">
      <c r="A87" s="319" t="s">
        <v>18</v>
      </c>
      <c r="B87" s="319" t="s">
        <v>18</v>
      </c>
      <c r="C87" s="347"/>
      <c r="D87" s="656">
        <v>50</v>
      </c>
      <c r="E87" s="628" t="s">
        <v>2669</v>
      </c>
      <c r="F87" s="226">
        <v>42</v>
      </c>
      <c r="G87" s="178">
        <v>768</v>
      </c>
      <c r="H87" s="226">
        <v>515</v>
      </c>
      <c r="I87" s="820">
        <f t="shared" si="18"/>
        <v>28.1640625</v>
      </c>
      <c r="J87" s="820">
        <f t="shared" si="19"/>
        <v>70.1640625</v>
      </c>
      <c r="K87" s="228"/>
      <c r="L87" s="226">
        <f t="shared" si="20"/>
        <v>98.229687499999997</v>
      </c>
      <c r="M87" s="226">
        <v>125</v>
      </c>
      <c r="O87" s="167"/>
      <c r="P87" s="395"/>
      <c r="Q87" s="395"/>
      <c r="R87" s="396"/>
      <c r="S87" s="395"/>
      <c r="T87" s="395"/>
    </row>
    <row r="88" spans="1:20" s="149" customFormat="1" ht="15" customHeight="1" outlineLevel="1" x14ac:dyDescent="0.25">
      <c r="A88" s="319" t="s">
        <v>18</v>
      </c>
      <c r="B88" s="319" t="s">
        <v>18</v>
      </c>
      <c r="C88" s="347"/>
      <c r="D88" s="656">
        <v>52</v>
      </c>
      <c r="E88" s="628" t="s">
        <v>2669</v>
      </c>
      <c r="F88" s="226">
        <v>42</v>
      </c>
      <c r="G88" s="178">
        <v>768</v>
      </c>
      <c r="H88" s="226">
        <v>515</v>
      </c>
      <c r="I88" s="820">
        <f t="shared" si="18"/>
        <v>28.1640625</v>
      </c>
      <c r="J88" s="820">
        <f t="shared" si="19"/>
        <v>70.1640625</v>
      </c>
      <c r="K88" s="228"/>
      <c r="L88" s="226">
        <f t="shared" si="20"/>
        <v>98.229687499999997</v>
      </c>
      <c r="M88" s="226">
        <v>125</v>
      </c>
      <c r="O88" s="167"/>
      <c r="P88" s="395"/>
      <c r="Q88" s="395"/>
      <c r="R88" s="396"/>
      <c r="S88" s="395"/>
      <c r="T88" s="395"/>
    </row>
    <row r="89" spans="1:20" s="149" customFormat="1" ht="15" customHeight="1" outlineLevel="1" x14ac:dyDescent="0.25">
      <c r="A89" s="319" t="s">
        <v>18</v>
      </c>
      <c r="B89" s="319" t="s">
        <v>18</v>
      </c>
      <c r="C89" s="347"/>
      <c r="D89" s="656">
        <v>54</v>
      </c>
      <c r="E89" s="628" t="s">
        <v>2669</v>
      </c>
      <c r="F89" s="226">
        <v>42</v>
      </c>
      <c r="G89" s="178">
        <v>768</v>
      </c>
      <c r="H89" s="226">
        <v>515</v>
      </c>
      <c r="I89" s="820">
        <f t="shared" si="18"/>
        <v>28.1640625</v>
      </c>
      <c r="J89" s="820">
        <f t="shared" si="19"/>
        <v>70.1640625</v>
      </c>
      <c r="K89" s="228"/>
      <c r="L89" s="226">
        <f t="shared" si="20"/>
        <v>98.229687499999997</v>
      </c>
      <c r="M89" s="226">
        <v>125</v>
      </c>
      <c r="O89" s="167"/>
      <c r="P89" s="395"/>
      <c r="Q89" s="395"/>
      <c r="R89" s="396"/>
      <c r="S89" s="395"/>
      <c r="T89" s="395"/>
    </row>
    <row r="90" spans="1:20" s="149" customFormat="1" ht="15" customHeight="1" outlineLevel="1" x14ac:dyDescent="0.25">
      <c r="A90" s="319" t="s">
        <v>18</v>
      </c>
      <c r="B90" s="319" t="s">
        <v>18</v>
      </c>
      <c r="C90" s="347"/>
      <c r="D90" s="656">
        <v>56</v>
      </c>
      <c r="E90" s="628" t="s">
        <v>2669</v>
      </c>
      <c r="F90" s="226">
        <v>42</v>
      </c>
      <c r="G90" s="178">
        <v>768</v>
      </c>
      <c r="H90" s="226">
        <v>515</v>
      </c>
      <c r="I90" s="820">
        <f t="shared" si="18"/>
        <v>28.1640625</v>
      </c>
      <c r="J90" s="820">
        <f t="shared" si="19"/>
        <v>70.1640625</v>
      </c>
      <c r="K90" s="228"/>
      <c r="L90" s="226">
        <f t="shared" si="20"/>
        <v>98.229687499999997</v>
      </c>
      <c r="M90" s="226">
        <v>125</v>
      </c>
      <c r="O90" s="167"/>
      <c r="P90" s="395"/>
      <c r="Q90" s="395"/>
      <c r="R90" s="396"/>
      <c r="S90" s="395"/>
      <c r="T90" s="395"/>
    </row>
    <row r="91" spans="1:20" s="178" customFormat="1" x14ac:dyDescent="0.25">
      <c r="A91" s="225"/>
      <c r="B91" s="225"/>
      <c r="F91" s="226"/>
      <c r="H91" s="226"/>
      <c r="I91" s="338"/>
      <c r="J91" s="614"/>
      <c r="K91" s="316"/>
      <c r="L91" s="174"/>
      <c r="M91" s="226"/>
      <c r="N91" s="631"/>
      <c r="O91" s="590"/>
      <c r="Q91" s="836"/>
      <c r="R91" s="914"/>
    </row>
    <row r="92" spans="1:20" s="178" customFormat="1" hidden="1" x14ac:dyDescent="0.25">
      <c r="A92" s="225" t="s">
        <v>2489</v>
      </c>
      <c r="B92" s="319" t="s">
        <v>1442</v>
      </c>
      <c r="D92" s="656"/>
      <c r="E92" s="708" t="s">
        <v>2726</v>
      </c>
      <c r="F92" s="232">
        <v>15</v>
      </c>
      <c r="G92" s="213"/>
      <c r="H92" s="232"/>
      <c r="I92" s="232"/>
      <c r="J92" s="232"/>
      <c r="K92" s="864"/>
      <c r="L92" s="232">
        <v>45</v>
      </c>
      <c r="M92" s="232">
        <v>45</v>
      </c>
      <c r="N92" s="226"/>
      <c r="P92" s="178" t="s">
        <v>1908</v>
      </c>
      <c r="Q92" s="229">
        <v>45447</v>
      </c>
      <c r="R92" s="178">
        <f>+M92*14.5</f>
        <v>652.5</v>
      </c>
    </row>
    <row r="93" spans="1:20" s="178" customFormat="1" hidden="1" x14ac:dyDescent="0.25">
      <c r="A93" s="225" t="s">
        <v>2489</v>
      </c>
      <c r="B93" s="319" t="s">
        <v>1442</v>
      </c>
      <c r="D93" s="656"/>
      <c r="E93" s="708" t="s">
        <v>2164</v>
      </c>
      <c r="F93" s="232">
        <v>15</v>
      </c>
      <c r="G93" s="213"/>
      <c r="H93" s="232"/>
      <c r="I93" s="232"/>
      <c r="J93" s="232"/>
      <c r="K93" s="864"/>
      <c r="L93" s="232">
        <v>45</v>
      </c>
      <c r="M93" s="232">
        <v>45</v>
      </c>
      <c r="N93" s="226"/>
      <c r="P93" s="178" t="s">
        <v>12</v>
      </c>
      <c r="Q93" s="229">
        <v>45451</v>
      </c>
      <c r="R93" s="178">
        <f>+M93*14.5</f>
        <v>652.5</v>
      </c>
    </row>
    <row r="94" spans="1:20" s="178" customFormat="1" hidden="1" x14ac:dyDescent="0.25">
      <c r="A94" s="225" t="s">
        <v>2489</v>
      </c>
      <c r="B94" s="319" t="s">
        <v>1442</v>
      </c>
      <c r="D94" s="656"/>
      <c r="E94" s="708" t="s">
        <v>2725</v>
      </c>
      <c r="F94" s="232">
        <v>15</v>
      </c>
      <c r="G94" s="213"/>
      <c r="H94" s="232"/>
      <c r="I94" s="232"/>
      <c r="J94" s="232"/>
      <c r="K94" s="864"/>
      <c r="L94" s="232">
        <v>45</v>
      </c>
      <c r="M94" s="232">
        <v>45</v>
      </c>
      <c r="N94" s="226"/>
      <c r="P94" s="178" t="s">
        <v>2405</v>
      </c>
      <c r="Q94" s="229">
        <v>45448</v>
      </c>
      <c r="R94" s="178">
        <f>+M94*14.5</f>
        <v>652.5</v>
      </c>
    </row>
    <row r="95" spans="1:20" s="178" customFormat="1" hidden="1" x14ac:dyDescent="0.25">
      <c r="A95" s="225" t="s">
        <v>2489</v>
      </c>
      <c r="B95" s="319" t="s">
        <v>1442</v>
      </c>
      <c r="D95" s="656"/>
      <c r="E95" s="708" t="s">
        <v>2164</v>
      </c>
      <c r="F95" s="232">
        <v>15</v>
      </c>
      <c r="G95" s="213"/>
      <c r="H95" s="232"/>
      <c r="I95" s="232"/>
      <c r="J95" s="232"/>
      <c r="K95" s="864"/>
      <c r="L95" s="232">
        <v>45</v>
      </c>
      <c r="M95" s="232">
        <v>45</v>
      </c>
      <c r="N95" s="226"/>
      <c r="P95" s="178" t="s">
        <v>12</v>
      </c>
      <c r="Q95" s="229">
        <v>45451</v>
      </c>
      <c r="R95" s="178">
        <f t="shared" ref="R95:R96" si="21">+M95*14.5</f>
        <v>652.5</v>
      </c>
    </row>
    <row r="96" spans="1:20" s="178" customFormat="1" hidden="1" x14ac:dyDescent="0.25">
      <c r="A96" s="225" t="s">
        <v>2489</v>
      </c>
      <c r="B96" s="319" t="s">
        <v>1442</v>
      </c>
      <c r="D96" s="656"/>
      <c r="E96" s="708" t="s">
        <v>2165</v>
      </c>
      <c r="F96" s="232">
        <v>15</v>
      </c>
      <c r="G96" s="213"/>
      <c r="H96" s="232"/>
      <c r="I96" s="232"/>
      <c r="J96" s="232"/>
      <c r="K96" s="864"/>
      <c r="L96" s="232">
        <v>45</v>
      </c>
      <c r="M96" s="232">
        <v>45</v>
      </c>
      <c r="N96" s="226"/>
      <c r="P96" s="178" t="s">
        <v>2776</v>
      </c>
      <c r="Q96" s="229">
        <v>45451</v>
      </c>
      <c r="R96" s="178">
        <f t="shared" si="21"/>
        <v>652.5</v>
      </c>
    </row>
    <row r="97" spans="1:20" s="178" customFormat="1" hidden="1" x14ac:dyDescent="0.25">
      <c r="A97" s="225" t="s">
        <v>2489</v>
      </c>
      <c r="B97" s="319" t="s">
        <v>1442</v>
      </c>
      <c r="D97" s="656"/>
      <c r="E97" s="708" t="s">
        <v>2165</v>
      </c>
      <c r="F97" s="232">
        <v>15</v>
      </c>
      <c r="G97" s="213"/>
      <c r="H97" s="232"/>
      <c r="I97" s="232"/>
      <c r="J97" s="232"/>
      <c r="K97" s="864"/>
      <c r="L97" s="232">
        <v>45</v>
      </c>
      <c r="M97" s="232">
        <v>45</v>
      </c>
      <c r="N97" s="226"/>
      <c r="P97" s="178" t="s">
        <v>12</v>
      </c>
      <c r="Q97" s="229">
        <v>45467</v>
      </c>
    </row>
    <row r="98" spans="1:20" s="178" customFormat="1" x14ac:dyDescent="0.25">
      <c r="A98" s="225" t="s">
        <v>2489</v>
      </c>
      <c r="B98" s="319" t="s">
        <v>1442</v>
      </c>
      <c r="D98" s="656"/>
      <c r="E98" s="628" t="s">
        <v>2165</v>
      </c>
      <c r="F98" s="226">
        <v>15</v>
      </c>
      <c r="H98" s="226"/>
      <c r="I98" s="226"/>
      <c r="J98" s="226"/>
      <c r="K98" s="228"/>
      <c r="L98" s="226">
        <v>45</v>
      </c>
      <c r="M98" s="226">
        <v>45</v>
      </c>
      <c r="N98" s="226"/>
    </row>
    <row r="99" spans="1:20" s="178" customFormat="1" x14ac:dyDescent="0.25">
      <c r="A99" s="225" t="s">
        <v>2152</v>
      </c>
      <c r="B99" s="319"/>
      <c r="C99" s="178">
        <v>48</v>
      </c>
      <c r="D99" s="656"/>
      <c r="E99" s="628" t="s">
        <v>2153</v>
      </c>
      <c r="F99" s="175">
        <v>15</v>
      </c>
      <c r="G99" s="178">
        <v>4192</v>
      </c>
      <c r="H99" s="226">
        <v>3417</v>
      </c>
      <c r="I99" s="226">
        <f t="shared" ref="I99" si="22">+H99/G99*F99</f>
        <v>12.226860687022901</v>
      </c>
      <c r="J99" s="820">
        <f t="shared" ref="J99" si="23">+F99+I99</f>
        <v>27.226860687022899</v>
      </c>
      <c r="K99" s="228">
        <v>1.4</v>
      </c>
      <c r="L99" s="226">
        <f t="shared" ref="L99" si="24">+J99*K99</f>
        <v>38.117604961832058</v>
      </c>
      <c r="M99" s="226">
        <v>45</v>
      </c>
      <c r="N99" s="631"/>
      <c r="O99" s="590"/>
      <c r="Q99" s="836"/>
      <c r="R99" s="914"/>
    </row>
    <row r="100" spans="1:20" s="395" customFormat="1" ht="15.75" outlineLevel="1" x14ac:dyDescent="0.25">
      <c r="A100" s="154"/>
      <c r="B100" s="393" t="s">
        <v>146</v>
      </c>
      <c r="C100" s="500"/>
      <c r="D100" s="501"/>
      <c r="E100" s="393"/>
      <c r="F100" s="150">
        <f>SUM(F4:F32)</f>
        <v>818</v>
      </c>
      <c r="G100" s="150"/>
      <c r="H100" s="150"/>
      <c r="I100" s="150"/>
      <c r="J100" s="150"/>
      <c r="K100" s="150"/>
      <c r="L100" s="394">
        <f>+J100*K100+J100</f>
        <v>0</v>
      </c>
      <c r="M100" s="150">
        <f>SUM(M4:M32)</f>
        <v>3070</v>
      </c>
      <c r="N100" s="404"/>
      <c r="O100" s="393"/>
      <c r="P100" s="191"/>
      <c r="Q100" s="837"/>
      <c r="R100" s="915"/>
      <c r="S100" s="12"/>
      <c r="T100" s="12"/>
    </row>
    <row r="101" spans="1:20" s="395" customFormat="1" ht="15.75" outlineLevel="1" x14ac:dyDescent="0.25">
      <c r="A101" s="154">
        <v>2022</v>
      </c>
      <c r="B101" s="393">
        <v>64</v>
      </c>
      <c r="C101" s="500">
        <v>-28</v>
      </c>
      <c r="D101" s="501">
        <f>+B101+C101</f>
        <v>36</v>
      </c>
      <c r="E101" s="393"/>
      <c r="F101" s="150"/>
      <c r="G101" s="150"/>
      <c r="H101" s="150"/>
      <c r="I101" s="150"/>
      <c r="J101" s="150"/>
      <c r="K101" s="150"/>
      <c r="L101" s="394"/>
      <c r="M101" s="150"/>
      <c r="N101" s="404"/>
      <c r="O101" s="393"/>
      <c r="P101" s="191"/>
      <c r="Q101" s="837"/>
      <c r="R101" s="915"/>
      <c r="S101" s="12"/>
      <c r="T101" s="12"/>
    </row>
    <row r="102" spans="1:20" s="395" customFormat="1" ht="15.75" outlineLevel="1" x14ac:dyDescent="0.25">
      <c r="A102" s="154">
        <v>2023</v>
      </c>
      <c r="B102" s="393">
        <v>95</v>
      </c>
      <c r="C102" s="500">
        <v>-48</v>
      </c>
      <c r="D102" s="501">
        <f>+B102+C102</f>
        <v>47</v>
      </c>
      <c r="E102" s="393"/>
      <c r="F102" s="150"/>
      <c r="G102" s="150"/>
      <c r="H102" s="150"/>
      <c r="I102" s="150"/>
      <c r="J102" s="150"/>
      <c r="K102" s="150"/>
      <c r="L102" s="394"/>
      <c r="M102" s="150"/>
      <c r="N102" s="404"/>
      <c r="O102" s="393"/>
      <c r="P102" s="191"/>
      <c r="Q102" s="837"/>
      <c r="R102" s="915"/>
      <c r="S102" s="12"/>
      <c r="T102" s="12"/>
    </row>
    <row r="103" spans="1:20" s="395" customFormat="1" ht="15.75" customHeight="1" outlineLevel="1" x14ac:dyDescent="0.3">
      <c r="A103" s="154"/>
      <c r="C103" s="500"/>
      <c r="D103" s="501"/>
      <c r="E103" s="485" t="s">
        <v>805</v>
      </c>
      <c r="F103" s="150"/>
      <c r="G103" s="150"/>
      <c r="H103" s="150"/>
      <c r="I103" s="150"/>
      <c r="J103" s="150"/>
      <c r="K103" s="150"/>
      <c r="L103" s="394"/>
      <c r="M103" s="150"/>
      <c r="N103" s="404"/>
      <c r="O103" s="393"/>
      <c r="P103" s="191"/>
      <c r="Q103" s="837"/>
      <c r="R103" s="915"/>
      <c r="S103" s="12"/>
      <c r="T103" s="12"/>
    </row>
    <row r="104" spans="1:20" s="395" customFormat="1" ht="15.75" outlineLevel="1" x14ac:dyDescent="0.25">
      <c r="A104" s="393"/>
      <c r="B104" s="393" t="s">
        <v>995</v>
      </c>
      <c r="F104" s="167"/>
      <c r="G104" s="167"/>
      <c r="H104" s="167"/>
      <c r="I104" s="167"/>
      <c r="J104" s="167"/>
      <c r="K104" s="167"/>
      <c r="L104" s="167"/>
      <c r="M104" s="167"/>
      <c r="N104" s="404"/>
      <c r="Q104" s="833"/>
      <c r="R104" s="396"/>
    </row>
    <row r="105" spans="1:20" s="395" customFormat="1" ht="15.75" outlineLevel="1" x14ac:dyDescent="0.25">
      <c r="A105" s="393"/>
      <c r="B105" s="395" t="s">
        <v>679</v>
      </c>
      <c r="C105" s="395">
        <v>1</v>
      </c>
      <c r="D105" s="395">
        <v>46</v>
      </c>
      <c r="E105" s="395" t="s">
        <v>759</v>
      </c>
      <c r="F105" s="394">
        <v>59</v>
      </c>
      <c r="G105" s="179">
        <v>959</v>
      </c>
      <c r="H105" s="167">
        <v>1284</v>
      </c>
      <c r="I105" s="394">
        <f>+F105/G105*H105</f>
        <v>78.994786235662147</v>
      </c>
      <c r="J105" s="394">
        <f>+F105+I105</f>
        <v>137.99478623566216</v>
      </c>
      <c r="K105" s="492">
        <v>0.3</v>
      </c>
      <c r="L105" s="394">
        <f>+J105*K105+J105</f>
        <v>179.39322210636081</v>
      </c>
      <c r="M105" s="394">
        <v>200</v>
      </c>
      <c r="N105" s="504"/>
      <c r="O105" s="362"/>
      <c r="Q105" s="833"/>
      <c r="R105" s="396"/>
    </row>
    <row r="106" spans="1:20" s="395" customFormat="1" ht="15.75" outlineLevel="1" x14ac:dyDescent="0.25">
      <c r="A106" s="393"/>
      <c r="B106" s="395" t="s">
        <v>679</v>
      </c>
      <c r="C106" s="395">
        <v>2</v>
      </c>
      <c r="D106" s="395">
        <v>44</v>
      </c>
      <c r="E106" s="276" t="s">
        <v>799</v>
      </c>
      <c r="F106" s="394">
        <v>67</v>
      </c>
      <c r="G106" s="179">
        <v>8183</v>
      </c>
      <c r="H106" s="394">
        <v>13183</v>
      </c>
      <c r="I106" s="394">
        <f>+F106/G106*H106</f>
        <v>107.93853110106318</v>
      </c>
      <c r="J106" s="394">
        <f>+F106+I106</f>
        <v>174.93853110106318</v>
      </c>
      <c r="K106" s="492">
        <v>0.3</v>
      </c>
      <c r="L106" s="394">
        <f>+J106*K106+J106</f>
        <v>227.42009043138214</v>
      </c>
      <c r="M106" s="394">
        <v>250</v>
      </c>
      <c r="N106" s="504"/>
      <c r="O106" s="362"/>
      <c r="Q106" s="833"/>
      <c r="R106" s="396"/>
    </row>
    <row r="107" spans="1:20" s="395" customFormat="1" ht="15.75" outlineLevel="1" x14ac:dyDescent="0.25">
      <c r="A107" s="393"/>
      <c r="B107" s="502">
        <v>44713</v>
      </c>
      <c r="E107" s="276"/>
      <c r="F107" s="394"/>
      <c r="G107" s="179"/>
      <c r="H107" s="394"/>
      <c r="I107" s="394"/>
      <c r="J107" s="394"/>
      <c r="K107" s="492"/>
      <c r="L107" s="394"/>
      <c r="M107" s="394"/>
      <c r="N107" s="504"/>
      <c r="Q107" s="833"/>
      <c r="R107" s="396"/>
    </row>
    <row r="108" spans="1:20" s="395" customFormat="1" ht="15.75" outlineLevel="1" x14ac:dyDescent="0.25">
      <c r="A108" s="393"/>
      <c r="B108" s="393" t="s">
        <v>679</v>
      </c>
      <c r="C108" s="395">
        <v>3</v>
      </c>
      <c r="D108" s="395">
        <v>42</v>
      </c>
      <c r="E108" s="395" t="s">
        <v>1488</v>
      </c>
      <c r="F108" s="394">
        <v>75</v>
      </c>
      <c r="G108" s="179">
        <v>580</v>
      </c>
      <c r="H108" s="394">
        <v>200</v>
      </c>
      <c r="I108" s="498">
        <f t="shared" ref="I108:I115" si="25">+F108/G108*H108</f>
        <v>25.862068965517242</v>
      </c>
      <c r="J108" s="394">
        <f t="shared" ref="J108:J115" si="26">+F108+I108</f>
        <v>100.86206896551724</v>
      </c>
      <c r="K108" s="492">
        <v>0.3</v>
      </c>
      <c r="L108" s="394">
        <f>+J108*K108+J108</f>
        <v>131.12068965517241</v>
      </c>
      <c r="M108" s="394">
        <v>150</v>
      </c>
      <c r="N108" s="504"/>
      <c r="O108" s="362"/>
      <c r="Q108" s="833"/>
      <c r="R108" s="396"/>
    </row>
    <row r="109" spans="1:20" s="395" customFormat="1" ht="15.75" outlineLevel="1" x14ac:dyDescent="0.25">
      <c r="A109" s="393"/>
      <c r="B109" s="393" t="s">
        <v>679</v>
      </c>
      <c r="C109" s="395">
        <v>4</v>
      </c>
      <c r="D109" s="395">
        <v>44</v>
      </c>
      <c r="E109" s="395" t="s">
        <v>1488</v>
      </c>
      <c r="F109" s="394">
        <v>75</v>
      </c>
      <c r="G109" s="179">
        <v>580</v>
      </c>
      <c r="H109" s="394">
        <v>200</v>
      </c>
      <c r="I109" s="498">
        <f t="shared" si="25"/>
        <v>25.862068965517242</v>
      </c>
      <c r="J109" s="394">
        <f t="shared" si="26"/>
        <v>100.86206896551724</v>
      </c>
      <c r="K109" s="492">
        <v>0.3</v>
      </c>
      <c r="L109" s="394">
        <f t="shared" ref="L109:L115" si="27">+J109*K109+J109</f>
        <v>131.12068965517241</v>
      </c>
      <c r="M109" s="394">
        <v>150</v>
      </c>
      <c r="N109" s="504"/>
      <c r="O109" s="362"/>
      <c r="Q109" s="833"/>
      <c r="R109" s="396"/>
    </row>
    <row r="110" spans="1:20" s="395" customFormat="1" ht="15.75" outlineLevel="1" x14ac:dyDescent="0.25">
      <c r="A110" s="393"/>
      <c r="B110" s="393" t="s">
        <v>679</v>
      </c>
      <c r="C110" s="395">
        <v>5</v>
      </c>
      <c r="D110" s="395">
        <v>46</v>
      </c>
      <c r="E110" s="395" t="s">
        <v>1488</v>
      </c>
      <c r="F110" s="394">
        <v>75</v>
      </c>
      <c r="G110" s="179">
        <v>580</v>
      </c>
      <c r="H110" s="394">
        <v>200</v>
      </c>
      <c r="I110" s="498">
        <f t="shared" si="25"/>
        <v>25.862068965517242</v>
      </c>
      <c r="J110" s="394">
        <f t="shared" si="26"/>
        <v>100.86206896551724</v>
      </c>
      <c r="K110" s="492">
        <v>0.3</v>
      </c>
      <c r="L110" s="394">
        <f t="shared" si="27"/>
        <v>131.12068965517241</v>
      </c>
      <c r="M110" s="394">
        <v>150</v>
      </c>
      <c r="N110" s="504"/>
      <c r="O110" s="362"/>
      <c r="Q110" s="833"/>
      <c r="R110" s="396"/>
    </row>
    <row r="111" spans="1:20" s="395" customFormat="1" ht="15" customHeight="1" outlineLevel="1" x14ac:dyDescent="0.25">
      <c r="A111" s="393"/>
      <c r="B111" s="393" t="s">
        <v>679</v>
      </c>
      <c r="C111" s="395">
        <v>6</v>
      </c>
      <c r="D111" s="395">
        <v>48</v>
      </c>
      <c r="E111" s="395" t="s">
        <v>1488</v>
      </c>
      <c r="F111" s="394">
        <v>75</v>
      </c>
      <c r="G111" s="179">
        <v>580</v>
      </c>
      <c r="H111" s="394">
        <v>200</v>
      </c>
      <c r="I111" s="498">
        <f t="shared" si="25"/>
        <v>25.862068965517242</v>
      </c>
      <c r="J111" s="394">
        <f t="shared" si="26"/>
        <v>100.86206896551724</v>
      </c>
      <c r="K111" s="492">
        <v>0.3</v>
      </c>
      <c r="L111" s="394">
        <f t="shared" si="27"/>
        <v>131.12068965517241</v>
      </c>
      <c r="M111" s="394">
        <v>150</v>
      </c>
      <c r="N111" s="504"/>
      <c r="O111" s="362"/>
      <c r="Q111" s="833"/>
      <c r="R111" s="396"/>
    </row>
    <row r="112" spans="1:20" s="395" customFormat="1" ht="15" customHeight="1" outlineLevel="1" x14ac:dyDescent="0.25">
      <c r="A112" s="393"/>
      <c r="B112" s="393" t="s">
        <v>865</v>
      </c>
      <c r="C112" s="395">
        <v>7</v>
      </c>
      <c r="D112" s="395">
        <v>44</v>
      </c>
      <c r="E112" s="395" t="s">
        <v>850</v>
      </c>
      <c r="F112" s="394">
        <v>70</v>
      </c>
      <c r="G112" s="179">
        <v>580</v>
      </c>
      <c r="H112" s="394">
        <v>200</v>
      </c>
      <c r="I112" s="498">
        <f t="shared" si="25"/>
        <v>24.137931034482758</v>
      </c>
      <c r="J112" s="394">
        <f t="shared" si="26"/>
        <v>94.137931034482762</v>
      </c>
      <c r="K112" s="492">
        <v>0.3</v>
      </c>
      <c r="L112" s="394">
        <f t="shared" si="27"/>
        <v>122.37931034482759</v>
      </c>
      <c r="M112" s="394">
        <v>150</v>
      </c>
      <c r="N112" s="504"/>
      <c r="O112" s="362"/>
      <c r="Q112" s="833"/>
      <c r="R112" s="396"/>
    </row>
    <row r="113" spans="1:18" s="395" customFormat="1" ht="15" customHeight="1" outlineLevel="1" x14ac:dyDescent="0.25">
      <c r="A113" s="393"/>
      <c r="B113" s="393" t="s">
        <v>865</v>
      </c>
      <c r="C113" s="395">
        <v>8</v>
      </c>
      <c r="D113" s="395">
        <v>46</v>
      </c>
      <c r="E113" s="395" t="s">
        <v>850</v>
      </c>
      <c r="F113" s="394">
        <v>70</v>
      </c>
      <c r="G113" s="179">
        <v>580</v>
      </c>
      <c r="H113" s="394">
        <v>200</v>
      </c>
      <c r="I113" s="498">
        <f t="shared" si="25"/>
        <v>24.137931034482758</v>
      </c>
      <c r="J113" s="394">
        <f t="shared" si="26"/>
        <v>94.137931034482762</v>
      </c>
      <c r="K113" s="492">
        <v>0.3</v>
      </c>
      <c r="L113" s="394">
        <f t="shared" si="27"/>
        <v>122.37931034482759</v>
      </c>
      <c r="M113" s="394">
        <v>150</v>
      </c>
      <c r="N113" s="504"/>
      <c r="O113" s="362"/>
      <c r="Q113" s="833"/>
      <c r="R113" s="396"/>
    </row>
    <row r="114" spans="1:18" s="395" customFormat="1" ht="16.5" customHeight="1" x14ac:dyDescent="0.25">
      <c r="A114" s="393"/>
      <c r="B114" s="393" t="s">
        <v>865</v>
      </c>
      <c r="C114" s="395">
        <v>9</v>
      </c>
      <c r="D114" s="395">
        <v>48</v>
      </c>
      <c r="E114" s="395" t="s">
        <v>850</v>
      </c>
      <c r="F114" s="394">
        <v>70</v>
      </c>
      <c r="G114" s="179">
        <v>580</v>
      </c>
      <c r="H114" s="394">
        <v>200</v>
      </c>
      <c r="I114" s="498">
        <f t="shared" si="25"/>
        <v>24.137931034482758</v>
      </c>
      <c r="J114" s="394">
        <f t="shared" si="26"/>
        <v>94.137931034482762</v>
      </c>
      <c r="K114" s="492">
        <v>0.3</v>
      </c>
      <c r="L114" s="394">
        <f t="shared" si="27"/>
        <v>122.37931034482759</v>
      </c>
      <c r="M114" s="394">
        <v>150</v>
      </c>
      <c r="N114" s="504"/>
      <c r="O114" s="362"/>
      <c r="Q114" s="833"/>
      <c r="R114" s="396"/>
    </row>
    <row r="115" spans="1:18" s="395" customFormat="1" ht="16.5" customHeight="1" x14ac:dyDescent="0.25">
      <c r="A115" s="393"/>
      <c r="B115" s="393" t="s">
        <v>865</v>
      </c>
      <c r="C115" s="395">
        <v>10</v>
      </c>
      <c r="D115" s="395">
        <v>50</v>
      </c>
      <c r="E115" s="395" t="s">
        <v>850</v>
      </c>
      <c r="F115" s="394">
        <v>70</v>
      </c>
      <c r="G115" s="179">
        <v>580</v>
      </c>
      <c r="H115" s="394">
        <v>200</v>
      </c>
      <c r="I115" s="498">
        <f t="shared" si="25"/>
        <v>24.137931034482758</v>
      </c>
      <c r="J115" s="394">
        <f t="shared" si="26"/>
        <v>94.137931034482762</v>
      </c>
      <c r="K115" s="492">
        <v>0.3</v>
      </c>
      <c r="L115" s="394">
        <f t="shared" si="27"/>
        <v>122.37931034482759</v>
      </c>
      <c r="M115" s="394">
        <v>150</v>
      </c>
      <c r="N115" s="504"/>
      <c r="O115" s="362"/>
      <c r="Q115" s="833"/>
      <c r="R115" s="396"/>
    </row>
    <row r="116" spans="1:18" s="395" customFormat="1" ht="16.5" customHeight="1" x14ac:dyDescent="0.25">
      <c r="A116" s="393"/>
      <c r="B116" s="502">
        <v>44743</v>
      </c>
      <c r="E116" s="503"/>
      <c r="F116" s="394"/>
      <c r="G116" s="179"/>
      <c r="H116" s="394"/>
      <c r="I116" s="498"/>
      <c r="J116" s="394"/>
      <c r="K116" s="492"/>
      <c r="L116" s="394"/>
      <c r="M116" s="394"/>
      <c r="N116" s="504"/>
      <c r="Q116" s="833"/>
      <c r="R116" s="396"/>
    </row>
    <row r="117" spans="1:18" s="395" customFormat="1" ht="16.5" customHeight="1" x14ac:dyDescent="0.25">
      <c r="A117" s="393" t="s">
        <v>863</v>
      </c>
      <c r="B117" s="395" t="s">
        <v>865</v>
      </c>
      <c r="C117" s="395">
        <v>11</v>
      </c>
      <c r="D117" s="395">
        <v>46</v>
      </c>
      <c r="E117" s="395" t="s">
        <v>963</v>
      </c>
      <c r="F117" s="394">
        <v>60</v>
      </c>
      <c r="G117" s="179">
        <v>952</v>
      </c>
      <c r="H117" s="394">
        <f t="shared" ref="H117:H119" si="28">+G117+440</f>
        <v>1392</v>
      </c>
      <c r="I117" s="394">
        <f t="shared" ref="I117:I119" si="29">+F117/G117*H117</f>
        <v>87.731092436974791</v>
      </c>
      <c r="J117" s="394">
        <f t="shared" ref="J117:J120" si="30">+F117+I117</f>
        <v>147.73109243697479</v>
      </c>
      <c r="K117" s="492">
        <v>0.3</v>
      </c>
      <c r="L117" s="394">
        <f t="shared" ref="L117:L119" si="31">+J117*K117+J117</f>
        <v>192.05042016806723</v>
      </c>
      <c r="M117" s="394">
        <v>200</v>
      </c>
      <c r="N117" s="504"/>
      <c r="O117" s="362"/>
      <c r="Q117" s="833"/>
      <c r="R117" s="396"/>
    </row>
    <row r="118" spans="1:18" s="395" customFormat="1" ht="16.5" customHeight="1" x14ac:dyDescent="0.25">
      <c r="A118" s="393" t="s">
        <v>863</v>
      </c>
      <c r="B118" s="395" t="s">
        <v>865</v>
      </c>
      <c r="C118" s="395">
        <v>12</v>
      </c>
      <c r="D118" s="395">
        <v>50</v>
      </c>
      <c r="E118" s="395" t="s">
        <v>963</v>
      </c>
      <c r="F118" s="394">
        <v>60</v>
      </c>
      <c r="G118" s="179">
        <v>952</v>
      </c>
      <c r="H118" s="394">
        <f t="shared" si="28"/>
        <v>1392</v>
      </c>
      <c r="I118" s="394">
        <f t="shared" si="29"/>
        <v>87.731092436974791</v>
      </c>
      <c r="J118" s="394">
        <f t="shared" si="30"/>
        <v>147.73109243697479</v>
      </c>
      <c r="K118" s="492">
        <v>0.3</v>
      </c>
      <c r="L118" s="394">
        <f t="shared" si="31"/>
        <v>192.05042016806723</v>
      </c>
      <c r="M118" s="394">
        <v>200</v>
      </c>
      <c r="N118" s="504"/>
      <c r="O118" s="362"/>
      <c r="Q118" s="833"/>
      <c r="R118" s="396"/>
    </row>
    <row r="119" spans="1:18" s="395" customFormat="1" ht="16.5" customHeight="1" x14ac:dyDescent="0.25">
      <c r="A119" s="393" t="s">
        <v>863</v>
      </c>
      <c r="B119" s="395" t="s">
        <v>865</v>
      </c>
      <c r="C119" s="395">
        <v>13</v>
      </c>
      <c r="D119" s="395">
        <v>48</v>
      </c>
      <c r="E119" s="395" t="s">
        <v>864</v>
      </c>
      <c r="F119" s="394">
        <v>60</v>
      </c>
      <c r="G119" s="179">
        <v>952</v>
      </c>
      <c r="H119" s="394">
        <f t="shared" si="28"/>
        <v>1392</v>
      </c>
      <c r="I119" s="394">
        <f t="shared" si="29"/>
        <v>87.731092436974791</v>
      </c>
      <c r="J119" s="394">
        <f t="shared" si="30"/>
        <v>147.73109243697479</v>
      </c>
      <c r="K119" s="492">
        <v>0.3</v>
      </c>
      <c r="L119" s="394">
        <f t="shared" si="31"/>
        <v>192.05042016806723</v>
      </c>
      <c r="M119" s="394">
        <v>200</v>
      </c>
      <c r="N119" s="504"/>
      <c r="O119" s="362"/>
      <c r="Q119" s="833"/>
      <c r="R119" s="396"/>
    </row>
    <row r="120" spans="1:18" s="395" customFormat="1" ht="16.5" customHeight="1" x14ac:dyDescent="0.25">
      <c r="A120" s="393"/>
      <c r="E120" s="393" t="s">
        <v>958</v>
      </c>
      <c r="F120" s="394"/>
      <c r="G120" s="179"/>
      <c r="H120" s="394"/>
      <c r="I120" s="394"/>
      <c r="J120" s="394">
        <f t="shared" si="30"/>
        <v>0</v>
      </c>
      <c r="L120" s="394"/>
      <c r="M120" s="394"/>
      <c r="N120" s="504"/>
      <c r="Q120" s="833"/>
      <c r="R120" s="396"/>
    </row>
    <row r="121" spans="1:18" s="395" customFormat="1" ht="16.5" customHeight="1" x14ac:dyDescent="0.25">
      <c r="A121" s="393" t="s">
        <v>881</v>
      </c>
      <c r="B121" s="395" t="s">
        <v>881</v>
      </c>
      <c r="C121" s="395">
        <v>14</v>
      </c>
      <c r="D121" s="395">
        <v>48</v>
      </c>
      <c r="E121" s="395" t="s">
        <v>882</v>
      </c>
      <c r="F121" s="394">
        <v>50</v>
      </c>
      <c r="G121" s="179">
        <v>6911</v>
      </c>
      <c r="H121" s="394">
        <v>4716</v>
      </c>
      <c r="I121" s="394">
        <f t="shared" ref="I121:I137" si="32">+F121/G121*H121</f>
        <v>34.119519606424539</v>
      </c>
      <c r="J121" s="394">
        <f t="shared" ref="J121:J137" si="33">+F121+I121</f>
        <v>84.119519606424547</v>
      </c>
      <c r="K121" s="492">
        <v>0.3</v>
      </c>
      <c r="L121" s="394">
        <f t="shared" ref="L121:L137" si="34">+J121*K121+J121</f>
        <v>109.35537548835191</v>
      </c>
      <c r="M121" s="394">
        <v>150</v>
      </c>
      <c r="N121" s="504"/>
      <c r="O121" s="362"/>
      <c r="Q121" s="833"/>
      <c r="R121" s="396"/>
    </row>
    <row r="122" spans="1:18" s="395" customFormat="1" ht="16.5" customHeight="1" x14ac:dyDescent="0.25">
      <c r="A122" s="393" t="s">
        <v>881</v>
      </c>
      <c r="B122" s="395" t="s">
        <v>881</v>
      </c>
      <c r="C122" s="395">
        <v>15</v>
      </c>
      <c r="D122" s="395">
        <v>50</v>
      </c>
      <c r="E122" s="395" t="s">
        <v>882</v>
      </c>
      <c r="F122" s="394">
        <v>50</v>
      </c>
      <c r="G122" s="179">
        <v>6911</v>
      </c>
      <c r="H122" s="394">
        <v>4716</v>
      </c>
      <c r="I122" s="394">
        <f t="shared" si="32"/>
        <v>34.119519606424539</v>
      </c>
      <c r="J122" s="394">
        <f t="shared" si="33"/>
        <v>84.119519606424547</v>
      </c>
      <c r="K122" s="492">
        <v>0.3</v>
      </c>
      <c r="L122" s="394">
        <f t="shared" si="34"/>
        <v>109.35537548835191</v>
      </c>
      <c r="M122" s="394">
        <v>150</v>
      </c>
      <c r="N122" s="504"/>
      <c r="O122" s="362"/>
      <c r="Q122" s="833"/>
      <c r="R122" s="396"/>
    </row>
    <row r="123" spans="1:18" s="395" customFormat="1" ht="16.5" customHeight="1" x14ac:dyDescent="0.25">
      <c r="A123" s="393" t="s">
        <v>881</v>
      </c>
      <c r="B123" s="395" t="s">
        <v>881</v>
      </c>
      <c r="C123" s="395">
        <v>16</v>
      </c>
      <c r="D123" s="395">
        <v>44</v>
      </c>
      <c r="E123" s="395" t="s">
        <v>883</v>
      </c>
      <c r="F123" s="394">
        <v>65</v>
      </c>
      <c r="G123" s="179">
        <v>6911</v>
      </c>
      <c r="H123" s="394">
        <v>4716</v>
      </c>
      <c r="I123" s="394">
        <f t="shared" si="32"/>
        <v>44.355375488351903</v>
      </c>
      <c r="J123" s="394">
        <f t="shared" si="33"/>
        <v>109.35537548835191</v>
      </c>
      <c r="K123" s="492">
        <v>0.3</v>
      </c>
      <c r="L123" s="394">
        <f t="shared" si="34"/>
        <v>142.16198813485749</v>
      </c>
      <c r="M123" s="394">
        <v>200</v>
      </c>
      <c r="N123" s="504"/>
      <c r="O123" s="362"/>
      <c r="Q123" s="833"/>
      <c r="R123" s="396"/>
    </row>
    <row r="124" spans="1:18" s="395" customFormat="1" ht="16.5" customHeight="1" x14ac:dyDescent="0.25">
      <c r="A124" s="393" t="s">
        <v>881</v>
      </c>
      <c r="B124" s="395" t="s">
        <v>881</v>
      </c>
      <c r="C124" s="395">
        <v>17</v>
      </c>
      <c r="D124" s="395">
        <v>46</v>
      </c>
      <c r="E124" s="395" t="s">
        <v>883</v>
      </c>
      <c r="F124" s="394">
        <v>65</v>
      </c>
      <c r="G124" s="179">
        <v>6911</v>
      </c>
      <c r="H124" s="394">
        <v>4716</v>
      </c>
      <c r="I124" s="394">
        <f t="shared" si="32"/>
        <v>44.355375488351903</v>
      </c>
      <c r="J124" s="394">
        <f t="shared" si="33"/>
        <v>109.35537548835191</v>
      </c>
      <c r="K124" s="492">
        <v>0.3</v>
      </c>
      <c r="L124" s="394">
        <f t="shared" si="34"/>
        <v>142.16198813485749</v>
      </c>
      <c r="M124" s="394">
        <v>200</v>
      </c>
      <c r="N124" s="504"/>
      <c r="O124" s="362"/>
      <c r="Q124" s="833"/>
      <c r="R124" s="396"/>
    </row>
    <row r="125" spans="1:18" s="395" customFormat="1" ht="16.5" customHeight="1" x14ac:dyDescent="0.25">
      <c r="A125" s="393" t="s">
        <v>881</v>
      </c>
      <c r="B125" s="395" t="s">
        <v>881</v>
      </c>
      <c r="C125" s="395">
        <v>18</v>
      </c>
      <c r="D125" s="395">
        <v>48</v>
      </c>
      <c r="E125" s="395" t="s">
        <v>883</v>
      </c>
      <c r="F125" s="394">
        <v>65</v>
      </c>
      <c r="G125" s="179">
        <v>6911</v>
      </c>
      <c r="H125" s="394">
        <v>4716</v>
      </c>
      <c r="I125" s="394">
        <f t="shared" si="32"/>
        <v>44.355375488351903</v>
      </c>
      <c r="J125" s="394">
        <f t="shared" si="33"/>
        <v>109.35537548835191</v>
      </c>
      <c r="K125" s="492">
        <v>0.3</v>
      </c>
      <c r="L125" s="394">
        <f t="shared" si="34"/>
        <v>142.16198813485749</v>
      </c>
      <c r="M125" s="394">
        <v>200</v>
      </c>
      <c r="N125" s="504"/>
      <c r="O125" s="362"/>
      <c r="Q125" s="833"/>
      <c r="R125" s="396"/>
    </row>
    <row r="126" spans="1:18" s="395" customFormat="1" ht="16.5" customHeight="1" x14ac:dyDescent="0.25">
      <c r="A126" s="393" t="s">
        <v>881</v>
      </c>
      <c r="B126" s="395" t="s">
        <v>881</v>
      </c>
      <c r="C126" s="395">
        <v>19</v>
      </c>
      <c r="D126" s="395">
        <v>50</v>
      </c>
      <c r="E126" s="395" t="s">
        <v>883</v>
      </c>
      <c r="F126" s="394">
        <v>65</v>
      </c>
      <c r="G126" s="179">
        <v>6911</v>
      </c>
      <c r="H126" s="394">
        <v>4716</v>
      </c>
      <c r="I126" s="394">
        <f t="shared" si="32"/>
        <v>44.355375488351903</v>
      </c>
      <c r="J126" s="394">
        <f t="shared" si="33"/>
        <v>109.35537548835191</v>
      </c>
      <c r="K126" s="492">
        <v>0.3</v>
      </c>
      <c r="L126" s="394">
        <f t="shared" si="34"/>
        <v>142.16198813485749</v>
      </c>
      <c r="M126" s="394">
        <v>200</v>
      </c>
      <c r="N126" s="504"/>
      <c r="O126" s="362"/>
      <c r="Q126" s="833"/>
      <c r="R126" s="396"/>
    </row>
    <row r="127" spans="1:18" s="395" customFormat="1" ht="16.5" customHeight="1" x14ac:dyDescent="0.25">
      <c r="A127" s="393" t="s">
        <v>679</v>
      </c>
      <c r="B127" s="395" t="s">
        <v>679</v>
      </c>
      <c r="C127" s="395">
        <v>20</v>
      </c>
      <c r="D127" s="395">
        <v>42</v>
      </c>
      <c r="E127" s="395" t="s">
        <v>895</v>
      </c>
      <c r="F127" s="394">
        <v>40</v>
      </c>
      <c r="G127" s="179">
        <v>6911</v>
      </c>
      <c r="H127" s="394">
        <v>4716</v>
      </c>
      <c r="I127" s="394">
        <f t="shared" si="32"/>
        <v>27.295615685139634</v>
      </c>
      <c r="J127" s="394">
        <f t="shared" si="33"/>
        <v>67.295615685139637</v>
      </c>
      <c r="K127" s="492">
        <v>0.3</v>
      </c>
      <c r="L127" s="394">
        <f t="shared" si="34"/>
        <v>87.484300390681526</v>
      </c>
      <c r="M127" s="394">
        <v>150</v>
      </c>
      <c r="N127" s="504"/>
      <c r="O127" s="362"/>
      <c r="Q127" s="833"/>
      <c r="R127" s="396"/>
    </row>
    <row r="128" spans="1:18" s="395" customFormat="1" ht="16.5" customHeight="1" x14ac:dyDescent="0.25">
      <c r="A128" s="393" t="s">
        <v>679</v>
      </c>
      <c r="B128" s="395" t="s">
        <v>679</v>
      </c>
      <c r="C128" s="395">
        <v>21</v>
      </c>
      <c r="D128" s="395">
        <v>46</v>
      </c>
      <c r="E128" s="395" t="s">
        <v>895</v>
      </c>
      <c r="F128" s="394">
        <v>40</v>
      </c>
      <c r="G128" s="179">
        <v>6911</v>
      </c>
      <c r="H128" s="394">
        <v>4716</v>
      </c>
      <c r="I128" s="394">
        <f t="shared" si="32"/>
        <v>27.295615685139634</v>
      </c>
      <c r="J128" s="394">
        <f t="shared" si="33"/>
        <v>67.295615685139637</v>
      </c>
      <c r="K128" s="492">
        <v>0.3</v>
      </c>
      <c r="L128" s="394">
        <f t="shared" si="34"/>
        <v>87.484300390681526</v>
      </c>
      <c r="M128" s="394">
        <v>150</v>
      </c>
      <c r="N128" s="504"/>
      <c r="O128" s="362"/>
      <c r="Q128" s="833"/>
      <c r="R128" s="396"/>
    </row>
    <row r="129" spans="1:20" s="395" customFormat="1" ht="16.5" customHeight="1" x14ac:dyDescent="0.25">
      <c r="A129" s="393" t="s">
        <v>896</v>
      </c>
      <c r="B129" s="395" t="s">
        <v>896</v>
      </c>
      <c r="C129" s="395">
        <v>22</v>
      </c>
      <c r="D129" s="395">
        <v>58</v>
      </c>
      <c r="E129" s="317" t="s">
        <v>964</v>
      </c>
      <c r="F129" s="493">
        <v>50</v>
      </c>
      <c r="G129" s="509">
        <v>6911</v>
      </c>
      <c r="H129" s="493">
        <v>4716</v>
      </c>
      <c r="I129" s="493">
        <f t="shared" si="32"/>
        <v>34.119519606424539</v>
      </c>
      <c r="J129" s="493">
        <f t="shared" si="33"/>
        <v>84.119519606424547</v>
      </c>
      <c r="K129" s="692">
        <v>0.3</v>
      </c>
      <c r="L129" s="493">
        <f t="shared" si="34"/>
        <v>109.35537548835191</v>
      </c>
      <c r="M129" s="493">
        <v>180</v>
      </c>
      <c r="N129" s="504"/>
      <c r="O129" s="362"/>
      <c r="P129" s="395" t="s">
        <v>12</v>
      </c>
      <c r="Q129" s="833">
        <v>45297</v>
      </c>
      <c r="R129" s="396">
        <f>+M129*10000</f>
        <v>1800000</v>
      </c>
    </row>
    <row r="130" spans="1:20" s="395" customFormat="1" ht="16.5" customHeight="1" x14ac:dyDescent="0.25">
      <c r="A130" s="393" t="s">
        <v>896</v>
      </c>
      <c r="B130" s="395" t="s">
        <v>896</v>
      </c>
      <c r="C130" s="395">
        <v>23</v>
      </c>
      <c r="D130" s="395">
        <v>60</v>
      </c>
      <c r="E130" s="395" t="s">
        <v>897</v>
      </c>
      <c r="F130" s="394">
        <v>50</v>
      </c>
      <c r="G130" s="179">
        <v>6911</v>
      </c>
      <c r="H130" s="394">
        <v>4716</v>
      </c>
      <c r="I130" s="394">
        <f t="shared" si="32"/>
        <v>34.119519606424539</v>
      </c>
      <c r="J130" s="394">
        <f t="shared" si="33"/>
        <v>84.119519606424547</v>
      </c>
      <c r="K130" s="492">
        <v>0.3</v>
      </c>
      <c r="L130" s="394">
        <f t="shared" si="34"/>
        <v>109.35537548835191</v>
      </c>
      <c r="M130" s="394">
        <v>180</v>
      </c>
      <c r="N130" s="504"/>
      <c r="O130" s="362"/>
      <c r="Q130" s="833"/>
      <c r="R130" s="396"/>
    </row>
    <row r="131" spans="1:20" s="395" customFormat="1" ht="16.5" customHeight="1" x14ac:dyDescent="0.25">
      <c r="A131" s="393" t="s">
        <v>898</v>
      </c>
      <c r="B131" s="395" t="s">
        <v>898</v>
      </c>
      <c r="C131" s="395">
        <v>24</v>
      </c>
      <c r="D131" s="395">
        <v>56</v>
      </c>
      <c r="E131" s="395" t="s">
        <v>899</v>
      </c>
      <c r="F131" s="394">
        <v>70</v>
      </c>
      <c r="G131" s="179">
        <v>6911</v>
      </c>
      <c r="H131" s="394">
        <v>4716</v>
      </c>
      <c r="I131" s="394">
        <f t="shared" si="32"/>
        <v>47.767327448994358</v>
      </c>
      <c r="J131" s="394">
        <f t="shared" si="33"/>
        <v>117.76732744899437</v>
      </c>
      <c r="K131" s="492">
        <v>0.3</v>
      </c>
      <c r="L131" s="394">
        <f t="shared" si="34"/>
        <v>153.09752568369268</v>
      </c>
      <c r="M131" s="394">
        <v>180</v>
      </c>
      <c r="N131" s="504"/>
      <c r="O131" s="362"/>
      <c r="Q131" s="833"/>
      <c r="R131" s="396"/>
    </row>
    <row r="132" spans="1:20" s="395" customFormat="1" ht="16.5" customHeight="1" x14ac:dyDescent="0.25">
      <c r="A132" s="393" t="s">
        <v>898</v>
      </c>
      <c r="B132" s="395" t="s">
        <v>898</v>
      </c>
      <c r="C132" s="395">
        <v>25</v>
      </c>
      <c r="D132" s="395">
        <v>52</v>
      </c>
      <c r="E132" s="395" t="s">
        <v>1701</v>
      </c>
      <c r="F132" s="394">
        <v>70</v>
      </c>
      <c r="G132" s="179">
        <v>6911</v>
      </c>
      <c r="H132" s="394">
        <v>4716</v>
      </c>
      <c r="I132" s="394">
        <f t="shared" si="32"/>
        <v>47.767327448994358</v>
      </c>
      <c r="J132" s="394">
        <f t="shared" si="33"/>
        <v>117.76732744899437</v>
      </c>
      <c r="K132" s="492">
        <v>0.3</v>
      </c>
      <c r="L132" s="394">
        <f t="shared" si="34"/>
        <v>153.09752568369268</v>
      </c>
      <c r="M132" s="394">
        <v>180</v>
      </c>
      <c r="N132" s="504"/>
      <c r="O132" s="362"/>
      <c r="Q132" s="833"/>
      <c r="R132" s="396"/>
    </row>
    <row r="133" spans="1:20" s="395" customFormat="1" ht="15.75" x14ac:dyDescent="0.25">
      <c r="A133" s="393" t="s">
        <v>898</v>
      </c>
      <c r="B133" s="395" t="s">
        <v>898</v>
      </c>
      <c r="C133" s="395">
        <v>26</v>
      </c>
      <c r="D133" s="395">
        <v>54</v>
      </c>
      <c r="E133" s="395" t="s">
        <v>1701</v>
      </c>
      <c r="F133" s="394">
        <v>70</v>
      </c>
      <c r="G133" s="179">
        <v>6911</v>
      </c>
      <c r="H133" s="394">
        <v>4716</v>
      </c>
      <c r="I133" s="394">
        <f t="shared" si="32"/>
        <v>47.767327448994358</v>
      </c>
      <c r="J133" s="394">
        <f t="shared" si="33"/>
        <v>117.76732744899437</v>
      </c>
      <c r="K133" s="492">
        <v>0.3</v>
      </c>
      <c r="L133" s="394">
        <f t="shared" si="34"/>
        <v>153.09752568369268</v>
      </c>
      <c r="M133" s="394">
        <v>180</v>
      </c>
      <c r="N133" s="504"/>
      <c r="O133" s="362"/>
      <c r="Q133" s="833"/>
      <c r="R133" s="396"/>
    </row>
    <row r="134" spans="1:20" s="169" customFormat="1" ht="15.75" x14ac:dyDescent="0.25">
      <c r="A134" s="393" t="s">
        <v>679</v>
      </c>
      <c r="B134" s="395" t="s">
        <v>679</v>
      </c>
      <c r="C134" s="395">
        <v>27</v>
      </c>
      <c r="D134" s="395">
        <v>42</v>
      </c>
      <c r="E134" s="395" t="s">
        <v>919</v>
      </c>
      <c r="F134" s="394">
        <v>50</v>
      </c>
      <c r="G134" s="179">
        <v>6911</v>
      </c>
      <c r="H134" s="394">
        <v>4716</v>
      </c>
      <c r="I134" s="394">
        <f t="shared" si="32"/>
        <v>34.119519606424539</v>
      </c>
      <c r="J134" s="394">
        <f t="shared" si="33"/>
        <v>84.119519606424547</v>
      </c>
      <c r="K134" s="492">
        <v>0.3</v>
      </c>
      <c r="L134" s="394">
        <f t="shared" si="34"/>
        <v>109.35537548835191</v>
      </c>
      <c r="M134" s="394">
        <v>180</v>
      </c>
      <c r="N134" s="504"/>
      <c r="O134" s="362"/>
      <c r="P134" s="395"/>
      <c r="Q134" s="833"/>
      <c r="R134" s="396"/>
      <c r="S134" s="395"/>
      <c r="T134" s="395"/>
    </row>
    <row r="135" spans="1:20" s="169" customFormat="1" ht="15.75" x14ac:dyDescent="0.25">
      <c r="A135" s="393" t="s">
        <v>679</v>
      </c>
      <c r="B135" s="395" t="s">
        <v>679</v>
      </c>
      <c r="C135" s="395">
        <v>28</v>
      </c>
      <c r="D135" s="395">
        <v>44</v>
      </c>
      <c r="E135" s="395" t="s">
        <v>919</v>
      </c>
      <c r="F135" s="394">
        <v>50</v>
      </c>
      <c r="G135" s="179">
        <v>6911</v>
      </c>
      <c r="H135" s="394">
        <v>4716</v>
      </c>
      <c r="I135" s="394">
        <f t="shared" si="32"/>
        <v>34.119519606424539</v>
      </c>
      <c r="J135" s="394">
        <f t="shared" si="33"/>
        <v>84.119519606424547</v>
      </c>
      <c r="K135" s="492">
        <v>0.3</v>
      </c>
      <c r="L135" s="394">
        <f t="shared" si="34"/>
        <v>109.35537548835191</v>
      </c>
      <c r="M135" s="394">
        <v>180</v>
      </c>
      <c r="N135" s="504"/>
      <c r="O135" s="362"/>
      <c r="P135" s="395"/>
      <c r="Q135" s="833"/>
      <c r="R135" s="396"/>
      <c r="S135" s="395"/>
      <c r="T135" s="395"/>
    </row>
    <row r="136" spans="1:20" s="169" customFormat="1" ht="15.75" x14ac:dyDescent="0.25">
      <c r="A136" s="393" t="s">
        <v>679</v>
      </c>
      <c r="B136" s="395" t="s">
        <v>679</v>
      </c>
      <c r="C136" s="395">
        <v>29</v>
      </c>
      <c r="D136" s="395">
        <v>46</v>
      </c>
      <c r="E136" s="395" t="s">
        <v>919</v>
      </c>
      <c r="F136" s="394">
        <v>50</v>
      </c>
      <c r="G136" s="179">
        <v>6911</v>
      </c>
      <c r="H136" s="394">
        <v>4716</v>
      </c>
      <c r="I136" s="394">
        <f t="shared" si="32"/>
        <v>34.119519606424539</v>
      </c>
      <c r="J136" s="394">
        <f t="shared" si="33"/>
        <v>84.119519606424547</v>
      </c>
      <c r="K136" s="492">
        <v>0.3</v>
      </c>
      <c r="L136" s="394">
        <f t="shared" si="34"/>
        <v>109.35537548835191</v>
      </c>
      <c r="M136" s="394">
        <v>180</v>
      </c>
      <c r="N136" s="504"/>
      <c r="O136" s="362"/>
      <c r="P136" s="395"/>
      <c r="Q136" s="833"/>
      <c r="R136" s="396"/>
      <c r="S136" s="395"/>
      <c r="T136" s="395"/>
    </row>
    <row r="137" spans="1:20" s="169" customFormat="1" ht="15.75" x14ac:dyDescent="0.25">
      <c r="A137" s="393" t="s">
        <v>679</v>
      </c>
      <c r="B137" s="395" t="s">
        <v>679</v>
      </c>
      <c r="C137" s="395">
        <v>30</v>
      </c>
      <c r="D137" s="395">
        <v>48</v>
      </c>
      <c r="E137" s="395" t="s">
        <v>919</v>
      </c>
      <c r="F137" s="394">
        <v>50</v>
      </c>
      <c r="G137" s="179">
        <v>6911</v>
      </c>
      <c r="H137" s="394">
        <v>4716</v>
      </c>
      <c r="I137" s="394">
        <f t="shared" si="32"/>
        <v>34.119519606424539</v>
      </c>
      <c r="J137" s="394">
        <f t="shared" si="33"/>
        <v>84.119519606424547</v>
      </c>
      <c r="K137" s="492">
        <v>0.3</v>
      </c>
      <c r="L137" s="394">
        <f t="shared" si="34"/>
        <v>109.35537548835191</v>
      </c>
      <c r="M137" s="394">
        <v>180</v>
      </c>
      <c r="N137" s="504"/>
      <c r="O137" s="362"/>
      <c r="P137" s="395"/>
      <c r="Q137" s="833"/>
      <c r="R137" s="396"/>
      <c r="S137" s="395"/>
      <c r="T137" s="395"/>
    </row>
    <row r="138" spans="1:20" s="178" customFormat="1" ht="15.75" x14ac:dyDescent="0.25">
      <c r="A138" s="169"/>
      <c r="B138" s="169"/>
      <c r="C138" s="169"/>
      <c r="D138" s="169"/>
      <c r="E138" s="158" t="s">
        <v>1001</v>
      </c>
      <c r="F138" s="180"/>
      <c r="G138" s="499"/>
      <c r="H138" s="180"/>
      <c r="I138" s="180"/>
      <c r="J138" s="180"/>
      <c r="K138" s="345"/>
      <c r="L138" s="180"/>
      <c r="M138" s="170"/>
      <c r="N138" s="532"/>
      <c r="O138" s="169"/>
      <c r="P138" s="169"/>
      <c r="Q138" s="838"/>
      <c r="R138" s="580"/>
      <c r="S138" s="169"/>
      <c r="T138" s="169"/>
    </row>
    <row r="139" spans="1:20" s="178" customFormat="1" ht="15.75" x14ac:dyDescent="0.25">
      <c r="A139" s="169"/>
      <c r="B139" s="169" t="s">
        <v>1012</v>
      </c>
      <c r="C139" s="169">
        <v>31</v>
      </c>
      <c r="D139" s="169">
        <v>46</v>
      </c>
      <c r="E139" s="169" t="s">
        <v>1013</v>
      </c>
      <c r="F139" s="180">
        <v>55</v>
      </c>
      <c r="G139" s="499">
        <v>4607</v>
      </c>
      <c r="H139" s="180">
        <f>7503-G139</f>
        <v>2896</v>
      </c>
      <c r="I139" s="180">
        <f>+F139/G139*H139</f>
        <v>34.573475146516174</v>
      </c>
      <c r="J139" s="180">
        <f>+F139+I139</f>
        <v>89.573475146516174</v>
      </c>
      <c r="K139" s="345">
        <v>0.3</v>
      </c>
      <c r="L139" s="180">
        <f>+J139*K139+J139</f>
        <v>116.44551769047102</v>
      </c>
      <c r="M139" s="170">
        <v>180</v>
      </c>
      <c r="N139" s="532"/>
      <c r="O139" s="361"/>
      <c r="P139" s="169"/>
      <c r="Q139" s="838"/>
      <c r="R139" s="580"/>
      <c r="S139" s="169"/>
      <c r="T139" s="169"/>
    </row>
    <row r="140" spans="1:20" s="12" customFormat="1" ht="15" customHeight="1" x14ac:dyDescent="0.25">
      <c r="A140" s="169"/>
      <c r="B140" s="169" t="s">
        <v>1012</v>
      </c>
      <c r="C140" s="169">
        <v>32</v>
      </c>
      <c r="D140" s="169">
        <v>48</v>
      </c>
      <c r="E140" s="169" t="s">
        <v>1013</v>
      </c>
      <c r="F140" s="180">
        <v>55</v>
      </c>
      <c r="G140" s="499">
        <v>4607</v>
      </c>
      <c r="H140" s="180">
        <f>7503-G140</f>
        <v>2896</v>
      </c>
      <c r="I140" s="180">
        <f>+F140/G140*H140</f>
        <v>34.573475146516174</v>
      </c>
      <c r="J140" s="180">
        <f>+F140+I140</f>
        <v>89.573475146516174</v>
      </c>
      <c r="K140" s="345">
        <v>0.3</v>
      </c>
      <c r="L140" s="180">
        <f>+J140*K140+J140</f>
        <v>116.44551769047102</v>
      </c>
      <c r="M140" s="170">
        <v>180</v>
      </c>
      <c r="N140" s="532"/>
      <c r="O140" s="361"/>
      <c r="P140" s="169"/>
      <c r="Q140" s="838"/>
      <c r="R140" s="580"/>
      <c r="S140" s="169"/>
      <c r="T140" s="169"/>
    </row>
    <row r="141" spans="1:20" s="12" customFormat="1" ht="15" customHeight="1" x14ac:dyDescent="0.25">
      <c r="A141" s="319"/>
      <c r="B141" s="319"/>
      <c r="C141" s="318"/>
      <c r="D141" s="178"/>
      <c r="E141" s="225" t="s">
        <v>1361</v>
      </c>
      <c r="F141" s="337"/>
      <c r="G141" s="226"/>
      <c r="H141" s="227"/>
      <c r="I141" s="226"/>
      <c r="J141" s="174"/>
      <c r="K141" s="174"/>
      <c r="L141" s="316"/>
      <c r="M141" s="174"/>
      <c r="N141" s="663"/>
      <c r="O141" s="178"/>
      <c r="P141" s="395"/>
      <c r="Q141" s="833"/>
      <c r="R141" s="914"/>
      <c r="S141" s="178"/>
      <c r="T141" s="178"/>
    </row>
    <row r="142" spans="1:20" s="12" customFormat="1" ht="15" customHeight="1" x14ac:dyDescent="0.25">
      <c r="A142" s="319" t="s">
        <v>679</v>
      </c>
      <c r="B142" s="319" t="s">
        <v>679</v>
      </c>
      <c r="C142" s="169">
        <v>33</v>
      </c>
      <c r="D142" s="178">
        <v>42</v>
      </c>
      <c r="E142" s="337" t="s">
        <v>1275</v>
      </c>
      <c r="F142" s="226">
        <v>80</v>
      </c>
      <c r="G142" s="227">
        <v>9682</v>
      </c>
      <c r="H142" s="226">
        <v>7766</v>
      </c>
      <c r="I142" s="174">
        <f>+F142/G142*H142</f>
        <v>64.168560214831643</v>
      </c>
      <c r="J142" s="174">
        <f>+F142+I142</f>
        <v>144.16856021483164</v>
      </c>
      <c r="K142" s="316">
        <v>0.4</v>
      </c>
      <c r="L142" s="174">
        <f>+J142*1.4</f>
        <v>201.8359843007643</v>
      </c>
      <c r="M142" s="175">
        <v>200</v>
      </c>
      <c r="N142" s="633"/>
      <c r="O142" s="362"/>
      <c r="P142" s="395"/>
      <c r="Q142" s="836"/>
      <c r="R142" s="914"/>
      <c r="S142" s="178"/>
      <c r="T142" s="178"/>
    </row>
    <row r="143" spans="1:20" ht="15" hidden="1" customHeight="1" outlineLevel="1" x14ac:dyDescent="0.25">
      <c r="A143" s="319" t="s">
        <v>679</v>
      </c>
      <c r="B143" s="319" t="s">
        <v>679</v>
      </c>
      <c r="C143" s="169">
        <v>34</v>
      </c>
      <c r="D143" s="178">
        <v>46</v>
      </c>
      <c r="E143" s="704" t="s">
        <v>1275</v>
      </c>
      <c r="F143" s="232">
        <v>80</v>
      </c>
      <c r="G143" s="305">
        <v>9682</v>
      </c>
      <c r="H143" s="232">
        <v>7766</v>
      </c>
      <c r="I143" s="611">
        <f t="shared" ref="I143:I145" si="35">+F143/G143*H143</f>
        <v>64.168560214831643</v>
      </c>
      <c r="J143" s="611">
        <f t="shared" ref="J143:J145" si="36">+F143+I143</f>
        <v>144.16856021483164</v>
      </c>
      <c r="K143" s="612">
        <v>0.4</v>
      </c>
      <c r="L143" s="611">
        <f t="shared" ref="L143:L145" si="37">+J143*1.4</f>
        <v>201.8359843007643</v>
      </c>
      <c r="M143" s="698">
        <v>200</v>
      </c>
      <c r="N143" s="633"/>
      <c r="O143" s="362"/>
      <c r="P143" s="395" t="s">
        <v>3014</v>
      </c>
      <c r="Q143" s="836">
        <v>45364</v>
      </c>
      <c r="R143" s="914">
        <f>+M143*18000</f>
        <v>3600000</v>
      </c>
      <c r="S143" s="178"/>
      <c r="T143" s="178"/>
    </row>
    <row r="144" spans="1:20" ht="15" hidden="1" customHeight="1" outlineLevel="1" x14ac:dyDescent="0.25">
      <c r="A144" s="319" t="s">
        <v>679</v>
      </c>
      <c r="B144" s="319" t="s">
        <v>679</v>
      </c>
      <c r="C144" s="169">
        <v>35</v>
      </c>
      <c r="D144" s="178">
        <v>48</v>
      </c>
      <c r="E144" s="704" t="s">
        <v>1276</v>
      </c>
      <c r="F144" s="232">
        <v>80</v>
      </c>
      <c r="G144" s="305">
        <v>9682</v>
      </c>
      <c r="H144" s="232">
        <v>7766</v>
      </c>
      <c r="I144" s="611">
        <f t="shared" si="35"/>
        <v>64.168560214831643</v>
      </c>
      <c r="J144" s="611">
        <f t="shared" si="36"/>
        <v>144.16856021483164</v>
      </c>
      <c r="K144" s="612">
        <v>0.4</v>
      </c>
      <c r="L144" s="611">
        <f t="shared" si="37"/>
        <v>201.8359843007643</v>
      </c>
      <c r="M144" s="698">
        <v>200</v>
      </c>
      <c r="N144" s="633"/>
      <c r="O144" s="362"/>
      <c r="P144" s="395" t="s">
        <v>12</v>
      </c>
      <c r="Q144" s="836">
        <v>45497</v>
      </c>
      <c r="R144" s="914"/>
      <c r="S144" s="178"/>
      <c r="T144" s="178"/>
    </row>
    <row r="145" spans="1:18" ht="15" customHeight="1" outlineLevel="1" x14ac:dyDescent="0.25">
      <c r="A145" s="319" t="s">
        <v>679</v>
      </c>
      <c r="B145" s="319" t="s">
        <v>679</v>
      </c>
      <c r="C145" s="169">
        <v>36</v>
      </c>
      <c r="D145" s="178">
        <v>48</v>
      </c>
      <c r="E145" s="337" t="s">
        <v>3013</v>
      </c>
      <c r="F145" s="226">
        <v>80</v>
      </c>
      <c r="G145" s="227">
        <v>9682</v>
      </c>
      <c r="H145" s="226">
        <v>7766</v>
      </c>
      <c r="I145" s="174">
        <f t="shared" si="35"/>
        <v>64.168560214831643</v>
      </c>
      <c r="J145" s="174">
        <f t="shared" si="36"/>
        <v>144.16856021483164</v>
      </c>
      <c r="K145" s="316">
        <v>0.4</v>
      </c>
      <c r="L145" s="174">
        <f t="shared" si="37"/>
        <v>201.8359843007643</v>
      </c>
      <c r="M145" s="175">
        <v>200</v>
      </c>
      <c r="N145" s="633"/>
      <c r="O145" s="362"/>
      <c r="P145" s="231" t="s">
        <v>1372</v>
      </c>
      <c r="Q145" s="836">
        <v>45076</v>
      </c>
      <c r="R145" s="914">
        <f>+M145*2000</f>
        <v>400000</v>
      </c>
    </row>
    <row r="146" spans="1:18" s="225" customFormat="1" x14ac:dyDescent="0.25">
      <c r="B146" s="318" t="s">
        <v>1490</v>
      </c>
      <c r="C146" s="318"/>
      <c r="G146" s="175"/>
      <c r="I146" s="175"/>
      <c r="J146" s="175"/>
      <c r="K146" s="175"/>
      <c r="L146" s="624"/>
      <c r="M146" s="175"/>
      <c r="N146" s="633"/>
      <c r="Q146" s="839"/>
      <c r="R146" s="916"/>
    </row>
    <row r="147" spans="1:18" s="178" customFormat="1" ht="15.75" x14ac:dyDescent="0.25">
      <c r="B147" s="319" t="s">
        <v>679</v>
      </c>
      <c r="C147" s="169">
        <v>37</v>
      </c>
      <c r="D147" s="178">
        <v>44</v>
      </c>
      <c r="E147" s="214" t="s">
        <v>1489</v>
      </c>
      <c r="F147" s="174">
        <v>55</v>
      </c>
      <c r="G147" s="178">
        <v>440</v>
      </c>
      <c r="H147" s="226">
        <f>198+20</f>
        <v>218</v>
      </c>
      <c r="I147" s="338">
        <f t="shared" ref="I147:I148" si="38">+F147/G147*H147</f>
        <v>27.25</v>
      </c>
      <c r="J147" s="614">
        <f t="shared" ref="J147:J148" si="39">+F147+I147</f>
        <v>82.25</v>
      </c>
      <c r="K147" s="316">
        <v>0.4</v>
      </c>
      <c r="L147" s="174">
        <f t="shared" ref="L147:L148" si="40">+J147*1.4</f>
        <v>115.14999999999999</v>
      </c>
      <c r="M147" s="226">
        <v>150</v>
      </c>
      <c r="N147" s="631"/>
      <c r="O147" s="590"/>
      <c r="Q147" s="836"/>
      <c r="R147" s="914"/>
    </row>
    <row r="148" spans="1:18" s="178" customFormat="1" ht="15.75" x14ac:dyDescent="0.25">
      <c r="B148" s="319" t="s">
        <v>679</v>
      </c>
      <c r="C148" s="169">
        <v>38</v>
      </c>
      <c r="D148" s="178">
        <v>46</v>
      </c>
      <c r="E148" s="214" t="s">
        <v>1489</v>
      </c>
      <c r="F148" s="174">
        <v>55</v>
      </c>
      <c r="G148" s="178">
        <v>440</v>
      </c>
      <c r="H148" s="226">
        <f t="shared" ref="H148" si="41">198+20</f>
        <v>218</v>
      </c>
      <c r="I148" s="338">
        <f t="shared" si="38"/>
        <v>27.25</v>
      </c>
      <c r="J148" s="614">
        <f t="shared" si="39"/>
        <v>82.25</v>
      </c>
      <c r="K148" s="316">
        <v>0.4</v>
      </c>
      <c r="L148" s="174">
        <f t="shared" si="40"/>
        <v>115.14999999999999</v>
      </c>
      <c r="M148" s="226">
        <v>150</v>
      </c>
      <c r="N148" s="631"/>
      <c r="O148" s="590"/>
      <c r="Q148" s="836"/>
      <c r="R148" s="914"/>
    </row>
    <row r="149" spans="1:18" s="178" customFormat="1" x14ac:dyDescent="0.25">
      <c r="B149" s="318" t="s">
        <v>1623</v>
      </c>
      <c r="E149" s="379" t="s">
        <v>1274</v>
      </c>
      <c r="F149" s="175"/>
      <c r="G149" s="227">
        <v>5278</v>
      </c>
      <c r="H149" s="226"/>
      <c r="I149" s="174"/>
      <c r="J149" s="174"/>
      <c r="K149" s="316"/>
      <c r="L149" s="174"/>
      <c r="M149" s="226"/>
      <c r="N149" s="631"/>
      <c r="Q149" s="836"/>
      <c r="R149" s="914"/>
    </row>
    <row r="150" spans="1:18" s="178" customFormat="1" ht="15.75" x14ac:dyDescent="0.25">
      <c r="A150" s="178" t="s">
        <v>679</v>
      </c>
      <c r="B150" s="178" t="s">
        <v>679</v>
      </c>
      <c r="C150" s="169">
        <v>39</v>
      </c>
      <c r="D150" s="178">
        <v>44</v>
      </c>
      <c r="E150" s="347" t="s">
        <v>764</v>
      </c>
      <c r="F150" s="175">
        <v>55</v>
      </c>
      <c r="G150" s="227">
        <v>5278</v>
      </c>
      <c r="H150" s="226">
        <v>7702</v>
      </c>
      <c r="I150" s="338">
        <f t="shared" ref="I150:I155" si="42">+F150/G150*H150</f>
        <v>80.259568018188716</v>
      </c>
      <c r="J150" s="614">
        <f t="shared" ref="J150:J155" si="43">+F150+I150</f>
        <v>135.2595680181887</v>
      </c>
      <c r="K150" s="316">
        <v>0.4</v>
      </c>
      <c r="L150" s="174">
        <f t="shared" ref="L150:L155" si="44">+J150*1.4</f>
        <v>189.36339522546416</v>
      </c>
      <c r="M150" s="226">
        <v>150</v>
      </c>
      <c r="N150" s="631"/>
      <c r="O150" s="590"/>
      <c r="Q150" s="836"/>
      <c r="R150" s="914"/>
    </row>
    <row r="151" spans="1:18" s="178" customFormat="1" ht="15.75" x14ac:dyDescent="0.25">
      <c r="A151" s="178" t="s">
        <v>679</v>
      </c>
      <c r="B151" s="178" t="s">
        <v>679</v>
      </c>
      <c r="C151" s="169">
        <v>40</v>
      </c>
      <c r="D151" s="178">
        <v>46</v>
      </c>
      <c r="E151" s="347" t="s">
        <v>764</v>
      </c>
      <c r="F151" s="175">
        <v>55</v>
      </c>
      <c r="G151" s="227">
        <v>5278</v>
      </c>
      <c r="H151" s="226">
        <v>7702</v>
      </c>
      <c r="I151" s="338">
        <f t="shared" si="42"/>
        <v>80.259568018188716</v>
      </c>
      <c r="J151" s="614">
        <f t="shared" si="43"/>
        <v>135.2595680181887</v>
      </c>
      <c r="K151" s="316">
        <v>0.4</v>
      </c>
      <c r="L151" s="174">
        <f t="shared" si="44"/>
        <v>189.36339522546416</v>
      </c>
      <c r="M151" s="226">
        <v>150</v>
      </c>
      <c r="N151" s="631"/>
      <c r="O151" s="590"/>
      <c r="Q151" s="836"/>
      <c r="R151" s="914"/>
    </row>
    <row r="152" spans="1:18" s="178" customFormat="1" ht="15.75" x14ac:dyDescent="0.25">
      <c r="A152" s="178" t="s">
        <v>679</v>
      </c>
      <c r="B152" s="178" t="s">
        <v>679</v>
      </c>
      <c r="C152" s="169">
        <v>41</v>
      </c>
      <c r="D152" s="178">
        <v>46</v>
      </c>
      <c r="E152" s="347" t="s">
        <v>1540</v>
      </c>
      <c r="F152" s="175">
        <v>55</v>
      </c>
      <c r="G152" s="227">
        <v>5278</v>
      </c>
      <c r="H152" s="226">
        <v>7702</v>
      </c>
      <c r="I152" s="338">
        <f t="shared" si="42"/>
        <v>80.259568018188716</v>
      </c>
      <c r="J152" s="614">
        <f t="shared" si="43"/>
        <v>135.2595680181887</v>
      </c>
      <c r="K152" s="316">
        <v>0.4</v>
      </c>
      <c r="L152" s="174">
        <f t="shared" si="44"/>
        <v>189.36339522546416</v>
      </c>
      <c r="M152" s="226">
        <v>150</v>
      </c>
      <c r="N152" s="631"/>
      <c r="O152" s="590"/>
      <c r="Q152" s="836"/>
      <c r="R152" s="914"/>
    </row>
    <row r="153" spans="1:18" s="178" customFormat="1" ht="15.75" x14ac:dyDescent="0.25">
      <c r="A153" s="178" t="s">
        <v>679</v>
      </c>
      <c r="B153" s="178" t="s">
        <v>679</v>
      </c>
      <c r="C153" s="169">
        <v>42</v>
      </c>
      <c r="D153" s="178">
        <v>48</v>
      </c>
      <c r="E153" s="347" t="s">
        <v>1540</v>
      </c>
      <c r="F153" s="175">
        <v>55</v>
      </c>
      <c r="G153" s="227">
        <v>5278</v>
      </c>
      <c r="H153" s="226">
        <v>7702</v>
      </c>
      <c r="I153" s="338">
        <f t="shared" si="42"/>
        <v>80.259568018188716</v>
      </c>
      <c r="J153" s="614">
        <f t="shared" si="43"/>
        <v>135.2595680181887</v>
      </c>
      <c r="K153" s="316">
        <v>0.4</v>
      </c>
      <c r="L153" s="174">
        <f t="shared" si="44"/>
        <v>189.36339522546416</v>
      </c>
      <c r="M153" s="226">
        <v>150</v>
      </c>
      <c r="N153" s="631"/>
      <c r="O153" s="590"/>
      <c r="Q153" s="836"/>
      <c r="R153" s="914"/>
    </row>
    <row r="154" spans="1:18" s="178" customFormat="1" ht="15.75" x14ac:dyDescent="0.25">
      <c r="A154" s="178" t="s">
        <v>679</v>
      </c>
      <c r="B154" s="178" t="s">
        <v>679</v>
      </c>
      <c r="C154" s="169">
        <v>43</v>
      </c>
      <c r="D154" s="178">
        <v>50</v>
      </c>
      <c r="E154" s="347" t="s">
        <v>1540</v>
      </c>
      <c r="F154" s="175">
        <v>55</v>
      </c>
      <c r="G154" s="227">
        <v>5278</v>
      </c>
      <c r="H154" s="226">
        <v>7702</v>
      </c>
      <c r="I154" s="338">
        <f t="shared" si="42"/>
        <v>80.259568018188716</v>
      </c>
      <c r="J154" s="614">
        <f t="shared" si="43"/>
        <v>135.2595680181887</v>
      </c>
      <c r="K154" s="316">
        <v>0.4</v>
      </c>
      <c r="L154" s="174">
        <f t="shared" si="44"/>
        <v>189.36339522546416</v>
      </c>
      <c r="M154" s="226">
        <v>150</v>
      </c>
      <c r="N154" s="631"/>
      <c r="O154" s="590"/>
      <c r="Q154" s="836"/>
      <c r="R154" s="914"/>
    </row>
    <row r="155" spans="1:18" s="178" customFormat="1" ht="15.75" x14ac:dyDescent="0.25">
      <c r="A155" s="178" t="s">
        <v>679</v>
      </c>
      <c r="B155" s="178" t="s">
        <v>679</v>
      </c>
      <c r="C155" s="169">
        <v>44</v>
      </c>
      <c r="D155" s="178">
        <v>52</v>
      </c>
      <c r="E155" s="347" t="s">
        <v>1540</v>
      </c>
      <c r="F155" s="175">
        <v>55</v>
      </c>
      <c r="G155" s="227">
        <v>5278</v>
      </c>
      <c r="H155" s="226">
        <v>7702</v>
      </c>
      <c r="I155" s="338">
        <f t="shared" si="42"/>
        <v>80.259568018188716</v>
      </c>
      <c r="J155" s="614">
        <f t="shared" si="43"/>
        <v>135.2595680181887</v>
      </c>
      <c r="K155" s="316">
        <v>0.4</v>
      </c>
      <c r="L155" s="174">
        <f t="shared" si="44"/>
        <v>189.36339522546416</v>
      </c>
      <c r="M155" s="226">
        <v>150</v>
      </c>
      <c r="N155" s="631"/>
      <c r="O155" s="590"/>
      <c r="Q155" s="836"/>
      <c r="R155" s="914"/>
    </row>
    <row r="156" spans="1:18" s="178" customFormat="1" ht="15.75" hidden="1" x14ac:dyDescent="0.25">
      <c r="A156" s="178" t="s">
        <v>783</v>
      </c>
      <c r="B156" s="178" t="s">
        <v>783</v>
      </c>
      <c r="C156" s="169">
        <v>45</v>
      </c>
      <c r="D156" s="178">
        <v>46</v>
      </c>
      <c r="E156" s="697" t="s">
        <v>1602</v>
      </c>
      <c r="F156" s="698">
        <v>55</v>
      </c>
      <c r="G156" s="305">
        <v>5278</v>
      </c>
      <c r="H156" s="232">
        <v>7702</v>
      </c>
      <c r="I156" s="695">
        <f>+F156/G156*H156</f>
        <v>80.259568018188716</v>
      </c>
      <c r="J156" s="696">
        <f>+F156+I156</f>
        <v>135.2595680181887</v>
      </c>
      <c r="K156" s="612">
        <v>0.4</v>
      </c>
      <c r="L156" s="611">
        <f>+J156*1.4</f>
        <v>189.36339522546416</v>
      </c>
      <c r="M156" s="232">
        <v>150</v>
      </c>
      <c r="N156" s="631"/>
      <c r="O156" s="590"/>
      <c r="P156" s="178" t="s">
        <v>2267</v>
      </c>
      <c r="Q156" s="836">
        <v>45411</v>
      </c>
      <c r="R156" s="914"/>
    </row>
    <row r="157" spans="1:18" s="178" customFormat="1" ht="15.75" hidden="1" x14ac:dyDescent="0.25">
      <c r="A157" s="178" t="s">
        <v>783</v>
      </c>
      <c r="B157" s="178" t="s">
        <v>783</v>
      </c>
      <c r="C157" s="169">
        <v>46</v>
      </c>
      <c r="D157" s="178">
        <v>50</v>
      </c>
      <c r="E157" s="697" t="s">
        <v>1602</v>
      </c>
      <c r="F157" s="698">
        <v>55</v>
      </c>
      <c r="G157" s="305">
        <v>5278</v>
      </c>
      <c r="H157" s="232">
        <v>7702</v>
      </c>
      <c r="I157" s="695">
        <f>+F157/G157*H157</f>
        <v>80.259568018188716</v>
      </c>
      <c r="J157" s="696">
        <f>+F157+I157</f>
        <v>135.2595680181887</v>
      </c>
      <c r="K157" s="612">
        <v>0.4</v>
      </c>
      <c r="L157" s="611">
        <f>+J157*1.4</f>
        <v>189.36339522546416</v>
      </c>
      <c r="M157" s="232">
        <v>150</v>
      </c>
      <c r="N157" s="631"/>
      <c r="O157" s="590"/>
      <c r="P157" s="178" t="s">
        <v>2901</v>
      </c>
      <c r="Q157" s="836">
        <v>45467</v>
      </c>
      <c r="R157" s="914"/>
    </row>
    <row r="158" spans="1:18" s="178" customFormat="1" ht="15.75" x14ac:dyDescent="0.25">
      <c r="A158" s="178" t="s">
        <v>1007</v>
      </c>
      <c r="B158" s="178" t="s">
        <v>1627</v>
      </c>
      <c r="C158" s="169">
        <v>47</v>
      </c>
      <c r="D158" s="178">
        <v>46</v>
      </c>
      <c r="E158" s="347" t="s">
        <v>1628</v>
      </c>
      <c r="F158" s="175">
        <v>65</v>
      </c>
      <c r="G158" s="227">
        <v>5278</v>
      </c>
      <c r="H158" s="226">
        <v>7702</v>
      </c>
      <c r="I158" s="338">
        <f t="shared" ref="I158:I160" si="45">+F158/G158*H158</f>
        <v>94.852216748768484</v>
      </c>
      <c r="J158" s="614">
        <f t="shared" ref="J158:J160" si="46">+F158+I158</f>
        <v>159.85221674876848</v>
      </c>
      <c r="K158" s="316">
        <v>0.4</v>
      </c>
      <c r="L158" s="174">
        <f t="shared" ref="L158:L160" si="47">+J158*1.4</f>
        <v>223.79310344827587</v>
      </c>
      <c r="M158" s="226">
        <v>180</v>
      </c>
      <c r="N158" s="631"/>
      <c r="O158" s="590"/>
      <c r="Q158" s="836"/>
      <c r="R158" s="914"/>
    </row>
    <row r="159" spans="1:18" s="178" customFormat="1" ht="15.75" x14ac:dyDescent="0.25">
      <c r="A159" s="178" t="s">
        <v>1007</v>
      </c>
      <c r="B159" s="178" t="s">
        <v>1627</v>
      </c>
      <c r="C159" s="169">
        <v>48</v>
      </c>
      <c r="D159" s="178">
        <v>48</v>
      </c>
      <c r="E159" s="347" t="s">
        <v>1628</v>
      </c>
      <c r="F159" s="175">
        <v>65</v>
      </c>
      <c r="G159" s="227">
        <v>5278</v>
      </c>
      <c r="H159" s="226">
        <v>7702</v>
      </c>
      <c r="I159" s="338">
        <f t="shared" si="45"/>
        <v>94.852216748768484</v>
      </c>
      <c r="J159" s="614">
        <f t="shared" si="46"/>
        <v>159.85221674876848</v>
      </c>
      <c r="K159" s="316">
        <v>0.4</v>
      </c>
      <c r="L159" s="174">
        <f t="shared" si="47"/>
        <v>223.79310344827587</v>
      </c>
      <c r="M159" s="226">
        <v>180</v>
      </c>
      <c r="N159" s="631"/>
      <c r="O159" s="590"/>
      <c r="Q159" s="836"/>
      <c r="R159" s="914"/>
    </row>
    <row r="160" spans="1:18" s="178" customFormat="1" ht="15.75" x14ac:dyDescent="0.25">
      <c r="A160" s="178" t="s">
        <v>1007</v>
      </c>
      <c r="B160" s="178" t="s">
        <v>1627</v>
      </c>
      <c r="C160" s="169">
        <v>49</v>
      </c>
      <c r="D160" s="178">
        <v>50</v>
      </c>
      <c r="E160" s="347" t="s">
        <v>1628</v>
      </c>
      <c r="F160" s="175">
        <v>65</v>
      </c>
      <c r="G160" s="227">
        <v>5278</v>
      </c>
      <c r="H160" s="226">
        <v>7702</v>
      </c>
      <c r="I160" s="338">
        <f t="shared" si="45"/>
        <v>94.852216748768484</v>
      </c>
      <c r="J160" s="614">
        <f t="shared" si="46"/>
        <v>159.85221674876848</v>
      </c>
      <c r="K160" s="316">
        <v>0.4</v>
      </c>
      <c r="L160" s="174">
        <f t="shared" si="47"/>
        <v>223.79310344827587</v>
      </c>
      <c r="M160" s="226">
        <v>180</v>
      </c>
      <c r="N160" s="631"/>
      <c r="O160" s="590"/>
      <c r="Q160" s="836"/>
      <c r="R160" s="914"/>
    </row>
    <row r="161" spans="1:25" s="178" customFormat="1" x14ac:dyDescent="0.25">
      <c r="E161" s="379" t="s">
        <v>1693</v>
      </c>
      <c r="F161" s="175"/>
      <c r="G161" s="227"/>
      <c r="H161" s="226"/>
      <c r="I161" s="338"/>
      <c r="J161" s="614"/>
      <c r="K161" s="316"/>
      <c r="L161" s="174"/>
      <c r="M161" s="226"/>
      <c r="N161" s="631"/>
      <c r="Q161" s="836"/>
      <c r="R161" s="914"/>
    </row>
    <row r="162" spans="1:25" s="178" customFormat="1" ht="15.75" hidden="1" x14ac:dyDescent="0.25">
      <c r="A162" s="178" t="s">
        <v>783</v>
      </c>
      <c r="B162" s="178" t="s">
        <v>783</v>
      </c>
      <c r="C162" s="169">
        <v>50</v>
      </c>
      <c r="D162" s="656">
        <v>50</v>
      </c>
      <c r="E162" s="708" t="s">
        <v>1656</v>
      </c>
      <c r="F162" s="232">
        <v>55</v>
      </c>
      <c r="G162" s="232">
        <v>3687</v>
      </c>
      <c r="H162" s="232">
        <v>3582</v>
      </c>
      <c r="I162" s="611">
        <f t="shared" ref="I162:I166" si="48">+F162/G162*H162</f>
        <v>53.433685923515057</v>
      </c>
      <c r="J162" s="611">
        <f t="shared" ref="J162:J166" si="49">+F162+I162</f>
        <v>108.43368592351506</v>
      </c>
      <c r="K162" s="612">
        <v>1.4</v>
      </c>
      <c r="L162" s="611">
        <f t="shared" ref="L162:L166" si="50">+J162*1.4</f>
        <v>151.80716029292108</v>
      </c>
      <c r="M162" s="232">
        <v>150</v>
      </c>
      <c r="N162" s="631"/>
      <c r="O162" s="590"/>
      <c r="P162" s="178" t="s">
        <v>2303</v>
      </c>
      <c r="Q162" s="836">
        <v>45384</v>
      </c>
      <c r="R162" s="914">
        <f>+M162*35000</f>
        <v>5250000</v>
      </c>
    </row>
    <row r="163" spans="1:25" s="178" customFormat="1" ht="15.75" x14ac:dyDescent="0.25">
      <c r="A163" s="178" t="s">
        <v>783</v>
      </c>
      <c r="B163" s="178" t="s">
        <v>783</v>
      </c>
      <c r="C163" s="169">
        <v>51</v>
      </c>
      <c r="D163" s="656">
        <v>46</v>
      </c>
      <c r="E163" s="628" t="s">
        <v>1657</v>
      </c>
      <c r="F163" s="226">
        <v>55</v>
      </c>
      <c r="G163" s="226">
        <v>3687</v>
      </c>
      <c r="H163" s="226">
        <v>3582</v>
      </c>
      <c r="I163" s="174">
        <f t="shared" si="48"/>
        <v>53.433685923515057</v>
      </c>
      <c r="J163" s="174">
        <f t="shared" si="49"/>
        <v>108.43368592351506</v>
      </c>
      <c r="K163" s="316">
        <v>1.4</v>
      </c>
      <c r="L163" s="174">
        <f t="shared" si="50"/>
        <v>151.80716029292108</v>
      </c>
      <c r="M163" s="226">
        <v>150</v>
      </c>
      <c r="N163" s="631"/>
      <c r="O163" s="590"/>
      <c r="Q163" s="836"/>
      <c r="R163" s="914"/>
    </row>
    <row r="164" spans="1:25" s="178" customFormat="1" ht="15.75" x14ac:dyDescent="0.25">
      <c r="A164" s="178" t="s">
        <v>783</v>
      </c>
      <c r="B164" s="178" t="s">
        <v>783</v>
      </c>
      <c r="C164" s="169">
        <v>52</v>
      </c>
      <c r="D164" s="656">
        <v>48</v>
      </c>
      <c r="E164" s="628" t="s">
        <v>1657</v>
      </c>
      <c r="F164" s="226">
        <v>55</v>
      </c>
      <c r="G164" s="226">
        <v>3687</v>
      </c>
      <c r="H164" s="226">
        <v>3582</v>
      </c>
      <c r="I164" s="174">
        <f t="shared" si="48"/>
        <v>53.433685923515057</v>
      </c>
      <c r="J164" s="174">
        <f t="shared" si="49"/>
        <v>108.43368592351506</v>
      </c>
      <c r="K164" s="316">
        <v>1.4</v>
      </c>
      <c r="L164" s="174">
        <f t="shared" si="50"/>
        <v>151.80716029292108</v>
      </c>
      <c r="M164" s="226">
        <v>150</v>
      </c>
      <c r="N164" s="631"/>
      <c r="O164" s="590"/>
      <c r="Q164" s="836"/>
      <c r="R164" s="914"/>
    </row>
    <row r="165" spans="1:25" s="178" customFormat="1" ht="15.75" x14ac:dyDescent="0.25">
      <c r="A165" s="178" t="s">
        <v>783</v>
      </c>
      <c r="B165" s="178" t="s">
        <v>783</v>
      </c>
      <c r="C165" s="169">
        <v>53</v>
      </c>
      <c r="D165" s="656">
        <v>56</v>
      </c>
      <c r="E165" s="628" t="s">
        <v>1658</v>
      </c>
      <c r="F165" s="175">
        <v>80</v>
      </c>
      <c r="G165" s="226">
        <v>3687</v>
      </c>
      <c r="H165" s="226">
        <v>3582</v>
      </c>
      <c r="I165" s="174">
        <f t="shared" si="48"/>
        <v>77.721724979658262</v>
      </c>
      <c r="J165" s="174">
        <f t="shared" si="49"/>
        <v>157.72172497965826</v>
      </c>
      <c r="K165" s="316">
        <v>1.4</v>
      </c>
      <c r="L165" s="174">
        <f t="shared" si="50"/>
        <v>220.81041497152157</v>
      </c>
      <c r="M165" s="226">
        <v>270</v>
      </c>
      <c r="N165" s="631"/>
      <c r="O165" s="590"/>
      <c r="Q165" s="836"/>
      <c r="R165" s="914"/>
    </row>
    <row r="166" spans="1:25" s="178" customFormat="1" ht="15.75" x14ac:dyDescent="0.25">
      <c r="A166" s="178" t="s">
        <v>783</v>
      </c>
      <c r="B166" s="178" t="s">
        <v>783</v>
      </c>
      <c r="C166" s="169">
        <v>54</v>
      </c>
      <c r="D166" s="656">
        <v>58</v>
      </c>
      <c r="E166" s="628" t="s">
        <v>1658</v>
      </c>
      <c r="F166" s="175">
        <v>80</v>
      </c>
      <c r="G166" s="226">
        <v>3687</v>
      </c>
      <c r="H166" s="226">
        <v>3582</v>
      </c>
      <c r="I166" s="174">
        <f t="shared" si="48"/>
        <v>77.721724979658262</v>
      </c>
      <c r="J166" s="174">
        <f t="shared" si="49"/>
        <v>157.72172497965826</v>
      </c>
      <c r="K166" s="316">
        <v>1.4</v>
      </c>
      <c r="L166" s="174">
        <f t="shared" si="50"/>
        <v>220.81041497152157</v>
      </c>
      <c r="M166" s="226">
        <v>270</v>
      </c>
      <c r="N166" s="631"/>
      <c r="O166" s="590"/>
      <c r="Q166" s="836"/>
      <c r="R166" s="914"/>
    </row>
    <row r="167" spans="1:25" s="178" customFormat="1" ht="15.75" x14ac:dyDescent="0.25">
      <c r="A167" s="178" t="s">
        <v>1653</v>
      </c>
      <c r="B167" s="319" t="s">
        <v>1690</v>
      </c>
      <c r="C167" s="169">
        <v>55</v>
      </c>
      <c r="D167" s="656">
        <v>52</v>
      </c>
      <c r="E167" s="708" t="s">
        <v>1654</v>
      </c>
      <c r="F167" s="232">
        <v>50</v>
      </c>
      <c r="G167" s="232">
        <v>3687</v>
      </c>
      <c r="H167" s="232">
        <v>3582</v>
      </c>
      <c r="I167" s="611">
        <f t="shared" ref="I167:I168" si="51">+F167/G167*H167</f>
        <v>48.57607811228641</v>
      </c>
      <c r="J167" s="611">
        <f t="shared" ref="J167:J168" si="52">+F167+I167</f>
        <v>98.57607811228641</v>
      </c>
      <c r="K167" s="612">
        <v>1.4</v>
      </c>
      <c r="L167" s="611">
        <f t="shared" ref="L167:L168" si="53">+J167*1.4</f>
        <v>138.00650935720097</v>
      </c>
      <c r="M167" s="232">
        <v>180</v>
      </c>
      <c r="N167" s="631"/>
      <c r="O167" s="590"/>
      <c r="P167" s="178" t="s">
        <v>12</v>
      </c>
      <c r="Q167" s="836">
        <v>45468</v>
      </c>
      <c r="R167" s="914"/>
    </row>
    <row r="168" spans="1:25" s="178" customFormat="1" ht="15.75" x14ac:dyDescent="0.25">
      <c r="A168" s="178" t="s">
        <v>1653</v>
      </c>
      <c r="B168" s="319" t="s">
        <v>1689</v>
      </c>
      <c r="C168" s="169">
        <v>56</v>
      </c>
      <c r="D168" s="656">
        <v>56</v>
      </c>
      <c r="E168" s="628" t="s">
        <v>1654</v>
      </c>
      <c r="F168" s="226">
        <v>50</v>
      </c>
      <c r="G168" s="226">
        <v>3687</v>
      </c>
      <c r="H168" s="226">
        <v>3582</v>
      </c>
      <c r="I168" s="174">
        <f t="shared" si="51"/>
        <v>48.57607811228641</v>
      </c>
      <c r="J168" s="174">
        <f t="shared" si="52"/>
        <v>98.57607811228641</v>
      </c>
      <c r="K168" s="316">
        <v>1.4</v>
      </c>
      <c r="L168" s="174">
        <f t="shared" si="53"/>
        <v>138.00650935720097</v>
      </c>
      <c r="M168" s="226">
        <v>180</v>
      </c>
      <c r="N168" s="631"/>
      <c r="O168" s="590"/>
      <c r="Q168" s="836"/>
      <c r="R168" s="914"/>
    </row>
    <row r="169" spans="1:25" s="178" customFormat="1" x14ac:dyDescent="0.25">
      <c r="B169" s="654">
        <v>45352</v>
      </c>
      <c r="E169" s="656"/>
      <c r="F169" s="628"/>
      <c r="G169" s="175"/>
      <c r="I169" s="226"/>
      <c r="J169" s="226"/>
      <c r="K169" s="226"/>
      <c r="L169" s="228"/>
      <c r="M169" s="226"/>
      <c r="N169" s="226"/>
      <c r="R169" s="914"/>
    </row>
    <row r="170" spans="1:25" s="178" customFormat="1" ht="15.75" x14ac:dyDescent="0.25">
      <c r="A170" s="894" t="s">
        <v>2110</v>
      </c>
      <c r="B170" s="319" t="s">
        <v>1210</v>
      </c>
      <c r="C170" s="169">
        <v>57</v>
      </c>
      <c r="D170" s="656">
        <v>42</v>
      </c>
      <c r="E170" s="628" t="s">
        <v>2111</v>
      </c>
      <c r="F170" s="175">
        <v>45</v>
      </c>
      <c r="G170" s="178">
        <v>4192</v>
      </c>
      <c r="H170" s="226">
        <v>3417</v>
      </c>
      <c r="I170" s="226">
        <f>+H170/G170*F170</f>
        <v>36.680582061068705</v>
      </c>
      <c r="J170" s="820">
        <f>+F170+I170</f>
        <v>81.680582061068705</v>
      </c>
      <c r="K170" s="228">
        <v>1.4</v>
      </c>
      <c r="L170" s="226">
        <f>+J170*K170</f>
        <v>114.35281488549617</v>
      </c>
      <c r="M170" s="226">
        <v>150</v>
      </c>
      <c r="R170" s="914"/>
      <c r="W170" s="226"/>
      <c r="X170" s="226"/>
      <c r="Y170" s="226"/>
    </row>
    <row r="171" spans="1:25" s="178" customFormat="1" ht="15.75" hidden="1" x14ac:dyDescent="0.25">
      <c r="A171" s="225" t="s">
        <v>2110</v>
      </c>
      <c r="B171" s="319" t="s">
        <v>1210</v>
      </c>
      <c r="C171" s="169">
        <v>58</v>
      </c>
      <c r="D171" s="656">
        <v>44</v>
      </c>
      <c r="E171" s="708" t="s">
        <v>2111</v>
      </c>
      <c r="F171" s="698">
        <v>45</v>
      </c>
      <c r="G171" s="213">
        <v>4192</v>
      </c>
      <c r="H171" s="232">
        <v>3417</v>
      </c>
      <c r="I171" s="232">
        <f t="shared" ref="I171:I192" si="54">+H171/G171*F171</f>
        <v>36.680582061068705</v>
      </c>
      <c r="J171" s="863">
        <f t="shared" ref="J171:J192" si="55">+F171+I171</f>
        <v>81.680582061068705</v>
      </c>
      <c r="K171" s="864">
        <v>1.4</v>
      </c>
      <c r="L171" s="232">
        <f t="shared" ref="L171:L192" si="56">+J171*K171</f>
        <v>114.35281488549617</v>
      </c>
      <c r="M171" s="232">
        <v>150</v>
      </c>
      <c r="P171" s="178" t="s">
        <v>2184</v>
      </c>
      <c r="Q171" s="229">
        <v>45467</v>
      </c>
      <c r="R171" s="914"/>
    </row>
    <row r="172" spans="1:25" s="178" customFormat="1" ht="15.75" hidden="1" x14ac:dyDescent="0.25">
      <c r="A172" s="225" t="s">
        <v>2110</v>
      </c>
      <c r="B172" s="319" t="s">
        <v>1210</v>
      </c>
      <c r="C172" s="169">
        <v>59</v>
      </c>
      <c r="D172" s="656">
        <v>46</v>
      </c>
      <c r="E172" s="708" t="s">
        <v>2111</v>
      </c>
      <c r="F172" s="698">
        <v>45</v>
      </c>
      <c r="G172" s="213">
        <v>4192</v>
      </c>
      <c r="H172" s="232">
        <v>3417</v>
      </c>
      <c r="I172" s="232">
        <f t="shared" si="54"/>
        <v>36.680582061068705</v>
      </c>
      <c r="J172" s="863">
        <f t="shared" si="55"/>
        <v>81.680582061068705</v>
      </c>
      <c r="K172" s="864">
        <v>1.4</v>
      </c>
      <c r="L172" s="232">
        <f t="shared" si="56"/>
        <v>114.35281488549617</v>
      </c>
      <c r="M172" s="232">
        <v>150</v>
      </c>
      <c r="P172" s="178" t="s">
        <v>2314</v>
      </c>
      <c r="Q172" s="229">
        <v>45386</v>
      </c>
      <c r="R172" s="914">
        <f>+M172*35000</f>
        <v>5250000</v>
      </c>
    </row>
    <row r="173" spans="1:25" s="178" customFormat="1" ht="15.75" hidden="1" x14ac:dyDescent="0.25">
      <c r="A173" s="225" t="s">
        <v>2110</v>
      </c>
      <c r="B173" s="319" t="s">
        <v>1210</v>
      </c>
      <c r="C173" s="169">
        <v>60</v>
      </c>
      <c r="D173" s="656">
        <v>48</v>
      </c>
      <c r="E173" s="708" t="s">
        <v>2111</v>
      </c>
      <c r="F173" s="698">
        <v>45</v>
      </c>
      <c r="G173" s="213">
        <v>4192</v>
      </c>
      <c r="H173" s="232">
        <v>3417</v>
      </c>
      <c r="I173" s="232">
        <f t="shared" si="54"/>
        <v>36.680582061068705</v>
      </c>
      <c r="J173" s="863">
        <f t="shared" si="55"/>
        <v>81.680582061068705</v>
      </c>
      <c r="K173" s="864">
        <v>1.4</v>
      </c>
      <c r="L173" s="232">
        <f t="shared" si="56"/>
        <v>114.35281488549617</v>
      </c>
      <c r="M173" s="232">
        <v>150</v>
      </c>
      <c r="P173" s="178" t="s">
        <v>2731</v>
      </c>
      <c r="Q173" s="229">
        <v>45428</v>
      </c>
      <c r="R173" s="914">
        <f>+M173*30000</f>
        <v>4500000</v>
      </c>
    </row>
    <row r="174" spans="1:25" s="178" customFormat="1" ht="15.75" x14ac:dyDescent="0.25">
      <c r="A174" s="225" t="s">
        <v>2110</v>
      </c>
      <c r="B174" s="319" t="s">
        <v>1210</v>
      </c>
      <c r="C174" s="169">
        <v>61</v>
      </c>
      <c r="D174" s="656">
        <v>36</v>
      </c>
      <c r="E174" s="628" t="s">
        <v>2112</v>
      </c>
      <c r="F174" s="175">
        <v>45</v>
      </c>
      <c r="G174" s="178">
        <v>4192</v>
      </c>
      <c r="H174" s="226">
        <v>3417</v>
      </c>
      <c r="I174" s="226">
        <f t="shared" si="54"/>
        <v>36.680582061068705</v>
      </c>
      <c r="J174" s="820">
        <f t="shared" si="55"/>
        <v>81.680582061068705</v>
      </c>
      <c r="K174" s="228">
        <v>1.4</v>
      </c>
      <c r="L174" s="226">
        <f t="shared" si="56"/>
        <v>114.35281488549617</v>
      </c>
      <c r="M174" s="226">
        <v>150</v>
      </c>
      <c r="R174" s="914"/>
    </row>
    <row r="175" spans="1:25" s="178" customFormat="1" ht="15.75" x14ac:dyDescent="0.25">
      <c r="A175" s="225" t="s">
        <v>2110</v>
      </c>
      <c r="B175" s="319" t="s">
        <v>1210</v>
      </c>
      <c r="C175" s="169">
        <v>62</v>
      </c>
      <c r="D175" s="656">
        <v>38</v>
      </c>
      <c r="E175" s="628" t="s">
        <v>2112</v>
      </c>
      <c r="F175" s="175">
        <v>45</v>
      </c>
      <c r="G175" s="178">
        <v>4192</v>
      </c>
      <c r="H175" s="226">
        <v>3417</v>
      </c>
      <c r="I175" s="226">
        <f t="shared" si="54"/>
        <v>36.680582061068705</v>
      </c>
      <c r="J175" s="820">
        <f t="shared" si="55"/>
        <v>81.680582061068705</v>
      </c>
      <c r="K175" s="228">
        <v>1.4</v>
      </c>
      <c r="L175" s="226">
        <f t="shared" si="56"/>
        <v>114.35281488549617</v>
      </c>
      <c r="M175" s="226">
        <v>150</v>
      </c>
      <c r="R175" s="914"/>
    </row>
    <row r="176" spans="1:25" s="178" customFormat="1" ht="15.75" hidden="1" x14ac:dyDescent="0.25">
      <c r="A176" s="225" t="s">
        <v>2110</v>
      </c>
      <c r="B176" s="319" t="s">
        <v>1210</v>
      </c>
      <c r="C176" s="169">
        <v>63</v>
      </c>
      <c r="D176" s="656">
        <v>40</v>
      </c>
      <c r="E176" s="708" t="s">
        <v>2112</v>
      </c>
      <c r="F176" s="698">
        <v>45</v>
      </c>
      <c r="G176" s="213">
        <v>4192</v>
      </c>
      <c r="H176" s="232">
        <v>3417</v>
      </c>
      <c r="I176" s="232">
        <f t="shared" si="54"/>
        <v>36.680582061068705</v>
      </c>
      <c r="J176" s="863">
        <f t="shared" si="55"/>
        <v>81.680582061068705</v>
      </c>
      <c r="K176" s="864">
        <v>1.4</v>
      </c>
      <c r="L176" s="232">
        <f t="shared" si="56"/>
        <v>114.35281488549617</v>
      </c>
      <c r="M176" s="232">
        <v>150</v>
      </c>
      <c r="P176" s="178" t="s">
        <v>12</v>
      </c>
      <c r="Q176" s="229">
        <v>45395</v>
      </c>
      <c r="R176" s="914">
        <f>+M176*36000</f>
        <v>5400000</v>
      </c>
    </row>
    <row r="177" spans="1:18" s="178" customFormat="1" ht="15.75" hidden="1" x14ac:dyDescent="0.25">
      <c r="A177" s="225" t="s">
        <v>2110</v>
      </c>
      <c r="B177" s="319" t="s">
        <v>1210</v>
      </c>
      <c r="C177" s="169">
        <v>64</v>
      </c>
      <c r="D177" s="656">
        <v>42</v>
      </c>
      <c r="E177" s="708" t="s">
        <v>2112</v>
      </c>
      <c r="F177" s="698">
        <v>45</v>
      </c>
      <c r="G177" s="213">
        <v>4192</v>
      </c>
      <c r="H177" s="232">
        <v>3417</v>
      </c>
      <c r="I177" s="232">
        <f t="shared" si="54"/>
        <v>36.680582061068705</v>
      </c>
      <c r="J177" s="863">
        <f t="shared" si="55"/>
        <v>81.680582061068705</v>
      </c>
      <c r="K177" s="864">
        <v>1.4</v>
      </c>
      <c r="L177" s="232">
        <f t="shared" si="56"/>
        <v>114.35281488549617</v>
      </c>
      <c r="M177" s="232">
        <v>150</v>
      </c>
      <c r="P177" s="178" t="s">
        <v>12</v>
      </c>
      <c r="Q177" s="229">
        <v>45378</v>
      </c>
      <c r="R177" s="914">
        <f>+M177*30000</f>
        <v>4500000</v>
      </c>
    </row>
    <row r="178" spans="1:18" s="178" customFormat="1" ht="15.75" x14ac:dyDescent="0.25">
      <c r="A178" s="225" t="s">
        <v>2123</v>
      </c>
      <c r="B178" s="319" t="s">
        <v>2123</v>
      </c>
      <c r="C178" s="169">
        <v>65</v>
      </c>
      <c r="D178" s="656">
        <v>38</v>
      </c>
      <c r="E178" s="628" t="s">
        <v>2126</v>
      </c>
      <c r="F178" s="175">
        <v>38</v>
      </c>
      <c r="G178" s="178">
        <v>4192</v>
      </c>
      <c r="H178" s="226">
        <v>3417</v>
      </c>
      <c r="I178" s="226">
        <f t="shared" si="54"/>
        <v>30.974713740458018</v>
      </c>
      <c r="J178" s="820">
        <f t="shared" si="55"/>
        <v>68.974713740458014</v>
      </c>
      <c r="K178" s="228">
        <v>1.4</v>
      </c>
      <c r="L178" s="226">
        <f t="shared" si="56"/>
        <v>96.564599236641214</v>
      </c>
      <c r="M178" s="226">
        <v>125</v>
      </c>
      <c r="R178" s="914"/>
    </row>
    <row r="179" spans="1:18" s="178" customFormat="1" ht="15.75" x14ac:dyDescent="0.25">
      <c r="A179" s="225" t="s">
        <v>2123</v>
      </c>
      <c r="B179" s="319" t="s">
        <v>2123</v>
      </c>
      <c r="C179" s="169">
        <v>66</v>
      </c>
      <c r="D179" s="656">
        <v>40</v>
      </c>
      <c r="E179" s="628" t="s">
        <v>2126</v>
      </c>
      <c r="F179" s="175">
        <v>38</v>
      </c>
      <c r="G179" s="178">
        <v>4192</v>
      </c>
      <c r="H179" s="226">
        <v>3417</v>
      </c>
      <c r="I179" s="226">
        <f t="shared" si="54"/>
        <v>30.974713740458018</v>
      </c>
      <c r="J179" s="820">
        <f t="shared" si="55"/>
        <v>68.974713740458014</v>
      </c>
      <c r="K179" s="228">
        <v>1.4</v>
      </c>
      <c r="L179" s="226">
        <f t="shared" si="56"/>
        <v>96.564599236641214</v>
      </c>
      <c r="M179" s="226">
        <v>125</v>
      </c>
      <c r="R179" s="914"/>
    </row>
    <row r="180" spans="1:18" s="178" customFormat="1" ht="15.75" x14ac:dyDescent="0.25">
      <c r="A180" s="225" t="s">
        <v>2123</v>
      </c>
      <c r="B180" s="319" t="s">
        <v>2123</v>
      </c>
      <c r="C180" s="169">
        <v>67</v>
      </c>
      <c r="D180" s="656">
        <v>42</v>
      </c>
      <c r="E180" s="628" t="s">
        <v>2126</v>
      </c>
      <c r="F180" s="175">
        <v>38</v>
      </c>
      <c r="G180" s="178">
        <v>4192</v>
      </c>
      <c r="H180" s="226">
        <v>3417</v>
      </c>
      <c r="I180" s="226">
        <f t="shared" si="54"/>
        <v>30.974713740458018</v>
      </c>
      <c r="J180" s="820">
        <f t="shared" si="55"/>
        <v>68.974713740458014</v>
      </c>
      <c r="K180" s="228">
        <v>1.4</v>
      </c>
      <c r="L180" s="226">
        <f t="shared" si="56"/>
        <v>96.564599236641214</v>
      </c>
      <c r="M180" s="226">
        <v>125</v>
      </c>
      <c r="R180" s="914"/>
    </row>
    <row r="181" spans="1:18" s="178" customFormat="1" ht="15.75" x14ac:dyDescent="0.25">
      <c r="A181" s="225" t="s">
        <v>2123</v>
      </c>
      <c r="B181" s="319" t="s">
        <v>2123</v>
      </c>
      <c r="C181" s="169">
        <v>68</v>
      </c>
      <c r="D181" s="656">
        <v>38</v>
      </c>
      <c r="E181" s="628" t="s">
        <v>2127</v>
      </c>
      <c r="F181" s="175">
        <v>29</v>
      </c>
      <c r="G181" s="178">
        <v>4192</v>
      </c>
      <c r="H181" s="226">
        <v>3417</v>
      </c>
      <c r="I181" s="226">
        <f t="shared" si="54"/>
        <v>23.638597328244277</v>
      </c>
      <c r="J181" s="820">
        <f t="shared" si="55"/>
        <v>52.638597328244273</v>
      </c>
      <c r="K181" s="228">
        <v>1.4</v>
      </c>
      <c r="L181" s="226">
        <f t="shared" si="56"/>
        <v>73.694036259541974</v>
      </c>
      <c r="M181" s="226">
        <v>125</v>
      </c>
      <c r="R181" s="914"/>
    </row>
    <row r="182" spans="1:18" s="178" customFormat="1" ht="15.75" x14ac:dyDescent="0.25">
      <c r="A182" s="225" t="s">
        <v>2123</v>
      </c>
      <c r="B182" s="319" t="s">
        <v>2123</v>
      </c>
      <c r="C182" s="169">
        <v>69</v>
      </c>
      <c r="D182" s="656">
        <v>40</v>
      </c>
      <c r="E182" s="628" t="s">
        <v>2127</v>
      </c>
      <c r="F182" s="175">
        <v>29</v>
      </c>
      <c r="G182" s="178">
        <v>4192</v>
      </c>
      <c r="H182" s="226">
        <v>3417</v>
      </c>
      <c r="I182" s="226">
        <f t="shared" si="54"/>
        <v>23.638597328244277</v>
      </c>
      <c r="J182" s="820">
        <f t="shared" si="55"/>
        <v>52.638597328244273</v>
      </c>
      <c r="K182" s="228">
        <v>1.4</v>
      </c>
      <c r="L182" s="226">
        <f t="shared" si="56"/>
        <v>73.694036259541974</v>
      </c>
      <c r="M182" s="226">
        <v>125</v>
      </c>
      <c r="R182" s="914"/>
    </row>
    <row r="183" spans="1:18" s="178" customFormat="1" ht="15.75" x14ac:dyDescent="0.25">
      <c r="A183" s="225" t="s">
        <v>2123</v>
      </c>
      <c r="B183" s="319" t="s">
        <v>2123</v>
      </c>
      <c r="C183" s="169">
        <v>70</v>
      </c>
      <c r="D183" s="656">
        <v>42</v>
      </c>
      <c r="E183" s="628" t="s">
        <v>2127</v>
      </c>
      <c r="F183" s="175">
        <v>29</v>
      </c>
      <c r="G183" s="178">
        <v>4192</v>
      </c>
      <c r="H183" s="226">
        <v>3417</v>
      </c>
      <c r="I183" s="226">
        <f t="shared" si="54"/>
        <v>23.638597328244277</v>
      </c>
      <c r="J183" s="820">
        <f t="shared" si="55"/>
        <v>52.638597328244273</v>
      </c>
      <c r="K183" s="228">
        <v>1.4</v>
      </c>
      <c r="L183" s="226">
        <f t="shared" si="56"/>
        <v>73.694036259541974</v>
      </c>
      <c r="M183" s="226">
        <v>125</v>
      </c>
      <c r="R183" s="914"/>
    </row>
    <row r="184" spans="1:18" s="178" customFormat="1" ht="15.75" x14ac:dyDescent="0.25">
      <c r="A184" s="225" t="s">
        <v>2146</v>
      </c>
      <c r="B184" s="319" t="s">
        <v>1690</v>
      </c>
      <c r="C184" s="169">
        <v>71</v>
      </c>
      <c r="D184" s="656">
        <v>44</v>
      </c>
      <c r="E184" s="628" t="s">
        <v>2147</v>
      </c>
      <c r="F184" s="175">
        <v>68</v>
      </c>
      <c r="G184" s="178">
        <v>4192</v>
      </c>
      <c r="H184" s="226">
        <v>3417</v>
      </c>
      <c r="I184" s="226">
        <f t="shared" si="54"/>
        <v>55.42843511450382</v>
      </c>
      <c r="J184" s="820">
        <f t="shared" si="55"/>
        <v>123.42843511450383</v>
      </c>
      <c r="K184" s="228">
        <v>1.4</v>
      </c>
      <c r="L184" s="226">
        <f t="shared" si="56"/>
        <v>172.79980916030536</v>
      </c>
      <c r="M184" s="226">
        <v>200</v>
      </c>
      <c r="R184" s="914"/>
    </row>
    <row r="185" spans="1:18" s="178" customFormat="1" ht="15.75" x14ac:dyDescent="0.25">
      <c r="A185" s="225" t="s">
        <v>2146</v>
      </c>
      <c r="B185" s="319" t="s">
        <v>1690</v>
      </c>
      <c r="C185" s="169">
        <v>72</v>
      </c>
      <c r="D185" s="656">
        <v>46</v>
      </c>
      <c r="E185" s="628" t="s">
        <v>2147</v>
      </c>
      <c r="F185" s="175">
        <v>68</v>
      </c>
      <c r="G185" s="178">
        <v>4192</v>
      </c>
      <c r="H185" s="226">
        <v>3417</v>
      </c>
      <c r="I185" s="226">
        <f t="shared" si="54"/>
        <v>55.42843511450382</v>
      </c>
      <c r="J185" s="820">
        <f t="shared" si="55"/>
        <v>123.42843511450383</v>
      </c>
      <c r="K185" s="228">
        <v>1.4</v>
      </c>
      <c r="L185" s="226">
        <f t="shared" si="56"/>
        <v>172.79980916030536</v>
      </c>
      <c r="M185" s="226">
        <v>200</v>
      </c>
      <c r="R185" s="914"/>
    </row>
    <row r="186" spans="1:18" s="178" customFormat="1" ht="15.75" hidden="1" x14ac:dyDescent="0.25">
      <c r="A186" s="225" t="s">
        <v>2146</v>
      </c>
      <c r="B186" s="319" t="s">
        <v>1690</v>
      </c>
      <c r="C186" s="169">
        <v>73</v>
      </c>
      <c r="D186" s="656">
        <v>48</v>
      </c>
      <c r="E186" s="708" t="s">
        <v>2147</v>
      </c>
      <c r="F186" s="698">
        <v>68</v>
      </c>
      <c r="G186" s="213">
        <v>4192</v>
      </c>
      <c r="H186" s="232">
        <v>3417</v>
      </c>
      <c r="I186" s="232">
        <f t="shared" si="54"/>
        <v>55.42843511450382</v>
      </c>
      <c r="J186" s="863">
        <f t="shared" si="55"/>
        <v>123.42843511450383</v>
      </c>
      <c r="K186" s="864">
        <v>1.4</v>
      </c>
      <c r="L186" s="232">
        <f t="shared" si="56"/>
        <v>172.79980916030536</v>
      </c>
      <c r="M186" s="232">
        <v>200</v>
      </c>
      <c r="P186" s="178" t="s">
        <v>2314</v>
      </c>
      <c r="Q186" s="229">
        <v>45386</v>
      </c>
      <c r="R186" s="914">
        <f>+M186*35000</f>
        <v>7000000</v>
      </c>
    </row>
    <row r="187" spans="1:18" s="178" customFormat="1" ht="15.75" x14ac:dyDescent="0.25">
      <c r="A187" s="225" t="s">
        <v>2146</v>
      </c>
      <c r="B187" s="319" t="s">
        <v>1690</v>
      </c>
      <c r="C187" s="169">
        <v>74</v>
      </c>
      <c r="D187" s="656">
        <v>52</v>
      </c>
      <c r="E187" s="628" t="s">
        <v>2148</v>
      </c>
      <c r="F187" s="175">
        <v>68</v>
      </c>
      <c r="G187" s="178">
        <v>4192</v>
      </c>
      <c r="H187" s="226">
        <v>3417</v>
      </c>
      <c r="I187" s="226">
        <f t="shared" si="54"/>
        <v>55.42843511450382</v>
      </c>
      <c r="J187" s="820">
        <f t="shared" si="55"/>
        <v>123.42843511450383</v>
      </c>
      <c r="K187" s="228">
        <v>1.4</v>
      </c>
      <c r="L187" s="226">
        <f t="shared" si="56"/>
        <v>172.79980916030536</v>
      </c>
      <c r="M187" s="226">
        <v>200</v>
      </c>
      <c r="R187" s="914"/>
    </row>
    <row r="188" spans="1:18" s="178" customFormat="1" ht="15.75" hidden="1" x14ac:dyDescent="0.25">
      <c r="A188" s="225" t="s">
        <v>2146</v>
      </c>
      <c r="B188" s="319" t="s">
        <v>1690</v>
      </c>
      <c r="C188" s="169">
        <v>75</v>
      </c>
      <c r="D188" s="656">
        <v>54</v>
      </c>
      <c r="E188" s="708" t="s">
        <v>2148</v>
      </c>
      <c r="F188" s="698">
        <v>68</v>
      </c>
      <c r="G188" s="213">
        <v>4192</v>
      </c>
      <c r="H188" s="232">
        <v>3417</v>
      </c>
      <c r="I188" s="232">
        <f t="shared" si="54"/>
        <v>55.42843511450382</v>
      </c>
      <c r="J188" s="863">
        <f t="shared" si="55"/>
        <v>123.42843511450383</v>
      </c>
      <c r="K188" s="864">
        <v>1.4</v>
      </c>
      <c r="L188" s="232">
        <f t="shared" si="56"/>
        <v>172.79980916030536</v>
      </c>
      <c r="M188" s="232">
        <v>200</v>
      </c>
      <c r="P188" s="178" t="s">
        <v>941</v>
      </c>
      <c r="Q188" s="229">
        <v>45432</v>
      </c>
      <c r="R188" s="914">
        <f>+M188*14.5</f>
        <v>2900</v>
      </c>
    </row>
    <row r="189" spans="1:18" s="178" customFormat="1" ht="15.75" x14ac:dyDescent="0.25">
      <c r="A189" s="225" t="s">
        <v>2146</v>
      </c>
      <c r="B189" s="319" t="s">
        <v>1690</v>
      </c>
      <c r="C189" s="169">
        <v>76</v>
      </c>
      <c r="D189" s="656">
        <v>56</v>
      </c>
      <c r="E189" s="628" t="s">
        <v>2148</v>
      </c>
      <c r="F189" s="175">
        <v>68</v>
      </c>
      <c r="G189" s="178">
        <v>4192</v>
      </c>
      <c r="H189" s="226">
        <v>3417</v>
      </c>
      <c r="I189" s="226">
        <f t="shared" si="54"/>
        <v>55.42843511450382</v>
      </c>
      <c r="J189" s="820">
        <f t="shared" si="55"/>
        <v>123.42843511450383</v>
      </c>
      <c r="K189" s="228">
        <v>1.4</v>
      </c>
      <c r="L189" s="226">
        <f t="shared" si="56"/>
        <v>172.79980916030536</v>
      </c>
      <c r="M189" s="226">
        <v>200</v>
      </c>
      <c r="R189" s="914"/>
    </row>
    <row r="190" spans="1:18" s="178" customFormat="1" ht="15.75" x14ac:dyDescent="0.25">
      <c r="A190" s="225" t="s">
        <v>2146</v>
      </c>
      <c r="B190" s="319" t="s">
        <v>1690</v>
      </c>
      <c r="C190" s="169">
        <v>77</v>
      </c>
      <c r="D190" s="656">
        <v>52</v>
      </c>
      <c r="E190" s="628" t="s">
        <v>2149</v>
      </c>
      <c r="F190" s="175">
        <v>39</v>
      </c>
      <c r="G190" s="178">
        <v>4192</v>
      </c>
      <c r="H190" s="226">
        <v>3417</v>
      </c>
      <c r="I190" s="226">
        <f t="shared" si="54"/>
        <v>31.789837786259543</v>
      </c>
      <c r="J190" s="820">
        <f t="shared" si="55"/>
        <v>70.78983778625954</v>
      </c>
      <c r="K190" s="228">
        <v>1.4</v>
      </c>
      <c r="L190" s="226">
        <f t="shared" si="56"/>
        <v>99.105772900763355</v>
      </c>
      <c r="M190" s="226">
        <v>125</v>
      </c>
      <c r="R190" s="914"/>
    </row>
    <row r="191" spans="1:18" s="178" customFormat="1" ht="15.75" hidden="1" x14ac:dyDescent="0.25">
      <c r="A191" s="225" t="s">
        <v>2146</v>
      </c>
      <c r="B191" s="319" t="s">
        <v>1690</v>
      </c>
      <c r="C191" s="169">
        <v>78</v>
      </c>
      <c r="D191" s="656">
        <v>54</v>
      </c>
      <c r="E191" s="708" t="s">
        <v>2149</v>
      </c>
      <c r="F191" s="698">
        <v>39</v>
      </c>
      <c r="G191" s="213">
        <v>4192</v>
      </c>
      <c r="H191" s="232">
        <v>3417</v>
      </c>
      <c r="I191" s="232">
        <f t="shared" si="54"/>
        <v>31.789837786259543</v>
      </c>
      <c r="J191" s="863">
        <f t="shared" si="55"/>
        <v>70.78983778625954</v>
      </c>
      <c r="K191" s="864">
        <v>1.4</v>
      </c>
      <c r="L191" s="232">
        <f t="shared" si="56"/>
        <v>99.105772900763355</v>
      </c>
      <c r="M191" s="232">
        <v>125</v>
      </c>
      <c r="P191" s="178" t="s">
        <v>12</v>
      </c>
      <c r="Q191" s="229">
        <v>45397</v>
      </c>
      <c r="R191" s="914">
        <f>+M191*36000</f>
        <v>4500000</v>
      </c>
    </row>
    <row r="192" spans="1:18" s="178" customFormat="1" ht="15.75" x14ac:dyDescent="0.25">
      <c r="A192" s="225" t="s">
        <v>2146</v>
      </c>
      <c r="B192" s="319" t="s">
        <v>1690</v>
      </c>
      <c r="C192" s="169">
        <v>79</v>
      </c>
      <c r="D192" s="656">
        <v>56</v>
      </c>
      <c r="E192" s="628" t="s">
        <v>2149</v>
      </c>
      <c r="F192" s="175">
        <v>39</v>
      </c>
      <c r="G192" s="178">
        <v>4192</v>
      </c>
      <c r="H192" s="226">
        <v>3417</v>
      </c>
      <c r="I192" s="226">
        <f t="shared" si="54"/>
        <v>31.789837786259543</v>
      </c>
      <c r="J192" s="820">
        <f t="shared" si="55"/>
        <v>70.78983778625954</v>
      </c>
      <c r="K192" s="228">
        <v>1.4</v>
      </c>
      <c r="L192" s="226">
        <f t="shared" si="56"/>
        <v>99.105772900763355</v>
      </c>
      <c r="M192" s="226">
        <v>125</v>
      </c>
      <c r="R192" s="914"/>
    </row>
    <row r="193" spans="1:20" ht="15" customHeight="1" outlineLevel="1" x14ac:dyDescent="0.25">
      <c r="B193" s="393"/>
      <c r="C193" s="500"/>
      <c r="D193" s="501"/>
      <c r="E193" s="393" t="s">
        <v>807</v>
      </c>
      <c r="F193" s="150">
        <f>SUM(F105:F140)</f>
        <v>1946</v>
      </c>
      <c r="G193" s="150"/>
      <c r="H193" s="150"/>
      <c r="I193" s="150"/>
      <c r="J193" s="150"/>
      <c r="K193" s="150"/>
      <c r="L193" s="150">
        <f>SUM(L105:L140)</f>
        <v>4307.6077427015734</v>
      </c>
      <c r="M193" s="150">
        <f>SUM(M105:M140)</f>
        <v>5630</v>
      </c>
      <c r="N193" s="404"/>
      <c r="O193" s="393"/>
      <c r="P193" s="191"/>
      <c r="Q193" s="837"/>
      <c r="R193" s="915"/>
      <c r="S193" s="12"/>
      <c r="T193" s="12"/>
    </row>
    <row r="194" spans="1:20" ht="15" customHeight="1" outlineLevel="1" x14ac:dyDescent="0.25">
      <c r="A194" s="154">
        <v>2022</v>
      </c>
      <c r="B194" s="393">
        <v>95</v>
      </c>
      <c r="C194" s="500">
        <v>-33</v>
      </c>
      <c r="D194" s="501">
        <f>+B194+C194</f>
        <v>62</v>
      </c>
      <c r="E194" s="393"/>
      <c r="F194" s="150"/>
      <c r="G194" s="150"/>
      <c r="H194" s="150"/>
      <c r="I194" s="150"/>
      <c r="J194" s="150"/>
      <c r="K194" s="150"/>
      <c r="M194" s="150"/>
      <c r="N194" s="404"/>
      <c r="O194" s="393"/>
      <c r="P194" s="191"/>
      <c r="Q194" s="837"/>
      <c r="R194" s="915"/>
      <c r="S194" s="12"/>
      <c r="T194" s="12"/>
    </row>
    <row r="195" spans="1:20" ht="15" customHeight="1" outlineLevel="1" x14ac:dyDescent="0.25">
      <c r="A195" s="154">
        <v>2023</v>
      </c>
      <c r="B195" s="393">
        <v>108</v>
      </c>
      <c r="C195" s="500">
        <v>-52</v>
      </c>
      <c r="D195" s="501">
        <f>+B195+C195</f>
        <v>56</v>
      </c>
      <c r="E195" s="393"/>
      <c r="F195" s="150"/>
      <c r="G195" s="150"/>
      <c r="H195" s="150"/>
      <c r="I195" s="150"/>
      <c r="J195" s="150"/>
      <c r="K195" s="150"/>
      <c r="M195" s="150"/>
      <c r="N195" s="404"/>
      <c r="O195" s="393"/>
      <c r="P195" s="191"/>
      <c r="Q195" s="837"/>
      <c r="R195" s="915"/>
      <c r="S195" s="12"/>
      <c r="T195" s="12"/>
    </row>
    <row r="196" spans="1:20" ht="25.5" customHeight="1" outlineLevel="1" x14ac:dyDescent="0.4">
      <c r="C196" s="500"/>
      <c r="D196" s="501"/>
      <c r="E196" s="728" t="s">
        <v>13</v>
      </c>
      <c r="F196" s="150"/>
      <c r="G196" s="191"/>
      <c r="H196" s="191"/>
      <c r="I196" s="150"/>
      <c r="J196" s="150"/>
      <c r="K196" s="342"/>
      <c r="L196" s="394">
        <f t="shared" ref="L196:L208" si="57">+J196*K196+J196</f>
        <v>0</v>
      </c>
      <c r="M196" s="150"/>
      <c r="N196" s="404"/>
      <c r="O196" s="521"/>
      <c r="P196" s="191"/>
      <c r="Q196" s="837"/>
      <c r="R196" s="915"/>
      <c r="S196" s="12"/>
      <c r="T196" s="12"/>
    </row>
    <row r="197" spans="1:20" ht="15" customHeight="1" outlineLevel="1" x14ac:dyDescent="0.25">
      <c r="B197" s="395" t="s">
        <v>171</v>
      </c>
      <c r="C197" s="395">
        <v>1</v>
      </c>
      <c r="D197" s="395">
        <v>18</v>
      </c>
      <c r="E197" s="395" t="s">
        <v>172</v>
      </c>
      <c r="F197" s="395">
        <v>33</v>
      </c>
      <c r="G197" s="395">
        <v>685</v>
      </c>
      <c r="H197" s="395"/>
      <c r="I197" s="395"/>
      <c r="J197" s="394"/>
      <c r="K197" s="395"/>
      <c r="L197" s="394">
        <f t="shared" si="57"/>
        <v>0</v>
      </c>
      <c r="M197" s="395">
        <v>125</v>
      </c>
      <c r="N197" s="494"/>
      <c r="O197" s="362"/>
      <c r="P197" s="160"/>
      <c r="Q197" s="834"/>
      <c r="R197" s="913"/>
    </row>
    <row r="198" spans="1:20" ht="15" customHeight="1" outlineLevel="1" x14ac:dyDescent="0.25">
      <c r="B198" s="395" t="s">
        <v>171</v>
      </c>
      <c r="C198" s="395">
        <v>2</v>
      </c>
      <c r="D198" s="395">
        <v>18</v>
      </c>
      <c r="E198" s="395" t="s">
        <v>172</v>
      </c>
      <c r="F198" s="395">
        <v>33</v>
      </c>
      <c r="G198" s="395">
        <v>685</v>
      </c>
      <c r="H198" s="395"/>
      <c r="I198" s="395"/>
      <c r="J198" s="394"/>
      <c r="K198" s="395"/>
      <c r="L198" s="394">
        <f t="shared" si="57"/>
        <v>0</v>
      </c>
      <c r="M198" s="395">
        <v>125</v>
      </c>
      <c r="N198" s="494"/>
      <c r="O198" s="362"/>
      <c r="P198" s="160"/>
      <c r="Q198" s="834"/>
      <c r="R198" s="913"/>
    </row>
    <row r="199" spans="1:20" s="149" customFormat="1" ht="15" customHeight="1" outlineLevel="1" x14ac:dyDescent="0.25">
      <c r="A199" s="154"/>
      <c r="B199" s="393" t="s">
        <v>273</v>
      </c>
      <c r="C199" s="500"/>
      <c r="D199" s="395"/>
      <c r="E199" s="395"/>
      <c r="F199" s="394"/>
      <c r="G199" s="395"/>
      <c r="H199" s="395"/>
      <c r="I199" s="394"/>
      <c r="J199" s="394"/>
      <c r="K199" s="491"/>
      <c r="L199" s="394">
        <f t="shared" si="57"/>
        <v>0</v>
      </c>
      <c r="M199" s="394"/>
      <c r="N199" s="504"/>
      <c r="O199" s="395"/>
      <c r="P199" s="395"/>
      <c r="Q199" s="833"/>
      <c r="R199" s="912"/>
    </row>
    <row r="200" spans="1:20" ht="15" customHeight="1" outlineLevel="1" x14ac:dyDescent="0.25">
      <c r="A200" s="888"/>
      <c r="B200" s="395" t="s">
        <v>287</v>
      </c>
      <c r="C200" s="395">
        <v>4</v>
      </c>
      <c r="D200" s="395">
        <v>46</v>
      </c>
      <c r="E200" s="395" t="s">
        <v>280</v>
      </c>
      <c r="F200" s="395">
        <v>29</v>
      </c>
      <c r="G200" s="395">
        <v>8277</v>
      </c>
      <c r="H200" s="395">
        <v>15182</v>
      </c>
      <c r="I200" s="394">
        <f>+F200/G200*H200</f>
        <v>53.192944303491608</v>
      </c>
      <c r="J200" s="394">
        <f>+F200+I200</f>
        <v>82.192944303491601</v>
      </c>
      <c r="K200" s="492">
        <v>0.3</v>
      </c>
      <c r="L200" s="394">
        <f t="shared" si="57"/>
        <v>106.85082759453908</v>
      </c>
      <c r="M200" s="394">
        <v>125</v>
      </c>
      <c r="N200" s="504"/>
      <c r="O200" s="362"/>
      <c r="P200" s="160"/>
      <c r="Q200" s="834"/>
      <c r="R200" s="917"/>
    </row>
    <row r="201" spans="1:20" ht="15" customHeight="1" outlineLevel="1" x14ac:dyDescent="0.25">
      <c r="A201" s="888"/>
      <c r="B201" s="395" t="s">
        <v>282</v>
      </c>
      <c r="C201" s="500">
        <v>5</v>
      </c>
      <c r="D201" s="500">
        <v>44</v>
      </c>
      <c r="E201" s="395" t="s">
        <v>283</v>
      </c>
      <c r="F201" s="160">
        <v>45</v>
      </c>
      <c r="G201" s="160">
        <v>8277</v>
      </c>
      <c r="H201" s="160">
        <v>15182</v>
      </c>
      <c r="I201" s="258">
        <f>+F201/G201*H201</f>
        <v>82.540775643349036</v>
      </c>
      <c r="J201" s="258">
        <f>+F201+I201</f>
        <v>127.54077564334904</v>
      </c>
      <c r="K201" s="497">
        <v>0.3</v>
      </c>
      <c r="L201" s="394">
        <f t="shared" si="57"/>
        <v>165.80300833635374</v>
      </c>
      <c r="M201" s="258">
        <v>180</v>
      </c>
      <c r="N201" s="504"/>
      <c r="O201" s="362"/>
      <c r="P201" s="160"/>
      <c r="Q201" s="834"/>
      <c r="R201" s="917"/>
    </row>
    <row r="202" spans="1:20" s="149" customFormat="1" ht="15" customHeight="1" outlineLevel="1" x14ac:dyDescent="0.25">
      <c r="A202" s="888"/>
      <c r="B202" s="395" t="s">
        <v>297</v>
      </c>
      <c r="C202" s="395">
        <v>6</v>
      </c>
      <c r="D202" s="395">
        <v>4</v>
      </c>
      <c r="E202" s="395" t="s">
        <v>337</v>
      </c>
      <c r="F202" s="394">
        <v>12</v>
      </c>
      <c r="G202" s="395">
        <v>640</v>
      </c>
      <c r="H202" s="395">
        <v>3582</v>
      </c>
      <c r="I202" s="394">
        <f>+F202/G202*H202</f>
        <v>67.162499999999994</v>
      </c>
      <c r="J202" s="394">
        <f>+F202+I202</f>
        <v>79.162499999999994</v>
      </c>
      <c r="K202" s="492">
        <v>0.3</v>
      </c>
      <c r="L202" s="394">
        <f t="shared" si="57"/>
        <v>102.91125</v>
      </c>
      <c r="M202" s="394">
        <v>110</v>
      </c>
      <c r="N202" s="504"/>
      <c r="O202" s="395"/>
      <c r="P202" s="727" t="s">
        <v>1523</v>
      </c>
      <c r="Q202" s="840"/>
      <c r="R202" s="396"/>
    </row>
    <row r="203" spans="1:20" s="149" customFormat="1" ht="15" customHeight="1" outlineLevel="1" x14ac:dyDescent="0.25">
      <c r="A203" s="154"/>
      <c r="B203" s="395"/>
      <c r="C203" s="500"/>
      <c r="D203" s="500"/>
      <c r="E203" s="393" t="s">
        <v>310</v>
      </c>
      <c r="F203" s="394"/>
      <c r="G203" s="395"/>
      <c r="H203" s="395"/>
      <c r="I203" s="394"/>
      <c r="J203" s="394"/>
      <c r="K203" s="492"/>
      <c r="L203" s="394">
        <f t="shared" si="57"/>
        <v>0</v>
      </c>
      <c r="M203" s="394"/>
      <c r="N203" s="504"/>
      <c r="O203" s="395"/>
      <c r="P203" s="395"/>
      <c r="Q203" s="833"/>
      <c r="R203" s="396"/>
    </row>
    <row r="204" spans="1:20" s="149" customFormat="1" ht="15" customHeight="1" outlineLevel="1" x14ac:dyDescent="0.25">
      <c r="A204" s="154"/>
      <c r="B204" s="395" t="s">
        <v>302</v>
      </c>
      <c r="C204" s="395">
        <v>7</v>
      </c>
      <c r="D204" s="395">
        <v>46</v>
      </c>
      <c r="E204" s="395" t="s">
        <v>303</v>
      </c>
      <c r="F204" s="394">
        <v>18</v>
      </c>
      <c r="G204" s="395">
        <v>5000</v>
      </c>
      <c r="H204" s="395">
        <v>8919</v>
      </c>
      <c r="I204" s="394">
        <f t="shared" ref="I204:I206" si="58">+F204/G204*H204</f>
        <v>32.108399999999996</v>
      </c>
      <c r="J204" s="394">
        <f t="shared" ref="J204:J206" si="59">+F204+I204</f>
        <v>50.108399999999996</v>
      </c>
      <c r="K204" s="492">
        <v>0.3</v>
      </c>
      <c r="L204" s="394">
        <f t="shared" si="57"/>
        <v>65.140919999999994</v>
      </c>
      <c r="M204" s="394">
        <v>90</v>
      </c>
      <c r="N204" s="504"/>
      <c r="O204" s="362"/>
      <c r="P204" s="727" t="s">
        <v>1523</v>
      </c>
      <c r="Q204" s="833"/>
      <c r="R204" s="396"/>
    </row>
    <row r="205" spans="1:20" s="149" customFormat="1" ht="15" customHeight="1" outlineLevel="1" x14ac:dyDescent="0.25">
      <c r="A205" s="154"/>
      <c r="B205" s="395" t="s">
        <v>302</v>
      </c>
      <c r="C205" s="395">
        <v>8</v>
      </c>
      <c r="D205" s="395">
        <v>44</v>
      </c>
      <c r="E205" s="395" t="s">
        <v>303</v>
      </c>
      <c r="F205" s="394">
        <v>18</v>
      </c>
      <c r="G205" s="395">
        <v>5000</v>
      </c>
      <c r="H205" s="395">
        <v>8919</v>
      </c>
      <c r="I205" s="394">
        <f t="shared" si="58"/>
        <v>32.108399999999996</v>
      </c>
      <c r="J205" s="394">
        <f t="shared" si="59"/>
        <v>50.108399999999996</v>
      </c>
      <c r="K205" s="492">
        <v>0.3</v>
      </c>
      <c r="L205" s="394">
        <f t="shared" si="57"/>
        <v>65.140919999999994</v>
      </c>
      <c r="M205" s="394">
        <v>90</v>
      </c>
      <c r="N205" s="504"/>
      <c r="O205" s="362"/>
      <c r="P205" s="727" t="s">
        <v>1523</v>
      </c>
      <c r="Q205" s="833"/>
      <c r="R205" s="396"/>
    </row>
    <row r="206" spans="1:20" s="149" customFormat="1" ht="15" customHeight="1" outlineLevel="1" x14ac:dyDescent="0.25">
      <c r="A206" s="888"/>
      <c r="B206" s="395" t="s">
        <v>224</v>
      </c>
      <c r="C206" s="395">
        <v>9</v>
      </c>
      <c r="D206" s="395">
        <v>56</v>
      </c>
      <c r="E206" s="317" t="s">
        <v>305</v>
      </c>
      <c r="F206" s="493">
        <v>13</v>
      </c>
      <c r="G206" s="317">
        <v>5000</v>
      </c>
      <c r="H206" s="317">
        <v>8919</v>
      </c>
      <c r="I206" s="493">
        <f t="shared" si="58"/>
        <v>23.189399999999999</v>
      </c>
      <c r="J206" s="493">
        <f t="shared" si="59"/>
        <v>36.189399999999999</v>
      </c>
      <c r="K206" s="692">
        <v>0.3</v>
      </c>
      <c r="L206" s="493">
        <f t="shared" si="57"/>
        <v>47.046219999999998</v>
      </c>
      <c r="M206" s="493">
        <v>75</v>
      </c>
      <c r="N206" s="504"/>
      <c r="O206" s="362"/>
      <c r="P206" s="395" t="s">
        <v>2996</v>
      </c>
      <c r="Q206" s="833">
        <v>45486</v>
      </c>
      <c r="R206" s="396"/>
    </row>
    <row r="207" spans="1:20" ht="15" customHeight="1" outlineLevel="1" x14ac:dyDescent="0.25">
      <c r="B207" s="395"/>
      <c r="C207" s="395"/>
      <c r="D207" s="395"/>
      <c r="E207" s="393" t="s">
        <v>334</v>
      </c>
      <c r="F207" s="258"/>
      <c r="G207" s="160"/>
      <c r="H207" s="160"/>
      <c r="K207" s="497"/>
      <c r="L207" s="394">
        <f t="shared" si="57"/>
        <v>0</v>
      </c>
      <c r="M207" s="258"/>
      <c r="N207" s="504"/>
      <c r="O207" s="395"/>
      <c r="P207" s="160"/>
      <c r="Q207" s="834"/>
      <c r="R207" s="917"/>
    </row>
    <row r="208" spans="1:20" ht="15" customHeight="1" outlineLevel="1" x14ac:dyDescent="0.25">
      <c r="A208" s="888"/>
      <c r="B208" s="395" t="s">
        <v>326</v>
      </c>
      <c r="C208" s="395">
        <v>10</v>
      </c>
      <c r="D208" s="500" t="s">
        <v>500</v>
      </c>
      <c r="E208" s="395" t="s">
        <v>311</v>
      </c>
      <c r="F208" s="258">
        <v>8</v>
      </c>
      <c r="G208" s="160">
        <v>5877</v>
      </c>
      <c r="H208" s="160">
        <v>11925</v>
      </c>
      <c r="I208" s="258">
        <f t="shared" ref="I208:I221" si="60">+F208/G208*H208</f>
        <v>16.232771822358348</v>
      </c>
      <c r="J208" s="258">
        <f t="shared" ref="J208:J221" si="61">+F208+I208</f>
        <v>24.232771822358348</v>
      </c>
      <c r="K208" s="497">
        <v>0.3</v>
      </c>
      <c r="L208" s="394">
        <f t="shared" si="57"/>
        <v>31.502603369065852</v>
      </c>
      <c r="M208" s="258">
        <v>180</v>
      </c>
      <c r="N208" s="504"/>
      <c r="O208" s="362"/>
      <c r="P208" s="160"/>
      <c r="Q208" s="834"/>
      <c r="R208" s="917"/>
    </row>
    <row r="209" spans="1:20" ht="15" customHeight="1" outlineLevel="1" x14ac:dyDescent="0.25">
      <c r="A209" s="154" t="s">
        <v>312</v>
      </c>
      <c r="B209" s="395" t="s">
        <v>313</v>
      </c>
      <c r="C209" s="395">
        <v>11</v>
      </c>
      <c r="D209" s="395">
        <v>6</v>
      </c>
      <c r="E209" s="395" t="s">
        <v>314</v>
      </c>
      <c r="F209" s="258">
        <v>10</v>
      </c>
      <c r="G209" s="160">
        <v>5877</v>
      </c>
      <c r="H209" s="160">
        <v>11925</v>
      </c>
      <c r="I209" s="258">
        <f t="shared" si="60"/>
        <v>20.290964777947934</v>
      </c>
      <c r="J209" s="258">
        <f t="shared" si="61"/>
        <v>30.290964777947934</v>
      </c>
      <c r="K209" s="497">
        <v>0.3</v>
      </c>
      <c r="L209" s="394">
        <f t="shared" ref="L209:L229" si="62">+J209*K209+J209</f>
        <v>39.378254211332312</v>
      </c>
      <c r="M209" s="258">
        <v>180</v>
      </c>
      <c r="N209" s="504"/>
      <c r="O209" s="362"/>
      <c r="P209" s="160"/>
      <c r="Q209" s="834"/>
      <c r="R209" s="917"/>
    </row>
    <row r="210" spans="1:20" ht="15" customHeight="1" outlineLevel="1" x14ac:dyDescent="0.25">
      <c r="B210" s="395" t="s">
        <v>313</v>
      </c>
      <c r="C210" s="500">
        <v>12</v>
      </c>
      <c r="D210" s="395">
        <v>8</v>
      </c>
      <c r="E210" s="395" t="s">
        <v>314</v>
      </c>
      <c r="F210" s="258">
        <v>10</v>
      </c>
      <c r="G210" s="160">
        <v>5877</v>
      </c>
      <c r="H210" s="160">
        <v>11925</v>
      </c>
      <c r="I210" s="258">
        <f t="shared" si="60"/>
        <v>20.290964777947934</v>
      </c>
      <c r="J210" s="258">
        <f t="shared" si="61"/>
        <v>30.290964777947934</v>
      </c>
      <c r="K210" s="497">
        <v>0.3</v>
      </c>
      <c r="L210" s="394">
        <f t="shared" si="62"/>
        <v>39.378254211332312</v>
      </c>
      <c r="M210" s="258">
        <v>180</v>
      </c>
      <c r="N210" s="504"/>
      <c r="O210" s="362"/>
      <c r="P210" s="160"/>
      <c r="Q210" s="834"/>
      <c r="R210" s="917"/>
    </row>
    <row r="211" spans="1:20" ht="15" customHeight="1" outlineLevel="1" x14ac:dyDescent="0.25">
      <c r="A211" s="149"/>
      <c r="B211" s="395" t="s">
        <v>313</v>
      </c>
      <c r="C211" s="395">
        <v>13</v>
      </c>
      <c r="D211" s="500" t="s">
        <v>499</v>
      </c>
      <c r="E211" s="395" t="s">
        <v>314</v>
      </c>
      <c r="F211" s="258">
        <v>10</v>
      </c>
      <c r="G211" s="160">
        <v>5877</v>
      </c>
      <c r="H211" s="160">
        <v>11925</v>
      </c>
      <c r="I211" s="258">
        <f t="shared" si="60"/>
        <v>20.290964777947934</v>
      </c>
      <c r="J211" s="258">
        <f t="shared" si="61"/>
        <v>30.290964777947934</v>
      </c>
      <c r="K211" s="497">
        <v>0.3</v>
      </c>
      <c r="L211" s="394">
        <f t="shared" si="62"/>
        <v>39.378254211332312</v>
      </c>
      <c r="M211" s="258">
        <v>180</v>
      </c>
      <c r="N211" s="504"/>
      <c r="O211" s="362"/>
      <c r="P211" s="160"/>
      <c r="Q211" s="834"/>
      <c r="R211" s="917"/>
    </row>
    <row r="212" spans="1:20" ht="15" customHeight="1" outlineLevel="1" x14ac:dyDescent="0.25">
      <c r="A212" s="149"/>
      <c r="B212" s="395" t="s">
        <v>313</v>
      </c>
      <c r="C212" s="395">
        <v>14</v>
      </c>
      <c r="D212" s="395" t="s">
        <v>497</v>
      </c>
      <c r="E212" s="395" t="s">
        <v>314</v>
      </c>
      <c r="F212" s="258">
        <v>10</v>
      </c>
      <c r="G212" s="160">
        <v>5877</v>
      </c>
      <c r="H212" s="160">
        <v>11925</v>
      </c>
      <c r="I212" s="258">
        <f t="shared" si="60"/>
        <v>20.290964777947934</v>
      </c>
      <c r="J212" s="258">
        <f t="shared" si="61"/>
        <v>30.290964777947934</v>
      </c>
      <c r="K212" s="497">
        <v>0.3</v>
      </c>
      <c r="L212" s="394">
        <f t="shared" si="62"/>
        <v>39.378254211332312</v>
      </c>
      <c r="M212" s="258">
        <v>180</v>
      </c>
      <c r="N212" s="504"/>
      <c r="O212" s="362"/>
      <c r="P212" s="160"/>
      <c r="Q212" s="834"/>
      <c r="R212" s="917"/>
    </row>
    <row r="213" spans="1:20" ht="15" hidden="1" customHeight="1" outlineLevel="1" x14ac:dyDescent="0.25">
      <c r="A213" s="149"/>
      <c r="B213" s="395" t="s">
        <v>313</v>
      </c>
      <c r="C213" s="500">
        <v>15</v>
      </c>
      <c r="D213" s="395" t="s">
        <v>498</v>
      </c>
      <c r="E213" s="317" t="s">
        <v>314</v>
      </c>
      <c r="F213" s="493">
        <v>10</v>
      </c>
      <c r="G213" s="317">
        <v>5877</v>
      </c>
      <c r="H213" s="317">
        <v>11925</v>
      </c>
      <c r="I213" s="493">
        <f t="shared" si="60"/>
        <v>20.290964777947934</v>
      </c>
      <c r="J213" s="493">
        <f t="shared" si="61"/>
        <v>30.290964777947934</v>
      </c>
      <c r="K213" s="692">
        <v>0.3</v>
      </c>
      <c r="L213" s="493">
        <f t="shared" si="62"/>
        <v>39.378254211332312</v>
      </c>
      <c r="M213" s="493">
        <v>180</v>
      </c>
      <c r="N213" s="504"/>
      <c r="O213" s="362"/>
      <c r="P213" s="160" t="s">
        <v>2917</v>
      </c>
      <c r="Q213" s="834">
        <v>45468</v>
      </c>
      <c r="R213" s="917"/>
    </row>
    <row r="214" spans="1:20" ht="15" customHeight="1" outlineLevel="1" x14ac:dyDescent="0.25">
      <c r="A214" s="889"/>
      <c r="B214" s="395" t="s">
        <v>323</v>
      </c>
      <c r="C214" s="395">
        <v>16</v>
      </c>
      <c r="D214" s="500">
        <v>10</v>
      </c>
      <c r="E214" s="395" t="s">
        <v>315</v>
      </c>
      <c r="F214" s="258">
        <v>10</v>
      </c>
      <c r="G214" s="160">
        <v>5877</v>
      </c>
      <c r="H214" s="160">
        <v>11925</v>
      </c>
      <c r="I214" s="258">
        <f t="shared" si="60"/>
        <v>20.290964777947934</v>
      </c>
      <c r="J214" s="258">
        <f t="shared" si="61"/>
        <v>30.290964777947934</v>
      </c>
      <c r="K214" s="497">
        <v>0.3</v>
      </c>
      <c r="L214" s="394">
        <f t="shared" si="62"/>
        <v>39.378254211332312</v>
      </c>
      <c r="M214" s="258">
        <v>125</v>
      </c>
      <c r="N214" s="504"/>
      <c r="O214" s="362"/>
      <c r="P214" s="160"/>
      <c r="Q214" s="834"/>
      <c r="R214" s="917"/>
    </row>
    <row r="215" spans="1:20" ht="15" customHeight="1" outlineLevel="1" x14ac:dyDescent="0.25">
      <c r="A215" s="889"/>
      <c r="B215" s="395" t="s">
        <v>327</v>
      </c>
      <c r="C215" s="395">
        <v>17</v>
      </c>
      <c r="D215" s="500" t="s">
        <v>498</v>
      </c>
      <c r="E215" s="395" t="s">
        <v>328</v>
      </c>
      <c r="F215" s="258">
        <v>10</v>
      </c>
      <c r="G215" s="160">
        <v>5877</v>
      </c>
      <c r="H215" s="160">
        <v>11925</v>
      </c>
      <c r="I215" s="258">
        <f t="shared" si="60"/>
        <v>20.290964777947934</v>
      </c>
      <c r="J215" s="258">
        <f t="shared" si="61"/>
        <v>30.290964777947934</v>
      </c>
      <c r="K215" s="497">
        <v>0.3</v>
      </c>
      <c r="L215" s="394">
        <f t="shared" si="62"/>
        <v>39.378254211332312</v>
      </c>
      <c r="M215" s="258">
        <v>180</v>
      </c>
      <c r="N215" s="504"/>
      <c r="O215" s="362"/>
      <c r="P215" s="160"/>
      <c r="Q215" s="834"/>
      <c r="R215" s="917"/>
    </row>
    <row r="216" spans="1:20" ht="15" customHeight="1" outlineLevel="1" x14ac:dyDescent="0.25">
      <c r="A216" s="149"/>
      <c r="B216" s="395" t="s">
        <v>322</v>
      </c>
      <c r="C216" s="500">
        <v>18</v>
      </c>
      <c r="D216" s="500">
        <v>10</v>
      </c>
      <c r="E216" s="395" t="s">
        <v>338</v>
      </c>
      <c r="F216" s="258">
        <v>10</v>
      </c>
      <c r="G216" s="160">
        <v>5877</v>
      </c>
      <c r="H216" s="160">
        <v>11925</v>
      </c>
      <c r="I216" s="258">
        <f t="shared" si="60"/>
        <v>20.290964777947934</v>
      </c>
      <c r="J216" s="258">
        <f t="shared" si="61"/>
        <v>30.290964777947934</v>
      </c>
      <c r="K216" s="497">
        <v>0.3</v>
      </c>
      <c r="L216" s="394">
        <f t="shared" si="62"/>
        <v>39.378254211332312</v>
      </c>
      <c r="M216" s="258">
        <v>125</v>
      </c>
      <c r="N216" s="504"/>
      <c r="O216" s="362"/>
      <c r="P216" s="160"/>
      <c r="Q216" s="834"/>
      <c r="R216" s="917"/>
    </row>
    <row r="217" spans="1:20" s="149" customFormat="1" ht="15" customHeight="1" outlineLevel="1" x14ac:dyDescent="0.25">
      <c r="B217" s="395" t="s">
        <v>322</v>
      </c>
      <c r="C217" s="395">
        <v>19</v>
      </c>
      <c r="D217" s="395">
        <v>14</v>
      </c>
      <c r="E217" s="395" t="s">
        <v>338</v>
      </c>
      <c r="F217" s="258">
        <v>10</v>
      </c>
      <c r="G217" s="160">
        <v>5877</v>
      </c>
      <c r="H217" s="160">
        <v>11925</v>
      </c>
      <c r="I217" s="258">
        <f t="shared" si="60"/>
        <v>20.290964777947934</v>
      </c>
      <c r="J217" s="258">
        <f t="shared" si="61"/>
        <v>30.290964777947934</v>
      </c>
      <c r="K217" s="497">
        <v>0.3</v>
      </c>
      <c r="L217" s="394">
        <f t="shared" si="62"/>
        <v>39.378254211332312</v>
      </c>
      <c r="M217" s="258">
        <v>125</v>
      </c>
      <c r="N217" s="504"/>
      <c r="O217" s="362"/>
      <c r="P217" s="160"/>
      <c r="Q217" s="834"/>
      <c r="R217" s="917"/>
      <c r="S217" s="11"/>
      <c r="T217" s="11"/>
    </row>
    <row r="218" spans="1:20" ht="15" customHeight="1" outlineLevel="1" x14ac:dyDescent="0.25">
      <c r="A218" s="889"/>
      <c r="B218" s="395" t="s">
        <v>324</v>
      </c>
      <c r="C218" s="395">
        <v>20</v>
      </c>
      <c r="D218" s="500">
        <v>8</v>
      </c>
      <c r="E218" s="395" t="s">
        <v>325</v>
      </c>
      <c r="F218" s="258">
        <v>11</v>
      </c>
      <c r="G218" s="160">
        <v>5877</v>
      </c>
      <c r="H218" s="160">
        <v>11925</v>
      </c>
      <c r="I218" s="258">
        <f t="shared" si="60"/>
        <v>22.320061255742726</v>
      </c>
      <c r="J218" s="258">
        <f t="shared" si="61"/>
        <v>33.320061255742729</v>
      </c>
      <c r="K218" s="497">
        <v>0.3</v>
      </c>
      <c r="L218" s="394">
        <f t="shared" si="62"/>
        <v>43.316079632465545</v>
      </c>
      <c r="M218" s="258">
        <v>180</v>
      </c>
      <c r="N218" s="504"/>
      <c r="O218" s="362"/>
      <c r="P218" s="160"/>
      <c r="Q218" s="834"/>
      <c r="R218" s="917"/>
    </row>
    <row r="219" spans="1:20" s="149" customFormat="1" ht="15" customHeight="1" outlineLevel="1" x14ac:dyDescent="0.25">
      <c r="A219" s="154"/>
      <c r="B219" s="395" t="s">
        <v>336</v>
      </c>
      <c r="C219" s="500">
        <v>21</v>
      </c>
      <c r="D219" s="500">
        <v>14</v>
      </c>
      <c r="E219" s="395" t="s">
        <v>332</v>
      </c>
      <c r="F219" s="394">
        <v>14</v>
      </c>
      <c r="G219" s="395">
        <v>5877</v>
      </c>
      <c r="H219" s="395">
        <v>11925</v>
      </c>
      <c r="I219" s="394">
        <f t="shared" si="60"/>
        <v>28.407350689127107</v>
      </c>
      <c r="J219" s="394">
        <f t="shared" si="61"/>
        <v>42.407350689127107</v>
      </c>
      <c r="K219" s="492">
        <v>0.3</v>
      </c>
      <c r="L219" s="394">
        <f t="shared" si="62"/>
        <v>55.129555895865238</v>
      </c>
      <c r="M219" s="394">
        <v>125</v>
      </c>
      <c r="N219" s="504"/>
      <c r="O219" s="362"/>
      <c r="P219" s="395"/>
      <c r="Q219" s="833"/>
      <c r="R219" s="396"/>
    </row>
    <row r="220" spans="1:20" s="149" customFormat="1" ht="15" customHeight="1" outlineLevel="1" x14ac:dyDescent="0.25">
      <c r="A220" s="154"/>
      <c r="B220" s="395" t="s">
        <v>336</v>
      </c>
      <c r="C220" s="395">
        <v>22</v>
      </c>
      <c r="D220" s="500">
        <v>16</v>
      </c>
      <c r="E220" s="395" t="s">
        <v>332</v>
      </c>
      <c r="F220" s="394">
        <v>14</v>
      </c>
      <c r="G220" s="395">
        <v>5877</v>
      </c>
      <c r="H220" s="395">
        <v>11925</v>
      </c>
      <c r="I220" s="394">
        <f t="shared" si="60"/>
        <v>28.407350689127107</v>
      </c>
      <c r="J220" s="394">
        <f t="shared" si="61"/>
        <v>42.407350689127107</v>
      </c>
      <c r="K220" s="492">
        <v>0.3</v>
      </c>
      <c r="L220" s="394">
        <f t="shared" si="62"/>
        <v>55.129555895865238</v>
      </c>
      <c r="M220" s="394">
        <v>125</v>
      </c>
      <c r="N220" s="504"/>
      <c r="O220" s="362"/>
      <c r="P220" s="395"/>
      <c r="Q220" s="833"/>
      <c r="R220" s="396"/>
    </row>
    <row r="221" spans="1:20" s="149" customFormat="1" ht="15" customHeight="1" outlineLevel="1" x14ac:dyDescent="0.25">
      <c r="A221" s="889"/>
      <c r="B221" s="395" t="s">
        <v>297</v>
      </c>
      <c r="C221" s="395">
        <v>23</v>
      </c>
      <c r="D221" s="500">
        <v>4</v>
      </c>
      <c r="E221" s="395" t="s">
        <v>329</v>
      </c>
      <c r="F221" s="394">
        <v>8.5</v>
      </c>
      <c r="G221" s="395">
        <v>5877</v>
      </c>
      <c r="H221" s="395">
        <v>11925</v>
      </c>
      <c r="I221" s="394">
        <f t="shared" si="60"/>
        <v>17.247320061255742</v>
      </c>
      <c r="J221" s="394">
        <f t="shared" si="61"/>
        <v>25.747320061255742</v>
      </c>
      <c r="K221" s="492">
        <v>0.3</v>
      </c>
      <c r="L221" s="394">
        <f t="shared" si="62"/>
        <v>33.471516079632465</v>
      </c>
      <c r="M221" s="394">
        <v>80</v>
      </c>
      <c r="N221" s="504"/>
      <c r="O221" s="362"/>
      <c r="P221" s="395"/>
      <c r="Q221" s="833"/>
      <c r="R221" s="396"/>
    </row>
    <row r="222" spans="1:20" s="149" customFormat="1" ht="15" customHeight="1" outlineLevel="1" x14ac:dyDescent="0.25">
      <c r="B222" s="395"/>
      <c r="C222" s="395"/>
      <c r="D222" s="395"/>
      <c r="E222" s="393" t="s">
        <v>335</v>
      </c>
      <c r="F222" s="394"/>
      <c r="G222" s="395"/>
      <c r="H222" s="395"/>
      <c r="I222" s="394"/>
      <c r="J222" s="394"/>
      <c r="K222" s="492"/>
      <c r="L222" s="394">
        <f t="shared" si="62"/>
        <v>0</v>
      </c>
      <c r="M222" s="394"/>
      <c r="N222" s="504"/>
      <c r="O222" s="395"/>
      <c r="P222" s="395"/>
      <c r="Q222" s="833"/>
      <c r="R222" s="396"/>
    </row>
    <row r="223" spans="1:20" s="149" customFormat="1" ht="15" customHeight="1" outlineLevel="1" x14ac:dyDescent="0.25">
      <c r="A223" s="154"/>
      <c r="B223" s="395" t="s">
        <v>157</v>
      </c>
      <c r="C223" s="395">
        <v>24</v>
      </c>
      <c r="D223" s="395">
        <v>44</v>
      </c>
      <c r="E223" s="395" t="s">
        <v>316</v>
      </c>
      <c r="F223" s="394">
        <v>28</v>
      </c>
      <c r="G223" s="395">
        <v>5877</v>
      </c>
      <c r="H223" s="395">
        <v>11925</v>
      </c>
      <c r="I223" s="394">
        <f t="shared" ref="I223:I228" si="63">+F223/G223*H223</f>
        <v>56.814701378254213</v>
      </c>
      <c r="J223" s="394">
        <f t="shared" ref="J223:J228" si="64">+F223+I223</f>
        <v>84.814701378254213</v>
      </c>
      <c r="K223" s="492">
        <v>0.3</v>
      </c>
      <c r="L223" s="394">
        <f t="shared" si="62"/>
        <v>110.25911179173048</v>
      </c>
      <c r="M223" s="394">
        <v>125</v>
      </c>
      <c r="N223" s="504"/>
      <c r="O223" s="362"/>
      <c r="P223" s="395"/>
      <c r="Q223" s="833"/>
      <c r="R223" s="396"/>
    </row>
    <row r="224" spans="1:20" s="149" customFormat="1" ht="15" customHeight="1" outlineLevel="1" x14ac:dyDescent="0.25">
      <c r="A224" s="154"/>
      <c r="B224" s="395" t="s">
        <v>157</v>
      </c>
      <c r="C224" s="395">
        <v>25</v>
      </c>
      <c r="D224" s="395">
        <v>46</v>
      </c>
      <c r="E224" s="395" t="s">
        <v>316</v>
      </c>
      <c r="F224" s="394">
        <v>28</v>
      </c>
      <c r="G224" s="395">
        <v>5877</v>
      </c>
      <c r="H224" s="395">
        <v>11925</v>
      </c>
      <c r="I224" s="394">
        <f t="shared" si="63"/>
        <v>56.814701378254213</v>
      </c>
      <c r="J224" s="394">
        <f t="shared" si="64"/>
        <v>84.814701378254213</v>
      </c>
      <c r="K224" s="492">
        <v>0.3</v>
      </c>
      <c r="L224" s="394">
        <f t="shared" si="62"/>
        <v>110.25911179173048</v>
      </c>
      <c r="M224" s="394">
        <v>125</v>
      </c>
      <c r="N224" s="504"/>
      <c r="O224" s="362"/>
      <c r="P224" s="395"/>
      <c r="Q224" s="833"/>
      <c r="R224" s="396"/>
    </row>
    <row r="225" spans="1:20" s="395" customFormat="1" ht="15.75" outlineLevel="1" x14ac:dyDescent="0.25">
      <c r="A225" s="154"/>
      <c r="B225" s="395" t="s">
        <v>157</v>
      </c>
      <c r="C225" s="395">
        <v>26</v>
      </c>
      <c r="D225" s="395">
        <v>48</v>
      </c>
      <c r="E225" s="395" t="s">
        <v>316</v>
      </c>
      <c r="F225" s="394">
        <v>28</v>
      </c>
      <c r="G225" s="395">
        <v>5877</v>
      </c>
      <c r="H225" s="395">
        <v>11925</v>
      </c>
      <c r="I225" s="394">
        <f t="shared" si="63"/>
        <v>56.814701378254213</v>
      </c>
      <c r="J225" s="394">
        <f t="shared" si="64"/>
        <v>84.814701378254213</v>
      </c>
      <c r="K225" s="492">
        <v>0.3</v>
      </c>
      <c r="L225" s="394">
        <f t="shared" si="62"/>
        <v>110.25911179173048</v>
      </c>
      <c r="M225" s="394">
        <v>125</v>
      </c>
      <c r="N225" s="504"/>
      <c r="O225" s="362"/>
      <c r="Q225" s="833"/>
      <c r="R225" s="396"/>
      <c r="S225" s="149"/>
      <c r="T225" s="149"/>
    </row>
    <row r="226" spans="1:20" s="395" customFormat="1" ht="15.75" outlineLevel="1" x14ac:dyDescent="0.25">
      <c r="A226" s="888"/>
      <c r="B226" s="395" t="s">
        <v>228</v>
      </c>
      <c r="C226" s="395">
        <v>27</v>
      </c>
      <c r="D226" s="395">
        <v>50</v>
      </c>
      <c r="E226" s="395" t="s">
        <v>1711</v>
      </c>
      <c r="F226" s="394">
        <v>25</v>
      </c>
      <c r="G226" s="395">
        <v>5877</v>
      </c>
      <c r="H226" s="395">
        <v>11925</v>
      </c>
      <c r="I226" s="394">
        <f t="shared" ref="I226" si="65">+F226/G226*H226</f>
        <v>50.727411944869829</v>
      </c>
      <c r="J226" s="394">
        <f t="shared" ref="J226" si="66">+F226+I226</f>
        <v>75.727411944869829</v>
      </c>
      <c r="K226" s="492">
        <v>0.3</v>
      </c>
      <c r="L226" s="394">
        <f t="shared" ref="L226" si="67">+J226*K226+J226</f>
        <v>98.445635528330769</v>
      </c>
      <c r="M226" s="394">
        <v>125</v>
      </c>
      <c r="N226" s="504"/>
      <c r="O226" s="362"/>
      <c r="P226" s="319" t="s">
        <v>1710</v>
      </c>
      <c r="Q226" s="833"/>
      <c r="R226" s="396"/>
      <c r="S226" s="149"/>
      <c r="T226" s="149"/>
    </row>
    <row r="227" spans="1:20" s="395" customFormat="1" ht="15.75" outlineLevel="1" x14ac:dyDescent="0.25">
      <c r="A227" s="888"/>
      <c r="B227" s="395" t="s">
        <v>309</v>
      </c>
      <c r="C227" s="395">
        <v>28</v>
      </c>
      <c r="D227" s="395">
        <v>40</v>
      </c>
      <c r="E227" s="395" t="s">
        <v>317</v>
      </c>
      <c r="F227" s="394">
        <v>22</v>
      </c>
      <c r="G227" s="395">
        <v>5877</v>
      </c>
      <c r="H227" s="395">
        <v>11925</v>
      </c>
      <c r="I227" s="394">
        <f t="shared" si="63"/>
        <v>44.640122511485451</v>
      </c>
      <c r="J227" s="394">
        <f t="shared" si="64"/>
        <v>66.640122511485458</v>
      </c>
      <c r="K227" s="492">
        <v>0.3</v>
      </c>
      <c r="L227" s="394">
        <f t="shared" si="62"/>
        <v>86.63215926493109</v>
      </c>
      <c r="M227" s="394">
        <v>110</v>
      </c>
      <c r="N227" s="504"/>
      <c r="O227" s="362"/>
      <c r="Q227" s="833"/>
      <c r="R227" s="396"/>
      <c r="S227" s="149"/>
      <c r="T227" s="149"/>
    </row>
    <row r="228" spans="1:20" s="395" customFormat="1" ht="15.75" outlineLevel="1" x14ac:dyDescent="0.25">
      <c r="A228" s="888"/>
      <c r="B228" s="395" t="s">
        <v>1210</v>
      </c>
      <c r="C228" s="395">
        <v>29</v>
      </c>
      <c r="D228" s="395">
        <v>42</v>
      </c>
      <c r="E228" s="395" t="s">
        <v>318</v>
      </c>
      <c r="F228" s="394">
        <v>27</v>
      </c>
      <c r="G228" s="395">
        <v>5877</v>
      </c>
      <c r="H228" s="395">
        <v>11925</v>
      </c>
      <c r="I228" s="394">
        <f t="shared" si="63"/>
        <v>54.785604900459425</v>
      </c>
      <c r="J228" s="394">
        <f t="shared" si="64"/>
        <v>81.785604900459418</v>
      </c>
      <c r="K228" s="492">
        <v>0.3</v>
      </c>
      <c r="L228" s="394">
        <f t="shared" si="62"/>
        <v>106.32128637059725</v>
      </c>
      <c r="M228" s="394">
        <v>110</v>
      </c>
      <c r="N228" s="504"/>
      <c r="O228" s="362"/>
      <c r="P228" s="659" t="s">
        <v>1523</v>
      </c>
      <c r="Q228" s="833"/>
      <c r="R228" s="396"/>
      <c r="S228" s="149"/>
      <c r="T228" s="149"/>
    </row>
    <row r="229" spans="1:20" s="395" customFormat="1" ht="15.75" outlineLevel="1" x14ac:dyDescent="0.25">
      <c r="A229" s="154"/>
      <c r="B229" s="393" t="s">
        <v>383</v>
      </c>
      <c r="C229" s="500"/>
      <c r="D229" s="500"/>
      <c r="F229" s="394"/>
      <c r="I229" s="394"/>
      <c r="J229" s="394"/>
      <c r="K229" s="492"/>
      <c r="L229" s="394">
        <f t="shared" si="62"/>
        <v>0</v>
      </c>
      <c r="M229" s="394"/>
      <c r="N229" s="504"/>
      <c r="Q229" s="833"/>
      <c r="R229" s="396"/>
      <c r="S229" s="149"/>
      <c r="T229" s="149"/>
    </row>
    <row r="230" spans="1:20" s="395" customFormat="1" ht="15.75" outlineLevel="1" x14ac:dyDescent="0.25">
      <c r="A230" s="890"/>
      <c r="B230" s="395" t="s">
        <v>371</v>
      </c>
      <c r="C230" s="395">
        <v>30</v>
      </c>
      <c r="D230" s="395">
        <v>8</v>
      </c>
      <c r="E230" s="395" t="s">
        <v>354</v>
      </c>
      <c r="F230" s="394">
        <v>23</v>
      </c>
      <c r="G230" s="179">
        <v>5690</v>
      </c>
      <c r="H230" s="394">
        <v>9443</v>
      </c>
      <c r="I230" s="394">
        <f t="shared" ref="I230:I237" si="68">+F230/G230*H230</f>
        <v>38.170298769771527</v>
      </c>
      <c r="J230" s="394">
        <f t="shared" ref="J230:J237" si="69">+F230+I230</f>
        <v>61.170298769771527</v>
      </c>
      <c r="K230" s="491">
        <v>0.3</v>
      </c>
      <c r="L230" s="394">
        <f t="shared" ref="L230:L249" si="70">+J230*K230+J230</f>
        <v>79.521388400702989</v>
      </c>
      <c r="M230" s="394">
        <v>90</v>
      </c>
      <c r="N230" s="504"/>
      <c r="O230" s="362"/>
      <c r="Q230" s="833"/>
      <c r="R230" s="396"/>
    </row>
    <row r="231" spans="1:20" s="395" customFormat="1" ht="15.75" outlineLevel="1" x14ac:dyDescent="0.25">
      <c r="A231" s="890"/>
      <c r="B231" s="395" t="s">
        <v>374</v>
      </c>
      <c r="C231" s="395">
        <v>31</v>
      </c>
      <c r="D231" s="395" t="s">
        <v>503</v>
      </c>
      <c r="E231" s="395" t="s">
        <v>355</v>
      </c>
      <c r="F231" s="394">
        <v>10</v>
      </c>
      <c r="G231" s="179">
        <v>5690</v>
      </c>
      <c r="H231" s="394">
        <v>9443</v>
      </c>
      <c r="I231" s="394">
        <f t="shared" si="68"/>
        <v>16.595782073813709</v>
      </c>
      <c r="J231" s="394">
        <f t="shared" si="69"/>
        <v>26.595782073813709</v>
      </c>
      <c r="K231" s="491">
        <v>0.3</v>
      </c>
      <c r="L231" s="394">
        <f t="shared" si="70"/>
        <v>34.574516695957819</v>
      </c>
      <c r="M231" s="394">
        <v>65</v>
      </c>
      <c r="N231" s="504"/>
      <c r="O231" s="362"/>
      <c r="Q231" s="833"/>
      <c r="R231" s="396"/>
    </row>
    <row r="232" spans="1:20" s="395" customFormat="1" ht="15.75" outlineLevel="1" x14ac:dyDescent="0.25">
      <c r="A232" s="393"/>
      <c r="B232" s="395" t="s">
        <v>372</v>
      </c>
      <c r="C232" s="395">
        <v>32</v>
      </c>
      <c r="D232" s="395">
        <v>42</v>
      </c>
      <c r="E232" s="395" t="s">
        <v>361</v>
      </c>
      <c r="F232" s="394">
        <v>15</v>
      </c>
      <c r="G232" s="179">
        <v>5690</v>
      </c>
      <c r="H232" s="394">
        <v>9443</v>
      </c>
      <c r="I232" s="394">
        <f t="shared" si="68"/>
        <v>24.893673110720563</v>
      </c>
      <c r="J232" s="394">
        <f t="shared" si="69"/>
        <v>39.893673110720563</v>
      </c>
      <c r="K232" s="491">
        <v>0.3</v>
      </c>
      <c r="L232" s="394">
        <f t="shared" si="70"/>
        <v>51.861775043936731</v>
      </c>
      <c r="M232" s="394">
        <v>110</v>
      </c>
      <c r="N232" s="504"/>
      <c r="O232" s="362"/>
      <c r="Q232" s="833"/>
      <c r="R232" s="396"/>
    </row>
    <row r="233" spans="1:20" s="395" customFormat="1" ht="15.75" outlineLevel="1" x14ac:dyDescent="0.25">
      <c r="A233" s="393"/>
      <c r="B233" s="395" t="s">
        <v>372</v>
      </c>
      <c r="C233" s="395">
        <v>33</v>
      </c>
      <c r="D233" s="395">
        <v>46</v>
      </c>
      <c r="E233" s="395" t="s">
        <v>361</v>
      </c>
      <c r="F233" s="394">
        <v>15</v>
      </c>
      <c r="G233" s="179">
        <v>5690</v>
      </c>
      <c r="H233" s="394">
        <v>9443</v>
      </c>
      <c r="I233" s="394">
        <f t="shared" si="68"/>
        <v>24.893673110720563</v>
      </c>
      <c r="J233" s="394">
        <f t="shared" si="69"/>
        <v>39.893673110720563</v>
      </c>
      <c r="K233" s="491">
        <v>0.3</v>
      </c>
      <c r="L233" s="394">
        <f t="shared" si="70"/>
        <v>51.861775043936731</v>
      </c>
      <c r="M233" s="394">
        <v>110</v>
      </c>
      <c r="N233" s="504"/>
      <c r="O233" s="362"/>
      <c r="Q233" s="833"/>
      <c r="R233" s="396"/>
    </row>
    <row r="234" spans="1:20" s="395" customFormat="1" ht="15.75" hidden="1" outlineLevel="1" x14ac:dyDescent="0.25">
      <c r="A234" s="393"/>
      <c r="B234" s="395" t="s">
        <v>14</v>
      </c>
      <c r="C234" s="395">
        <v>34</v>
      </c>
      <c r="E234" s="317" t="s">
        <v>362</v>
      </c>
      <c r="F234" s="493">
        <v>15</v>
      </c>
      <c r="G234" s="509">
        <v>5690</v>
      </c>
      <c r="H234" s="493">
        <v>9443</v>
      </c>
      <c r="I234" s="493">
        <f t="shared" si="68"/>
        <v>24.893673110720563</v>
      </c>
      <c r="J234" s="493">
        <f t="shared" si="69"/>
        <v>39.893673110720563</v>
      </c>
      <c r="K234" s="533">
        <v>0.3</v>
      </c>
      <c r="L234" s="493">
        <f t="shared" si="70"/>
        <v>51.861775043936731</v>
      </c>
      <c r="M234" s="493">
        <v>90</v>
      </c>
      <c r="N234" s="504">
        <v>25</v>
      </c>
      <c r="O234" s="362"/>
      <c r="P234" s="395" t="s">
        <v>12</v>
      </c>
      <c r="Q234" s="833">
        <v>45352</v>
      </c>
      <c r="R234" s="396">
        <f>+N234*15000</f>
        <v>375000</v>
      </c>
    </row>
    <row r="235" spans="1:20" s="395" customFormat="1" ht="15.75" hidden="1" outlineLevel="1" x14ac:dyDescent="0.25">
      <c r="A235" s="890"/>
      <c r="B235" s="395" t="s">
        <v>375</v>
      </c>
      <c r="C235" s="395">
        <v>35</v>
      </c>
      <c r="D235" s="395">
        <v>46</v>
      </c>
      <c r="E235" s="317" t="s">
        <v>363</v>
      </c>
      <c r="F235" s="493">
        <v>20</v>
      </c>
      <c r="G235" s="509">
        <v>5690</v>
      </c>
      <c r="H235" s="493">
        <v>9443</v>
      </c>
      <c r="I235" s="493">
        <f t="shared" si="68"/>
        <v>33.191564147627417</v>
      </c>
      <c r="J235" s="493">
        <f t="shared" si="69"/>
        <v>53.191564147627417</v>
      </c>
      <c r="K235" s="533">
        <v>0.3</v>
      </c>
      <c r="L235" s="493">
        <f t="shared" si="70"/>
        <v>69.149033391915637</v>
      </c>
      <c r="M235" s="493">
        <v>110</v>
      </c>
      <c r="N235" s="504">
        <v>50</v>
      </c>
      <c r="O235" s="362"/>
      <c r="P235" s="395" t="s">
        <v>2575</v>
      </c>
      <c r="Q235" s="833">
        <v>45421</v>
      </c>
      <c r="R235" s="396">
        <f>+N235*14.5</f>
        <v>725</v>
      </c>
    </row>
    <row r="236" spans="1:20" s="395" customFormat="1" ht="15.75" outlineLevel="1" x14ac:dyDescent="0.25">
      <c r="A236" s="393" t="s">
        <v>364</v>
      </c>
      <c r="B236" s="395" t="s">
        <v>365</v>
      </c>
      <c r="C236" s="395">
        <v>36</v>
      </c>
      <c r="D236" s="395">
        <v>36</v>
      </c>
      <c r="E236" s="395" t="s">
        <v>366</v>
      </c>
      <c r="F236" s="394">
        <v>23</v>
      </c>
      <c r="G236" s="179">
        <v>5690</v>
      </c>
      <c r="H236" s="394">
        <v>9443</v>
      </c>
      <c r="I236" s="394">
        <f t="shared" si="68"/>
        <v>38.170298769771527</v>
      </c>
      <c r="J236" s="394">
        <f t="shared" si="69"/>
        <v>61.170298769771527</v>
      </c>
      <c r="K236" s="491">
        <v>0.3</v>
      </c>
      <c r="L236" s="394">
        <f t="shared" si="70"/>
        <v>79.521388400702989</v>
      </c>
      <c r="M236" s="394">
        <v>90</v>
      </c>
      <c r="N236" s="504"/>
      <c r="O236" s="362"/>
      <c r="P236" s="659" t="s">
        <v>1523</v>
      </c>
      <c r="Q236" s="833"/>
      <c r="R236" s="396"/>
    </row>
    <row r="237" spans="1:20" s="395" customFormat="1" ht="15.75" outlineLevel="1" x14ac:dyDescent="0.25">
      <c r="A237" s="393" t="s">
        <v>364</v>
      </c>
      <c r="B237" s="395" t="s">
        <v>365</v>
      </c>
      <c r="C237" s="395">
        <v>37</v>
      </c>
      <c r="D237" s="395">
        <v>42</v>
      </c>
      <c r="E237" s="395" t="s">
        <v>366</v>
      </c>
      <c r="F237" s="394">
        <v>23</v>
      </c>
      <c r="G237" s="179">
        <v>5690</v>
      </c>
      <c r="H237" s="394">
        <v>9443</v>
      </c>
      <c r="I237" s="394">
        <f t="shared" si="68"/>
        <v>38.170298769771527</v>
      </c>
      <c r="J237" s="394">
        <f t="shared" si="69"/>
        <v>61.170298769771527</v>
      </c>
      <c r="K237" s="491">
        <v>0.3</v>
      </c>
      <c r="L237" s="394">
        <f t="shared" si="70"/>
        <v>79.521388400702989</v>
      </c>
      <c r="M237" s="394">
        <v>90</v>
      </c>
      <c r="N237" s="504"/>
      <c r="O237" s="362"/>
      <c r="P237" s="659" t="s">
        <v>1523</v>
      </c>
      <c r="Q237" s="833"/>
      <c r="R237" s="396"/>
    </row>
    <row r="238" spans="1:20" s="395" customFormat="1" ht="15.75" outlineLevel="1" x14ac:dyDescent="0.25">
      <c r="A238" s="393"/>
      <c r="E238" s="393" t="s">
        <v>412</v>
      </c>
      <c r="F238" s="394"/>
      <c r="H238" s="394"/>
      <c r="I238" s="394"/>
      <c r="J238" s="394"/>
      <c r="K238" s="492"/>
      <c r="L238" s="394">
        <f t="shared" si="70"/>
        <v>0</v>
      </c>
      <c r="M238" s="394"/>
      <c r="N238" s="504"/>
      <c r="Q238" s="833"/>
      <c r="R238" s="396"/>
    </row>
    <row r="239" spans="1:20" s="395" customFormat="1" ht="15" customHeight="1" outlineLevel="1" x14ac:dyDescent="0.25">
      <c r="A239" s="393" t="s">
        <v>404</v>
      </c>
      <c r="B239" s="395" t="s">
        <v>410</v>
      </c>
      <c r="C239" s="395">
        <v>38</v>
      </c>
      <c r="D239" s="395">
        <v>44</v>
      </c>
      <c r="E239" s="395" t="s">
        <v>405</v>
      </c>
      <c r="F239" s="394">
        <v>30</v>
      </c>
      <c r="G239" s="395">
        <v>1192</v>
      </c>
      <c r="H239" s="394">
        <v>1819</v>
      </c>
      <c r="I239" s="394">
        <f>+F239/G239*H239</f>
        <v>45.780201342281877</v>
      </c>
      <c r="J239" s="394">
        <f>+F239+I239</f>
        <v>75.780201342281885</v>
      </c>
      <c r="K239" s="491">
        <v>0.3</v>
      </c>
      <c r="L239" s="394">
        <f t="shared" si="70"/>
        <v>98.514261744966447</v>
      </c>
      <c r="M239" s="394">
        <v>110</v>
      </c>
      <c r="N239" s="504"/>
      <c r="O239" s="362"/>
      <c r="Q239" s="833"/>
      <c r="R239" s="396"/>
    </row>
    <row r="240" spans="1:20" s="395" customFormat="1" ht="15" customHeight="1" outlineLevel="1" x14ac:dyDescent="0.25">
      <c r="A240" s="393" t="s">
        <v>404</v>
      </c>
      <c r="B240" s="395" t="s">
        <v>410</v>
      </c>
      <c r="C240" s="395">
        <v>39</v>
      </c>
      <c r="D240" s="395">
        <v>46</v>
      </c>
      <c r="E240" s="395" t="s">
        <v>405</v>
      </c>
      <c r="F240" s="394">
        <v>30</v>
      </c>
      <c r="G240" s="395">
        <v>1192</v>
      </c>
      <c r="H240" s="394">
        <v>1819</v>
      </c>
      <c r="I240" s="394">
        <f>+F240/G240*H240</f>
        <v>45.780201342281877</v>
      </c>
      <c r="J240" s="394">
        <f>+F240+I240</f>
        <v>75.780201342281885</v>
      </c>
      <c r="K240" s="491">
        <v>0.3</v>
      </c>
      <c r="L240" s="394">
        <f t="shared" si="70"/>
        <v>98.514261744966447</v>
      </c>
      <c r="M240" s="394">
        <v>110</v>
      </c>
      <c r="N240" s="504"/>
      <c r="O240" s="362"/>
      <c r="Q240" s="833"/>
      <c r="R240" s="396"/>
    </row>
    <row r="241" spans="1:18" s="395" customFormat="1" ht="15" customHeight="1" outlineLevel="1" x14ac:dyDescent="0.25">
      <c r="A241" s="393" t="s">
        <v>404</v>
      </c>
      <c r="B241" s="395" t="s">
        <v>410</v>
      </c>
      <c r="C241" s="395">
        <v>40</v>
      </c>
      <c r="D241" s="395">
        <v>48</v>
      </c>
      <c r="E241" s="395" t="s">
        <v>405</v>
      </c>
      <c r="F241" s="394">
        <v>30</v>
      </c>
      <c r="G241" s="395">
        <v>1192</v>
      </c>
      <c r="H241" s="394">
        <v>1819</v>
      </c>
      <c r="I241" s="394">
        <f>+F241/G241*H241</f>
        <v>45.780201342281877</v>
      </c>
      <c r="J241" s="394">
        <f>+F241+I241</f>
        <v>75.780201342281885</v>
      </c>
      <c r="K241" s="491">
        <v>0.3</v>
      </c>
      <c r="L241" s="394">
        <f t="shared" si="70"/>
        <v>98.514261744966447</v>
      </c>
      <c r="M241" s="394">
        <v>110</v>
      </c>
      <c r="N241" s="504"/>
      <c r="O241" s="362"/>
      <c r="Q241" s="833"/>
      <c r="R241" s="396"/>
    </row>
    <row r="242" spans="1:18" s="395" customFormat="1" ht="15" customHeight="1" outlineLevel="1" x14ac:dyDescent="0.25">
      <c r="A242" s="890" t="s">
        <v>427</v>
      </c>
      <c r="B242" s="395" t="s">
        <v>716</v>
      </c>
      <c r="C242" s="395">
        <v>41</v>
      </c>
      <c r="D242" s="395">
        <v>42</v>
      </c>
      <c r="E242" s="395" t="s">
        <v>406</v>
      </c>
      <c r="F242" s="394">
        <v>13</v>
      </c>
      <c r="G242" s="395">
        <v>1192</v>
      </c>
      <c r="H242" s="394">
        <v>1819</v>
      </c>
      <c r="I242" s="394">
        <f>+F242/G242*H242</f>
        <v>19.838087248322147</v>
      </c>
      <c r="J242" s="394">
        <f>+F242+I242</f>
        <v>32.838087248322147</v>
      </c>
      <c r="K242" s="491">
        <v>0.3</v>
      </c>
      <c r="L242" s="394">
        <f t="shared" si="70"/>
        <v>42.689513422818791</v>
      </c>
      <c r="M242" s="394">
        <v>90</v>
      </c>
      <c r="N242" s="504"/>
      <c r="O242" s="362"/>
      <c r="Q242" s="833"/>
      <c r="R242" s="396"/>
    </row>
    <row r="243" spans="1:18" s="395" customFormat="1" ht="15" customHeight="1" outlineLevel="1" x14ac:dyDescent="0.25">
      <c r="A243" s="393"/>
      <c r="E243" s="393" t="s">
        <v>438</v>
      </c>
      <c r="F243" s="394"/>
      <c r="H243" s="394"/>
      <c r="I243" s="394"/>
      <c r="J243" s="394"/>
      <c r="K243" s="492"/>
      <c r="L243" s="394">
        <f t="shared" si="70"/>
        <v>0</v>
      </c>
      <c r="M243" s="394"/>
      <c r="N243" s="504"/>
      <c r="Q243" s="833"/>
      <c r="R243" s="396"/>
    </row>
    <row r="244" spans="1:18" s="395" customFormat="1" ht="15" customHeight="1" outlineLevel="1" x14ac:dyDescent="0.25">
      <c r="A244" s="891"/>
      <c r="B244" s="395" t="s">
        <v>441</v>
      </c>
      <c r="C244" s="395">
        <v>42</v>
      </c>
      <c r="D244" s="395">
        <v>48</v>
      </c>
      <c r="E244" s="395" t="s">
        <v>435</v>
      </c>
      <c r="F244" s="394">
        <f>43-18</f>
        <v>25</v>
      </c>
      <c r="G244" s="395">
        <v>207</v>
      </c>
      <c r="H244" s="394">
        <f>207+180</f>
        <v>387</v>
      </c>
      <c r="I244" s="394">
        <f>+F244/G244*H244</f>
        <v>46.739130434782609</v>
      </c>
      <c r="J244" s="394">
        <f>+F244+I244</f>
        <v>71.739130434782609</v>
      </c>
      <c r="K244" s="492">
        <v>0.3</v>
      </c>
      <c r="L244" s="394">
        <f t="shared" si="70"/>
        <v>93.260869565217391</v>
      </c>
      <c r="M244" s="394">
        <v>125</v>
      </c>
      <c r="N244" s="504"/>
      <c r="O244" s="362"/>
      <c r="Q244" s="833"/>
      <c r="R244" s="396"/>
    </row>
    <row r="245" spans="1:18" s="395" customFormat="1" ht="15" customHeight="1" outlineLevel="1" x14ac:dyDescent="0.25">
      <c r="E245" s="393" t="s">
        <v>439</v>
      </c>
      <c r="F245" s="394"/>
      <c r="H245" s="394"/>
      <c r="I245" s="394"/>
      <c r="J245" s="394"/>
      <c r="K245" s="492"/>
      <c r="L245" s="394">
        <f t="shared" si="70"/>
        <v>0</v>
      </c>
      <c r="M245" s="394"/>
      <c r="N245" s="504"/>
      <c r="Q245" s="833"/>
      <c r="R245" s="396"/>
    </row>
    <row r="246" spans="1:18" s="395" customFormat="1" ht="15" customHeight="1" outlineLevel="1" x14ac:dyDescent="0.25">
      <c r="B246" s="395" t="s">
        <v>436</v>
      </c>
      <c r="C246" s="395">
        <v>43</v>
      </c>
      <c r="D246" s="395">
        <v>46</v>
      </c>
      <c r="E246" s="395" t="s">
        <v>437</v>
      </c>
      <c r="F246" s="167">
        <v>35</v>
      </c>
      <c r="G246" s="395">
        <f>612*1.06</f>
        <v>648.72</v>
      </c>
      <c r="H246" s="394">
        <f>+G246+217+50</f>
        <v>915.72</v>
      </c>
      <c r="I246" s="394">
        <f>+F246/G246*H246</f>
        <v>49.405290418054015</v>
      </c>
      <c r="J246" s="394">
        <f>+F246+I246</f>
        <v>84.405290418054022</v>
      </c>
      <c r="K246" s="492">
        <v>0.3</v>
      </c>
      <c r="L246" s="394">
        <f t="shared" si="70"/>
        <v>109.72687754347022</v>
      </c>
      <c r="M246" s="395">
        <v>125</v>
      </c>
      <c r="N246" s="494"/>
      <c r="O246" s="362"/>
      <c r="Q246" s="833"/>
      <c r="R246" s="396"/>
    </row>
    <row r="247" spans="1:18" s="395" customFormat="1" ht="15" customHeight="1" outlineLevel="1" x14ac:dyDescent="0.25">
      <c r="B247" s="395" t="s">
        <v>436</v>
      </c>
      <c r="C247" s="395">
        <v>44</v>
      </c>
      <c r="D247" s="395">
        <v>48</v>
      </c>
      <c r="E247" s="395" t="s">
        <v>437</v>
      </c>
      <c r="F247" s="167">
        <v>35</v>
      </c>
      <c r="G247" s="395">
        <f>612*1.06</f>
        <v>648.72</v>
      </c>
      <c r="H247" s="394">
        <f>+G247+217+50</f>
        <v>915.72</v>
      </c>
      <c r="I247" s="394">
        <f>+F247/G247*H247</f>
        <v>49.405290418054015</v>
      </c>
      <c r="J247" s="394">
        <f>+F247+I247</f>
        <v>84.405290418054022</v>
      </c>
      <c r="K247" s="492">
        <v>0.3</v>
      </c>
      <c r="L247" s="394">
        <f t="shared" si="70"/>
        <v>109.72687754347022</v>
      </c>
      <c r="M247" s="395">
        <v>125</v>
      </c>
      <c r="N247" s="494"/>
      <c r="O247" s="362"/>
      <c r="P247" s="495"/>
      <c r="Q247" s="833"/>
      <c r="R247" s="396"/>
    </row>
    <row r="248" spans="1:18" s="395" customFormat="1" ht="15" customHeight="1" outlineLevel="1" x14ac:dyDescent="0.25">
      <c r="E248" s="393" t="s">
        <v>492</v>
      </c>
      <c r="F248" s="167"/>
      <c r="H248" s="394"/>
      <c r="I248" s="394"/>
      <c r="J248" s="394"/>
      <c r="K248" s="492"/>
      <c r="L248" s="394">
        <f t="shared" si="70"/>
        <v>0</v>
      </c>
      <c r="M248" s="394"/>
      <c r="N248" s="504"/>
      <c r="Q248" s="833"/>
      <c r="R248" s="396"/>
    </row>
    <row r="249" spans="1:18" s="395" customFormat="1" ht="15" customHeight="1" outlineLevel="1" x14ac:dyDescent="0.25">
      <c r="A249" s="891"/>
      <c r="B249" s="395" t="s">
        <v>204</v>
      </c>
      <c r="C249" s="395">
        <v>45</v>
      </c>
      <c r="D249" s="395">
        <v>46</v>
      </c>
      <c r="E249" s="395" t="s">
        <v>488</v>
      </c>
      <c r="F249" s="395">
        <v>21</v>
      </c>
      <c r="G249" s="394">
        <f t="shared" ref="G249:G255" si="71">925+375*0.06+80+382</f>
        <v>1409.5</v>
      </c>
      <c r="H249" s="394">
        <f t="shared" ref="H249:H255" si="72">+G249+50+16</f>
        <v>1475.5</v>
      </c>
      <c r="I249" s="394">
        <f t="shared" ref="I249:I255" si="73">+F249/G249*H249</f>
        <v>21.983327421071301</v>
      </c>
      <c r="J249" s="394">
        <f t="shared" ref="J249:J255" si="74">+F249+I249</f>
        <v>42.983327421071301</v>
      </c>
      <c r="K249" s="492">
        <v>0.3</v>
      </c>
      <c r="L249" s="394">
        <f t="shared" si="70"/>
        <v>55.878325647392693</v>
      </c>
      <c r="M249" s="395">
        <v>90</v>
      </c>
      <c r="N249" s="494"/>
      <c r="O249" s="362"/>
      <c r="Q249" s="833"/>
      <c r="R249" s="396"/>
    </row>
    <row r="250" spans="1:18" s="395" customFormat="1" ht="15" customHeight="1" outlineLevel="1" x14ac:dyDescent="0.25">
      <c r="B250" s="395" t="s">
        <v>292</v>
      </c>
      <c r="C250" s="395">
        <v>46</v>
      </c>
      <c r="D250" s="395">
        <v>42</v>
      </c>
      <c r="E250" s="395" t="s">
        <v>489</v>
      </c>
      <c r="F250" s="395">
        <v>19</v>
      </c>
      <c r="G250" s="394">
        <f t="shared" si="71"/>
        <v>1409.5</v>
      </c>
      <c r="H250" s="394">
        <f t="shared" si="72"/>
        <v>1475.5</v>
      </c>
      <c r="I250" s="394">
        <f t="shared" si="73"/>
        <v>19.889677190493085</v>
      </c>
      <c r="J250" s="394">
        <f t="shared" si="74"/>
        <v>38.889677190493089</v>
      </c>
      <c r="K250" s="492">
        <v>0.3</v>
      </c>
      <c r="L250" s="394">
        <f t="shared" ref="L250:L270" si="75">+J250*K250+J250</f>
        <v>50.556580347641017</v>
      </c>
      <c r="M250" s="395">
        <v>90</v>
      </c>
      <c r="N250" s="494"/>
      <c r="O250" s="362"/>
      <c r="Q250" s="833"/>
      <c r="R250" s="396"/>
    </row>
    <row r="251" spans="1:18" s="395" customFormat="1" ht="15" customHeight="1" outlineLevel="1" x14ac:dyDescent="0.25">
      <c r="B251" s="395" t="s">
        <v>292</v>
      </c>
      <c r="C251" s="395">
        <v>47</v>
      </c>
      <c r="D251" s="395">
        <v>48</v>
      </c>
      <c r="E251" s="395" t="s">
        <v>489</v>
      </c>
      <c r="F251" s="395">
        <v>19</v>
      </c>
      <c r="G251" s="394">
        <f t="shared" si="71"/>
        <v>1409.5</v>
      </c>
      <c r="H251" s="394">
        <f t="shared" si="72"/>
        <v>1475.5</v>
      </c>
      <c r="I251" s="394">
        <f t="shared" si="73"/>
        <v>19.889677190493085</v>
      </c>
      <c r="J251" s="394">
        <f t="shared" si="74"/>
        <v>38.889677190493089</v>
      </c>
      <c r="K251" s="492">
        <v>0.3</v>
      </c>
      <c r="L251" s="394">
        <f t="shared" si="75"/>
        <v>50.556580347641017</v>
      </c>
      <c r="M251" s="395">
        <v>90</v>
      </c>
      <c r="N251" s="494"/>
      <c r="O251" s="362"/>
      <c r="Q251" s="833"/>
      <c r="R251" s="396"/>
    </row>
    <row r="252" spans="1:18" s="395" customFormat="1" ht="15.75" outlineLevel="1" x14ac:dyDescent="0.25">
      <c r="B252" s="395" t="s">
        <v>173</v>
      </c>
      <c r="C252" s="395">
        <v>48</v>
      </c>
      <c r="D252" s="395">
        <v>50</v>
      </c>
      <c r="E252" s="395" t="s">
        <v>490</v>
      </c>
      <c r="F252" s="395">
        <v>24</v>
      </c>
      <c r="G252" s="394">
        <f t="shared" si="71"/>
        <v>1409.5</v>
      </c>
      <c r="H252" s="394">
        <f t="shared" si="72"/>
        <v>1475.5</v>
      </c>
      <c r="I252" s="394">
        <f t="shared" si="73"/>
        <v>25.123802766938628</v>
      </c>
      <c r="J252" s="394">
        <f t="shared" si="74"/>
        <v>49.123802766938624</v>
      </c>
      <c r="K252" s="492">
        <v>0.3</v>
      </c>
      <c r="L252" s="394">
        <f t="shared" si="75"/>
        <v>63.86094359702021</v>
      </c>
      <c r="M252" s="395">
        <v>110</v>
      </c>
      <c r="N252" s="494"/>
      <c r="O252" s="362"/>
      <c r="Q252" s="833"/>
      <c r="R252" s="396"/>
    </row>
    <row r="253" spans="1:18" s="395" customFormat="1" ht="15.75" outlineLevel="1" x14ac:dyDescent="0.25">
      <c r="B253" s="395" t="s">
        <v>173</v>
      </c>
      <c r="C253" s="395">
        <v>49</v>
      </c>
      <c r="D253" s="395">
        <v>52</v>
      </c>
      <c r="E253" s="395" t="s">
        <v>490</v>
      </c>
      <c r="F253" s="395">
        <v>24</v>
      </c>
      <c r="G253" s="394">
        <f t="shared" si="71"/>
        <v>1409.5</v>
      </c>
      <c r="H253" s="394">
        <f t="shared" si="72"/>
        <v>1475.5</v>
      </c>
      <c r="I253" s="394">
        <f t="shared" si="73"/>
        <v>25.123802766938628</v>
      </c>
      <c r="J253" s="394">
        <f t="shared" si="74"/>
        <v>49.123802766938624</v>
      </c>
      <c r="K253" s="492">
        <v>0.3</v>
      </c>
      <c r="L253" s="394">
        <f t="shared" si="75"/>
        <v>63.86094359702021</v>
      </c>
      <c r="M253" s="395">
        <v>110</v>
      </c>
      <c r="N253" s="494"/>
      <c r="O253" s="362"/>
      <c r="Q253" s="833"/>
      <c r="R253" s="396"/>
    </row>
    <row r="254" spans="1:18" s="395" customFormat="1" ht="15.75" outlineLevel="1" x14ac:dyDescent="0.25">
      <c r="B254" s="395" t="s">
        <v>173</v>
      </c>
      <c r="C254" s="395">
        <v>50</v>
      </c>
      <c r="D254" s="395">
        <v>54</v>
      </c>
      <c r="E254" s="395" t="s">
        <v>490</v>
      </c>
      <c r="F254" s="395">
        <v>24</v>
      </c>
      <c r="G254" s="394">
        <f t="shared" si="71"/>
        <v>1409.5</v>
      </c>
      <c r="H254" s="394">
        <f t="shared" si="72"/>
        <v>1475.5</v>
      </c>
      <c r="I254" s="394">
        <f t="shared" si="73"/>
        <v>25.123802766938628</v>
      </c>
      <c r="J254" s="394">
        <f t="shared" si="74"/>
        <v>49.123802766938624</v>
      </c>
      <c r="K254" s="492">
        <v>0.3</v>
      </c>
      <c r="L254" s="394">
        <f t="shared" si="75"/>
        <v>63.86094359702021</v>
      </c>
      <c r="M254" s="395">
        <v>110</v>
      </c>
      <c r="N254" s="494"/>
      <c r="O254" s="362"/>
      <c r="Q254" s="833"/>
      <c r="R254" s="396"/>
    </row>
    <row r="255" spans="1:18" s="395" customFormat="1" ht="15.75" outlineLevel="1" x14ac:dyDescent="0.25">
      <c r="B255" s="395" t="s">
        <v>173</v>
      </c>
      <c r="C255" s="395">
        <v>51</v>
      </c>
      <c r="D255" s="395">
        <v>56</v>
      </c>
      <c r="E255" s="395" t="s">
        <v>490</v>
      </c>
      <c r="F255" s="395">
        <v>24</v>
      </c>
      <c r="G255" s="394">
        <f t="shared" si="71"/>
        <v>1409.5</v>
      </c>
      <c r="H255" s="394">
        <f t="shared" si="72"/>
        <v>1475.5</v>
      </c>
      <c r="I255" s="394">
        <f t="shared" si="73"/>
        <v>25.123802766938628</v>
      </c>
      <c r="J255" s="394">
        <f t="shared" si="74"/>
        <v>49.123802766938624</v>
      </c>
      <c r="K255" s="492">
        <v>0.3</v>
      </c>
      <c r="L255" s="394">
        <f t="shared" si="75"/>
        <v>63.86094359702021</v>
      </c>
      <c r="M255" s="395">
        <v>110</v>
      </c>
      <c r="N255" s="494"/>
      <c r="O255" s="362"/>
      <c r="Q255" s="833"/>
      <c r="R255" s="396"/>
    </row>
    <row r="256" spans="1:18" s="395" customFormat="1" ht="15.75" outlineLevel="1" x14ac:dyDescent="0.25">
      <c r="E256" s="393" t="s">
        <v>493</v>
      </c>
      <c r="G256" s="394"/>
      <c r="H256" s="394"/>
      <c r="I256" s="491"/>
      <c r="J256" s="394"/>
      <c r="K256" s="394"/>
      <c r="L256" s="394">
        <f t="shared" si="75"/>
        <v>0</v>
      </c>
      <c r="N256" s="494"/>
      <c r="Q256" s="833"/>
      <c r="R256" s="396"/>
    </row>
    <row r="257" spans="1:20" s="395" customFormat="1" ht="15.75" outlineLevel="1" x14ac:dyDescent="0.25">
      <c r="A257" s="891"/>
      <c r="B257" s="395" t="s">
        <v>496</v>
      </c>
      <c r="D257" s="395">
        <v>46</v>
      </c>
      <c r="E257" s="395" t="s">
        <v>491</v>
      </c>
      <c r="F257" s="395">
        <v>40</v>
      </c>
      <c r="G257" s="394"/>
      <c r="H257" s="394"/>
      <c r="I257" s="491"/>
      <c r="J257" s="394"/>
      <c r="L257" s="394">
        <f t="shared" si="75"/>
        <v>0</v>
      </c>
      <c r="M257" s="394">
        <v>80</v>
      </c>
      <c r="N257" s="504"/>
      <c r="O257" s="362"/>
      <c r="Q257" s="833"/>
      <c r="R257" s="396"/>
    </row>
    <row r="258" spans="1:20" s="395" customFormat="1" ht="15.75" hidden="1" outlineLevel="1" x14ac:dyDescent="0.25">
      <c r="B258" s="395" t="s">
        <v>496</v>
      </c>
      <c r="C258" s="395">
        <v>52</v>
      </c>
      <c r="D258" s="395">
        <v>52</v>
      </c>
      <c r="E258" s="510" t="s">
        <v>491</v>
      </c>
      <c r="F258" s="510">
        <v>40</v>
      </c>
      <c r="G258" s="512"/>
      <c r="H258" s="512"/>
      <c r="I258" s="710"/>
      <c r="J258" s="512"/>
      <c r="K258" s="510"/>
      <c r="L258" s="512">
        <f t="shared" si="75"/>
        <v>0</v>
      </c>
      <c r="M258" s="512">
        <v>80</v>
      </c>
      <c r="N258" s="504"/>
      <c r="O258" s="362"/>
      <c r="P258" s="395" t="s">
        <v>1823</v>
      </c>
      <c r="Q258" s="833">
        <v>45294</v>
      </c>
      <c r="R258" s="396"/>
    </row>
    <row r="259" spans="1:20" s="395" customFormat="1" ht="15.75" outlineLevel="1" x14ac:dyDescent="0.25">
      <c r="B259" s="393" t="s">
        <v>572</v>
      </c>
      <c r="F259" s="394"/>
      <c r="H259" s="394"/>
      <c r="I259" s="394"/>
      <c r="J259" s="394"/>
      <c r="K259" s="491"/>
      <c r="L259" s="394">
        <f t="shared" si="75"/>
        <v>0</v>
      </c>
      <c r="M259" s="394"/>
      <c r="N259" s="504"/>
      <c r="P259" s="495"/>
      <c r="Q259" s="833"/>
      <c r="R259" s="396"/>
    </row>
    <row r="260" spans="1:20" s="395" customFormat="1" ht="15.75" outlineLevel="1" x14ac:dyDescent="0.25">
      <c r="B260" s="395" t="s">
        <v>264</v>
      </c>
      <c r="C260" s="395">
        <v>53</v>
      </c>
      <c r="E260" s="395" t="s">
        <v>573</v>
      </c>
      <c r="F260" s="394">
        <v>15</v>
      </c>
      <c r="H260" s="394"/>
      <c r="I260" s="394"/>
      <c r="J260" s="394"/>
      <c r="K260" s="491"/>
      <c r="L260" s="394">
        <f t="shared" si="75"/>
        <v>0</v>
      </c>
      <c r="M260" s="394">
        <v>65</v>
      </c>
      <c r="N260" s="504"/>
      <c r="O260" s="362"/>
      <c r="P260" s="495"/>
      <c r="Q260" s="833"/>
      <c r="R260" s="396"/>
    </row>
    <row r="261" spans="1:20" s="395" customFormat="1" ht="15.75" outlineLevel="1" x14ac:dyDescent="0.25">
      <c r="B261" s="395" t="s">
        <v>264</v>
      </c>
      <c r="C261" s="395">
        <v>54</v>
      </c>
      <c r="E261" s="395" t="s">
        <v>573</v>
      </c>
      <c r="F261" s="394">
        <v>15</v>
      </c>
      <c r="H261" s="394"/>
      <c r="I261" s="394"/>
      <c r="J261" s="394"/>
      <c r="K261" s="491"/>
      <c r="L261" s="394">
        <f t="shared" si="75"/>
        <v>0</v>
      </c>
      <c r="M261" s="394">
        <v>65</v>
      </c>
      <c r="N261" s="504"/>
      <c r="O261" s="362"/>
      <c r="Q261" s="833"/>
      <c r="R261" s="396"/>
    </row>
    <row r="262" spans="1:20" s="395" customFormat="1" ht="15" customHeight="1" outlineLevel="1" x14ac:dyDescent="0.25">
      <c r="B262" s="395" t="s">
        <v>264</v>
      </c>
      <c r="C262" s="395">
        <v>55</v>
      </c>
      <c r="E262" s="395" t="s">
        <v>573</v>
      </c>
      <c r="F262" s="394">
        <v>15</v>
      </c>
      <c r="H262" s="394"/>
      <c r="I262" s="394"/>
      <c r="J262" s="394"/>
      <c r="K262" s="491"/>
      <c r="L262" s="394">
        <f t="shared" si="75"/>
        <v>0</v>
      </c>
      <c r="M262" s="394">
        <v>65</v>
      </c>
      <c r="N262" s="504"/>
      <c r="O262" s="362"/>
      <c r="Q262" s="833"/>
      <c r="R262" s="396"/>
    </row>
    <row r="263" spans="1:20" s="395" customFormat="1" ht="15.75" outlineLevel="1" x14ac:dyDescent="0.25">
      <c r="B263" s="395" t="s">
        <v>264</v>
      </c>
      <c r="C263" s="395">
        <v>56</v>
      </c>
      <c r="E263" s="395" t="s">
        <v>573</v>
      </c>
      <c r="F263" s="394">
        <v>15</v>
      </c>
      <c r="H263" s="394"/>
      <c r="I263" s="394"/>
      <c r="J263" s="394"/>
      <c r="K263" s="491"/>
      <c r="L263" s="394">
        <f t="shared" si="75"/>
        <v>0</v>
      </c>
      <c r="M263" s="394">
        <v>65</v>
      </c>
      <c r="N263" s="504"/>
      <c r="O263" s="362"/>
      <c r="Q263" s="833"/>
      <c r="R263" s="396"/>
    </row>
    <row r="264" spans="1:20" s="395" customFormat="1" ht="15.75" outlineLevel="1" x14ac:dyDescent="0.25">
      <c r="B264" s="395" t="s">
        <v>264</v>
      </c>
      <c r="C264" s="395">
        <v>57</v>
      </c>
      <c r="E264" s="395" t="s">
        <v>573</v>
      </c>
      <c r="F264" s="394">
        <v>15</v>
      </c>
      <c r="H264" s="394"/>
      <c r="I264" s="394"/>
      <c r="J264" s="394"/>
      <c r="K264" s="491"/>
      <c r="L264" s="394">
        <f t="shared" si="75"/>
        <v>0</v>
      </c>
      <c r="M264" s="394">
        <v>65</v>
      </c>
      <c r="N264" s="504"/>
      <c r="O264" s="362"/>
      <c r="P264" s="495"/>
      <c r="Q264" s="833"/>
      <c r="R264" s="396"/>
    </row>
    <row r="265" spans="1:20" s="395" customFormat="1" ht="15.75" outlineLevel="1" x14ac:dyDescent="0.25">
      <c r="B265" s="395" t="s">
        <v>264</v>
      </c>
      <c r="C265" s="395">
        <v>58</v>
      </c>
      <c r="E265" s="395" t="s">
        <v>573</v>
      </c>
      <c r="F265" s="394">
        <v>15</v>
      </c>
      <c r="H265" s="394"/>
      <c r="I265" s="394"/>
      <c r="J265" s="394"/>
      <c r="K265" s="491"/>
      <c r="L265" s="394">
        <f t="shared" si="75"/>
        <v>0</v>
      </c>
      <c r="M265" s="394">
        <v>65</v>
      </c>
      <c r="N265" s="504"/>
      <c r="O265" s="362"/>
      <c r="Q265" s="833"/>
      <c r="R265" s="396"/>
    </row>
    <row r="266" spans="1:20" s="395" customFormat="1" ht="15.75" outlineLevel="1" x14ac:dyDescent="0.25">
      <c r="B266" s="395" t="s">
        <v>264</v>
      </c>
      <c r="C266" s="395">
        <v>59</v>
      </c>
      <c r="E266" s="395" t="s">
        <v>573</v>
      </c>
      <c r="F266" s="394">
        <v>15</v>
      </c>
      <c r="H266" s="394"/>
      <c r="I266" s="394"/>
      <c r="J266" s="394"/>
      <c r="K266" s="491"/>
      <c r="L266" s="394">
        <f t="shared" si="75"/>
        <v>0</v>
      </c>
      <c r="M266" s="394">
        <v>65</v>
      </c>
      <c r="N266" s="504"/>
      <c r="O266" s="362"/>
      <c r="Q266" s="833"/>
      <c r="R266" s="396"/>
    </row>
    <row r="267" spans="1:20" s="395" customFormat="1" ht="15.75" outlineLevel="1" x14ac:dyDescent="0.25">
      <c r="B267" s="395" t="s">
        <v>264</v>
      </c>
      <c r="C267" s="395">
        <v>60</v>
      </c>
      <c r="E267" s="395" t="s">
        <v>573</v>
      </c>
      <c r="F267" s="394">
        <v>15</v>
      </c>
      <c r="H267" s="394"/>
      <c r="I267" s="394"/>
      <c r="J267" s="394"/>
      <c r="K267" s="491"/>
      <c r="L267" s="394">
        <f t="shared" si="75"/>
        <v>0</v>
      </c>
      <c r="M267" s="394">
        <v>65</v>
      </c>
      <c r="N267" s="504"/>
      <c r="O267" s="362"/>
      <c r="P267" s="495"/>
      <c r="Q267" s="833"/>
      <c r="R267" s="396"/>
    </row>
    <row r="268" spans="1:20" s="365" customFormat="1" ht="15.75" outlineLevel="1" x14ac:dyDescent="0.25">
      <c r="A268" s="393"/>
      <c r="B268" s="494" t="s">
        <v>264</v>
      </c>
      <c r="C268" s="494"/>
      <c r="D268" s="494"/>
      <c r="E268" s="494" t="s">
        <v>574</v>
      </c>
      <c r="F268" s="504">
        <v>15</v>
      </c>
      <c r="G268" s="494"/>
      <c r="H268" s="504"/>
      <c r="I268" s="504"/>
      <c r="J268" s="504"/>
      <c r="K268" s="671"/>
      <c r="L268" s="504">
        <f t="shared" si="75"/>
        <v>0</v>
      </c>
      <c r="M268" s="504">
        <v>65</v>
      </c>
      <c r="N268" s="504"/>
      <c r="O268" s="494"/>
      <c r="P268" s="494" t="s">
        <v>1841</v>
      </c>
      <c r="Q268" s="841"/>
      <c r="R268" s="918"/>
      <c r="S268" s="494"/>
      <c r="T268" s="494"/>
    </row>
    <row r="269" spans="1:20" s="169" customFormat="1" ht="15.75" outlineLevel="1" x14ac:dyDescent="0.25">
      <c r="A269" s="395"/>
      <c r="B269" s="395"/>
      <c r="C269" s="395"/>
      <c r="D269" s="395"/>
      <c r="E269" s="393" t="s">
        <v>630</v>
      </c>
      <c r="F269" s="395"/>
      <c r="G269" s="394"/>
      <c r="H269" s="394"/>
      <c r="I269" s="491"/>
      <c r="J269" s="394"/>
      <c r="K269" s="395"/>
      <c r="L269" s="394">
        <f t="shared" si="75"/>
        <v>0</v>
      </c>
      <c r="M269" s="394"/>
      <c r="N269" s="504"/>
      <c r="O269" s="395"/>
      <c r="P269" s="395"/>
      <c r="Q269" s="833"/>
      <c r="R269" s="396"/>
      <c r="S269" s="395"/>
      <c r="T269" s="395"/>
    </row>
    <row r="270" spans="1:20" s="169" customFormat="1" ht="15.75" outlineLevel="1" x14ac:dyDescent="0.25">
      <c r="A270" s="891"/>
      <c r="B270" s="395" t="s">
        <v>374</v>
      </c>
      <c r="C270" s="395">
        <v>61</v>
      </c>
      <c r="D270" s="500" t="s">
        <v>617</v>
      </c>
      <c r="E270" s="395" t="s">
        <v>583</v>
      </c>
      <c r="F270" s="394">
        <v>6</v>
      </c>
      <c r="G270" s="179">
        <v>9148</v>
      </c>
      <c r="H270" s="394">
        <v>15477</v>
      </c>
      <c r="I270" s="394">
        <f t="shared" ref="I270:I274" si="76">+F270/G270*H270</f>
        <v>10.15107127240927</v>
      </c>
      <c r="J270" s="394">
        <f t="shared" ref="J270:J274" si="77">+F270+I270</f>
        <v>16.151071272409268</v>
      </c>
      <c r="K270" s="492">
        <v>0.3</v>
      </c>
      <c r="L270" s="394">
        <f t="shared" si="75"/>
        <v>20.996392654132048</v>
      </c>
      <c r="M270" s="167">
        <v>25</v>
      </c>
      <c r="N270" s="404"/>
      <c r="O270" s="362"/>
      <c r="P270" s="395"/>
      <c r="Q270" s="833"/>
      <c r="R270" s="396"/>
      <c r="S270" s="395"/>
      <c r="T270" s="395"/>
    </row>
    <row r="271" spans="1:20" s="169" customFormat="1" ht="15.75" outlineLevel="1" x14ac:dyDescent="0.25">
      <c r="A271" s="891"/>
      <c r="B271" s="395" t="s">
        <v>625</v>
      </c>
      <c r="C271" s="395">
        <v>62</v>
      </c>
      <c r="D271" s="395">
        <v>44</v>
      </c>
      <c r="E271" s="395" t="s">
        <v>626</v>
      </c>
      <c r="F271" s="394">
        <v>25</v>
      </c>
      <c r="G271" s="179">
        <v>9148</v>
      </c>
      <c r="H271" s="394">
        <v>15477</v>
      </c>
      <c r="I271" s="394">
        <f t="shared" si="76"/>
        <v>42.29613030170529</v>
      </c>
      <c r="J271" s="394">
        <f t="shared" si="77"/>
        <v>67.29613030170529</v>
      </c>
      <c r="K271" s="492">
        <v>0.3</v>
      </c>
      <c r="L271" s="394">
        <f>+J271*K271+J271</f>
        <v>87.484969392216868</v>
      </c>
      <c r="M271" s="167">
        <v>90</v>
      </c>
      <c r="N271" s="404"/>
      <c r="O271" s="362"/>
      <c r="P271" s="395"/>
      <c r="Q271" s="833"/>
      <c r="R271" s="396"/>
      <c r="S271" s="395"/>
      <c r="T271" s="395"/>
    </row>
    <row r="272" spans="1:20" s="169" customFormat="1" ht="15.75" outlineLevel="1" x14ac:dyDescent="0.25">
      <c r="A272" s="169" t="s">
        <v>14</v>
      </c>
      <c r="B272" s="169" t="s">
        <v>14</v>
      </c>
      <c r="C272" s="395">
        <v>63</v>
      </c>
      <c r="D272" s="169">
        <v>44</v>
      </c>
      <c r="E272" s="699" t="s">
        <v>588</v>
      </c>
      <c r="F272" s="700">
        <v>36</v>
      </c>
      <c r="G272" s="701">
        <v>9148</v>
      </c>
      <c r="H272" s="700">
        <v>15477</v>
      </c>
      <c r="I272" s="700">
        <f t="shared" si="76"/>
        <v>60.906427634455618</v>
      </c>
      <c r="J272" s="700">
        <f t="shared" si="77"/>
        <v>96.906427634455611</v>
      </c>
      <c r="K272" s="702">
        <v>0.3</v>
      </c>
      <c r="L272" s="493">
        <f t="shared" ref="L272:L277" si="78">+J272*K272+J272</f>
        <v>125.9783559247923</v>
      </c>
      <c r="M272" s="703">
        <v>125</v>
      </c>
      <c r="N272" s="532"/>
      <c r="O272" s="361"/>
      <c r="P272" s="169" t="s">
        <v>12</v>
      </c>
      <c r="Q272" s="838">
        <v>45491</v>
      </c>
      <c r="R272" s="580"/>
    </row>
    <row r="273" spans="1:20" s="169" customFormat="1" ht="15.75" hidden="1" outlineLevel="1" x14ac:dyDescent="0.25">
      <c r="A273" s="169" t="s">
        <v>14</v>
      </c>
      <c r="B273" s="169" t="s">
        <v>14</v>
      </c>
      <c r="C273" s="395">
        <v>64</v>
      </c>
      <c r="D273" s="169">
        <v>48</v>
      </c>
      <c r="E273" s="699" t="s">
        <v>588</v>
      </c>
      <c r="F273" s="700">
        <v>36</v>
      </c>
      <c r="G273" s="701">
        <v>9148</v>
      </c>
      <c r="H273" s="700">
        <v>15477</v>
      </c>
      <c r="I273" s="700">
        <f t="shared" si="76"/>
        <v>60.906427634455618</v>
      </c>
      <c r="J273" s="700">
        <f t="shared" si="77"/>
        <v>96.906427634455611</v>
      </c>
      <c r="K273" s="702">
        <v>0.3</v>
      </c>
      <c r="L273" s="493">
        <f t="shared" si="78"/>
        <v>125.9783559247923</v>
      </c>
      <c r="M273" s="703">
        <v>125</v>
      </c>
      <c r="N273" s="532">
        <v>25</v>
      </c>
      <c r="O273" s="361"/>
      <c r="P273" s="169" t="s">
        <v>2069</v>
      </c>
      <c r="Q273" s="838">
        <v>45404</v>
      </c>
      <c r="R273" s="580">
        <f>+N273*36000</f>
        <v>900000</v>
      </c>
    </row>
    <row r="274" spans="1:20" s="169" customFormat="1" ht="15.75" outlineLevel="1" x14ac:dyDescent="0.25">
      <c r="A274" s="169" t="s">
        <v>14</v>
      </c>
      <c r="B274" s="169" t="s">
        <v>14</v>
      </c>
      <c r="C274" s="395">
        <v>65</v>
      </c>
      <c r="D274" s="169">
        <v>50</v>
      </c>
      <c r="E274" s="169" t="s">
        <v>588</v>
      </c>
      <c r="F274" s="180">
        <v>36</v>
      </c>
      <c r="G274" s="499">
        <v>9148</v>
      </c>
      <c r="H274" s="180">
        <v>15477</v>
      </c>
      <c r="I274" s="180">
        <f t="shared" si="76"/>
        <v>60.906427634455618</v>
      </c>
      <c r="J274" s="180">
        <f t="shared" si="77"/>
        <v>96.906427634455611</v>
      </c>
      <c r="K274" s="345">
        <v>0.3</v>
      </c>
      <c r="L274" s="394">
        <f t="shared" si="78"/>
        <v>125.9783559247923</v>
      </c>
      <c r="M274" s="170">
        <v>125</v>
      </c>
      <c r="N274" s="532"/>
      <c r="O274" s="361"/>
      <c r="Q274" s="838"/>
      <c r="R274" s="580"/>
    </row>
    <row r="275" spans="1:20" s="395" customFormat="1" ht="15.75" outlineLevel="1" x14ac:dyDescent="0.25">
      <c r="A275" s="169" t="s">
        <v>591</v>
      </c>
      <c r="B275" s="169" t="s">
        <v>223</v>
      </c>
      <c r="C275" s="395">
        <v>66</v>
      </c>
      <c r="D275" s="169">
        <v>52</v>
      </c>
      <c r="E275" s="169" t="s">
        <v>592</v>
      </c>
      <c r="F275" s="180">
        <v>31</v>
      </c>
      <c r="G275" s="499">
        <v>9148</v>
      </c>
      <c r="H275" s="180">
        <v>15477</v>
      </c>
      <c r="I275" s="180">
        <f t="shared" ref="I275:I276" si="79">+F275/G275*H275</f>
        <v>52.447201574114565</v>
      </c>
      <c r="J275" s="180">
        <f t="shared" ref="J275:J276" si="80">+F275+I275</f>
        <v>83.447201574114558</v>
      </c>
      <c r="K275" s="345">
        <v>0.3</v>
      </c>
      <c r="L275" s="394">
        <f t="shared" si="78"/>
        <v>108.48136204634892</v>
      </c>
      <c r="M275" s="170">
        <v>125</v>
      </c>
      <c r="N275" s="532"/>
      <c r="O275" s="361"/>
      <c r="P275" s="169"/>
      <c r="Q275" s="838"/>
      <c r="R275" s="580"/>
      <c r="S275" s="169"/>
      <c r="T275" s="169"/>
    </row>
    <row r="276" spans="1:20" s="395" customFormat="1" ht="15.75" outlineLevel="1" x14ac:dyDescent="0.25">
      <c r="A276" s="169" t="s">
        <v>591</v>
      </c>
      <c r="B276" s="169" t="s">
        <v>223</v>
      </c>
      <c r="C276" s="395">
        <v>67</v>
      </c>
      <c r="D276" s="169">
        <v>56</v>
      </c>
      <c r="E276" s="169" t="s">
        <v>592</v>
      </c>
      <c r="F276" s="180">
        <v>31</v>
      </c>
      <c r="G276" s="499">
        <v>9148</v>
      </c>
      <c r="H276" s="180">
        <v>15477</v>
      </c>
      <c r="I276" s="180">
        <f t="shared" si="79"/>
        <v>52.447201574114565</v>
      </c>
      <c r="J276" s="180">
        <f t="shared" si="80"/>
        <v>83.447201574114558</v>
      </c>
      <c r="K276" s="345">
        <v>0.3</v>
      </c>
      <c r="L276" s="394">
        <f t="shared" si="78"/>
        <v>108.48136204634892</v>
      </c>
      <c r="M276" s="170">
        <v>125</v>
      </c>
      <c r="N276" s="532"/>
      <c r="O276" s="361"/>
      <c r="P276" s="169"/>
      <c r="Q276" s="838"/>
      <c r="R276" s="580"/>
      <c r="S276" s="169"/>
      <c r="T276" s="169"/>
    </row>
    <row r="277" spans="1:20" s="395" customFormat="1" ht="15.75" outlineLevel="1" x14ac:dyDescent="0.25">
      <c r="A277" s="892" t="s">
        <v>593</v>
      </c>
      <c r="B277" s="169" t="s">
        <v>633</v>
      </c>
      <c r="C277" s="395">
        <v>68</v>
      </c>
      <c r="D277" s="169">
        <v>50</v>
      </c>
      <c r="E277" s="169" t="s">
        <v>594</v>
      </c>
      <c r="F277" s="180">
        <v>45</v>
      </c>
      <c r="G277" s="499">
        <v>9148</v>
      </c>
      <c r="H277" s="180">
        <v>15477</v>
      </c>
      <c r="I277" s="180">
        <f t="shared" ref="I277:I281" si="81">+F277/G277*H277</f>
        <v>76.133034543069527</v>
      </c>
      <c r="J277" s="180">
        <f t="shared" ref="J277:J281" si="82">+F277+I277</f>
        <v>121.13303454306953</v>
      </c>
      <c r="K277" s="345">
        <v>0.3</v>
      </c>
      <c r="L277" s="394">
        <f t="shared" si="78"/>
        <v>157.47294490599037</v>
      </c>
      <c r="M277" s="180">
        <v>150</v>
      </c>
      <c r="N277" s="525"/>
      <c r="O277" s="361"/>
      <c r="P277" s="169"/>
      <c r="Q277" s="838"/>
      <c r="R277" s="580"/>
      <c r="S277" s="169"/>
      <c r="T277" s="169"/>
    </row>
    <row r="278" spans="1:20" s="395" customFormat="1" ht="15.75" outlineLevel="1" x14ac:dyDescent="0.25">
      <c r="A278" s="169" t="s">
        <v>407</v>
      </c>
      <c r="B278" s="169" t="s">
        <v>407</v>
      </c>
      <c r="C278" s="395">
        <v>69</v>
      </c>
      <c r="D278" s="169">
        <v>40</v>
      </c>
      <c r="E278" s="169" t="s">
        <v>603</v>
      </c>
      <c r="F278" s="180">
        <v>24</v>
      </c>
      <c r="G278" s="499">
        <v>9148</v>
      </c>
      <c r="H278" s="180">
        <v>15477</v>
      </c>
      <c r="I278" s="180">
        <f t="shared" si="81"/>
        <v>40.604285089637081</v>
      </c>
      <c r="J278" s="180">
        <f t="shared" si="82"/>
        <v>64.604285089637074</v>
      </c>
      <c r="K278" s="345">
        <v>0.3</v>
      </c>
      <c r="L278" s="394">
        <f t="shared" ref="L278:L285" si="83">+J278*K278+J278</f>
        <v>83.985570616528193</v>
      </c>
      <c r="M278" s="170">
        <v>90</v>
      </c>
      <c r="N278" s="532"/>
      <c r="O278" s="361"/>
      <c r="P278" s="169"/>
      <c r="Q278" s="838"/>
      <c r="R278" s="580"/>
      <c r="S278" s="169"/>
      <c r="T278" s="169"/>
    </row>
    <row r="279" spans="1:20" s="395" customFormat="1" ht="15.75" outlineLevel="1" x14ac:dyDescent="0.25">
      <c r="A279" s="395" t="s">
        <v>407</v>
      </c>
      <c r="B279" s="395" t="s">
        <v>407</v>
      </c>
      <c r="C279" s="395">
        <v>70</v>
      </c>
      <c r="D279" s="395">
        <v>44</v>
      </c>
      <c r="E279" s="395" t="s">
        <v>603</v>
      </c>
      <c r="F279" s="394">
        <v>24</v>
      </c>
      <c r="G279" s="179">
        <v>9148</v>
      </c>
      <c r="H279" s="394">
        <v>15477</v>
      </c>
      <c r="I279" s="394">
        <f t="shared" si="81"/>
        <v>40.604285089637081</v>
      </c>
      <c r="J279" s="394">
        <f t="shared" si="82"/>
        <v>64.604285089637074</v>
      </c>
      <c r="K279" s="492">
        <v>0.3</v>
      </c>
      <c r="L279" s="394">
        <f t="shared" si="83"/>
        <v>83.985570616528193</v>
      </c>
      <c r="M279" s="167">
        <v>90</v>
      </c>
      <c r="N279" s="404"/>
      <c r="O279" s="362"/>
      <c r="Q279" s="833"/>
      <c r="R279" s="396"/>
    </row>
    <row r="280" spans="1:20" s="395" customFormat="1" ht="15.75" outlineLevel="1" x14ac:dyDescent="0.25">
      <c r="A280" s="395" t="s">
        <v>607</v>
      </c>
      <c r="B280" s="395" t="s">
        <v>223</v>
      </c>
      <c r="C280" s="395">
        <v>71</v>
      </c>
      <c r="D280" s="395">
        <v>50</v>
      </c>
      <c r="E280" s="395" t="s">
        <v>608</v>
      </c>
      <c r="F280" s="394">
        <v>36</v>
      </c>
      <c r="G280" s="179">
        <v>9148</v>
      </c>
      <c r="H280" s="394">
        <v>15477</v>
      </c>
      <c r="I280" s="394">
        <f t="shared" si="81"/>
        <v>60.906427634455618</v>
      </c>
      <c r="J280" s="394">
        <f t="shared" si="82"/>
        <v>96.906427634455611</v>
      </c>
      <c r="K280" s="492">
        <v>0.3</v>
      </c>
      <c r="L280" s="394">
        <f t="shared" si="83"/>
        <v>125.9783559247923</v>
      </c>
      <c r="M280" s="167">
        <v>125</v>
      </c>
      <c r="N280" s="404"/>
      <c r="O280" s="362"/>
      <c r="Q280" s="833"/>
      <c r="R280" s="396"/>
    </row>
    <row r="281" spans="1:20" s="395" customFormat="1" ht="15.75" outlineLevel="1" x14ac:dyDescent="0.25">
      <c r="A281" s="395" t="s">
        <v>607</v>
      </c>
      <c r="B281" s="395" t="s">
        <v>223</v>
      </c>
      <c r="C281" s="395">
        <v>72</v>
      </c>
      <c r="D281" s="395">
        <v>54</v>
      </c>
      <c r="E281" s="395" t="s">
        <v>608</v>
      </c>
      <c r="F281" s="394">
        <v>36</v>
      </c>
      <c r="G281" s="179">
        <v>9148</v>
      </c>
      <c r="H281" s="394">
        <v>15477</v>
      </c>
      <c r="I281" s="394">
        <f t="shared" si="81"/>
        <v>60.906427634455618</v>
      </c>
      <c r="J281" s="394">
        <f t="shared" si="82"/>
        <v>96.906427634455611</v>
      </c>
      <c r="K281" s="492">
        <v>0.3</v>
      </c>
      <c r="L281" s="394">
        <f t="shared" si="83"/>
        <v>125.9783559247923</v>
      </c>
      <c r="M281" s="167">
        <v>125</v>
      </c>
      <c r="N281" s="404"/>
      <c r="O281" s="362"/>
      <c r="Q281" s="833"/>
      <c r="R281" s="396"/>
    </row>
    <row r="282" spans="1:20" s="395" customFormat="1" ht="15.75" outlineLevel="1" x14ac:dyDescent="0.25">
      <c r="A282" s="393"/>
      <c r="B282" s="393" t="s">
        <v>681</v>
      </c>
      <c r="F282" s="394"/>
      <c r="H282" s="394"/>
      <c r="I282" s="394"/>
      <c r="J282" s="394"/>
      <c r="K282" s="492"/>
      <c r="L282" s="394">
        <f t="shared" si="83"/>
        <v>0</v>
      </c>
      <c r="M282" s="394"/>
      <c r="N282" s="504"/>
      <c r="Q282" s="833"/>
      <c r="R282" s="396"/>
    </row>
    <row r="283" spans="1:20" s="395" customFormat="1" ht="15.75" outlineLevel="1" x14ac:dyDescent="0.25">
      <c r="A283" s="395" t="s">
        <v>652</v>
      </c>
      <c r="B283" s="395" t="s">
        <v>677</v>
      </c>
      <c r="C283" s="395">
        <v>73</v>
      </c>
      <c r="D283" s="395">
        <v>44</v>
      </c>
      <c r="E283" s="395" t="s">
        <v>653</v>
      </c>
      <c r="F283" s="395">
        <v>33</v>
      </c>
      <c r="G283" s="395">
        <v>6556</v>
      </c>
      <c r="H283" s="394">
        <v>9750</v>
      </c>
      <c r="I283" s="394">
        <f t="shared" ref="I283:I285" si="84">+F283/G283*H283</f>
        <v>49.077181208053688</v>
      </c>
      <c r="J283" s="394">
        <f t="shared" ref="J283:J285" si="85">+F283+I283</f>
        <v>82.077181208053688</v>
      </c>
      <c r="K283" s="492">
        <v>0.3</v>
      </c>
      <c r="L283" s="394">
        <f t="shared" si="83"/>
        <v>106.70033557046979</v>
      </c>
      <c r="M283" s="394">
        <v>110</v>
      </c>
      <c r="N283" s="504"/>
      <c r="O283" s="362"/>
      <c r="Q283" s="833"/>
      <c r="R283" s="396"/>
    </row>
    <row r="284" spans="1:20" s="395" customFormat="1" ht="15.75" outlineLevel="1" x14ac:dyDescent="0.25">
      <c r="A284" s="395" t="s">
        <v>652</v>
      </c>
      <c r="B284" s="395" t="s">
        <v>677</v>
      </c>
      <c r="C284" s="395">
        <v>74</v>
      </c>
      <c r="D284" s="395">
        <v>48</v>
      </c>
      <c r="E284" s="395" t="s">
        <v>653</v>
      </c>
      <c r="F284" s="395">
        <v>33</v>
      </c>
      <c r="G284" s="395">
        <v>6556</v>
      </c>
      <c r="H284" s="394">
        <v>9750</v>
      </c>
      <c r="I284" s="394">
        <f t="shared" si="84"/>
        <v>49.077181208053688</v>
      </c>
      <c r="J284" s="394">
        <f t="shared" si="85"/>
        <v>82.077181208053688</v>
      </c>
      <c r="K284" s="492">
        <v>0.3</v>
      </c>
      <c r="L284" s="394">
        <f t="shared" si="83"/>
        <v>106.70033557046979</v>
      </c>
      <c r="M284" s="394">
        <v>110</v>
      </c>
      <c r="N284" s="504"/>
      <c r="O284" s="362"/>
      <c r="Q284" s="833"/>
      <c r="R284" s="396"/>
    </row>
    <row r="285" spans="1:20" s="395" customFormat="1" ht="15.75" outlineLevel="1" x14ac:dyDescent="0.25">
      <c r="A285" s="890" t="s">
        <v>673</v>
      </c>
      <c r="B285" s="169" t="s">
        <v>654</v>
      </c>
      <c r="C285" s="395">
        <v>75</v>
      </c>
      <c r="D285" s="395">
        <v>56</v>
      </c>
      <c r="E285" s="395" t="s">
        <v>655</v>
      </c>
      <c r="F285" s="395">
        <v>26</v>
      </c>
      <c r="G285" s="395">
        <v>6556</v>
      </c>
      <c r="H285" s="394">
        <v>9750</v>
      </c>
      <c r="I285" s="394">
        <f t="shared" si="84"/>
        <v>38.666870042708965</v>
      </c>
      <c r="J285" s="394">
        <f t="shared" si="85"/>
        <v>64.666870042708965</v>
      </c>
      <c r="K285" s="492">
        <v>0.3</v>
      </c>
      <c r="L285" s="394">
        <f t="shared" si="83"/>
        <v>84.06693105552165</v>
      </c>
      <c r="M285" s="394">
        <v>125</v>
      </c>
      <c r="N285" s="504"/>
      <c r="O285" s="362"/>
      <c r="Q285" s="833"/>
      <c r="R285" s="396"/>
    </row>
    <row r="286" spans="1:20" s="395" customFormat="1" ht="15.75" outlineLevel="1" x14ac:dyDescent="0.25">
      <c r="A286" s="393" t="s">
        <v>20</v>
      </c>
      <c r="B286" s="395" t="s">
        <v>678</v>
      </c>
      <c r="C286" s="395">
        <v>76</v>
      </c>
      <c r="D286" s="395">
        <v>44</v>
      </c>
      <c r="E286" s="395" t="s">
        <v>661</v>
      </c>
      <c r="F286" s="395">
        <v>26</v>
      </c>
      <c r="G286" s="395">
        <v>6556</v>
      </c>
      <c r="H286" s="394">
        <v>9750</v>
      </c>
      <c r="I286" s="394">
        <f t="shared" ref="I286:I292" si="86">+F286/G286*H286</f>
        <v>38.666870042708965</v>
      </c>
      <c r="J286" s="394">
        <f t="shared" ref="J286:J292" si="87">+F286+I286</f>
        <v>64.666870042708965</v>
      </c>
      <c r="K286" s="492">
        <v>0.3</v>
      </c>
      <c r="L286" s="394">
        <f t="shared" ref="L286:L298" si="88">+J286*K286+J286</f>
        <v>84.06693105552165</v>
      </c>
      <c r="M286" s="394">
        <v>110</v>
      </c>
      <c r="N286" s="504"/>
      <c r="O286" s="362"/>
      <c r="Q286" s="833"/>
      <c r="R286" s="396"/>
    </row>
    <row r="287" spans="1:20" s="395" customFormat="1" ht="15.75" outlineLevel="1" x14ac:dyDescent="0.25">
      <c r="A287" s="393" t="s">
        <v>20</v>
      </c>
      <c r="B287" s="395" t="s">
        <v>678</v>
      </c>
      <c r="C287" s="395">
        <v>77</v>
      </c>
      <c r="D287" s="395">
        <v>50</v>
      </c>
      <c r="E287" s="395" t="s">
        <v>661</v>
      </c>
      <c r="F287" s="395">
        <v>26</v>
      </c>
      <c r="G287" s="395">
        <v>6556</v>
      </c>
      <c r="H287" s="394">
        <v>9750</v>
      </c>
      <c r="I287" s="394">
        <f t="shared" si="86"/>
        <v>38.666870042708965</v>
      </c>
      <c r="J287" s="394">
        <f t="shared" si="87"/>
        <v>64.666870042708965</v>
      </c>
      <c r="K287" s="492">
        <v>0.3</v>
      </c>
      <c r="L287" s="394">
        <f t="shared" si="88"/>
        <v>84.06693105552165</v>
      </c>
      <c r="M287" s="394">
        <v>110</v>
      </c>
      <c r="N287" s="504"/>
      <c r="O287" s="362"/>
      <c r="Q287" s="833"/>
      <c r="R287" s="396"/>
    </row>
    <row r="288" spans="1:20" s="395" customFormat="1" ht="15.75" hidden="1" outlineLevel="1" x14ac:dyDescent="0.25">
      <c r="A288" s="393"/>
      <c r="B288" s="395" t="s">
        <v>663</v>
      </c>
      <c r="C288" s="395">
        <v>78</v>
      </c>
      <c r="D288" s="395">
        <v>38</v>
      </c>
      <c r="E288" s="317" t="s">
        <v>664</v>
      </c>
      <c r="F288" s="317">
        <v>19</v>
      </c>
      <c r="G288" s="317">
        <v>6556</v>
      </c>
      <c r="H288" s="493">
        <v>9750</v>
      </c>
      <c r="I288" s="493">
        <f>+F288/G288*H288</f>
        <v>28.256558877364245</v>
      </c>
      <c r="J288" s="493">
        <f>+F288+I288</f>
        <v>47.256558877364242</v>
      </c>
      <c r="K288" s="692">
        <v>1.3</v>
      </c>
      <c r="L288" s="493">
        <v>61</v>
      </c>
      <c r="M288" s="493">
        <v>80</v>
      </c>
      <c r="N288" s="504">
        <v>45</v>
      </c>
      <c r="O288" s="362"/>
      <c r="P288" s="395" t="s">
        <v>12</v>
      </c>
      <c r="Q288" s="833">
        <v>45401</v>
      </c>
      <c r="R288" s="396">
        <f>+N288*36000</f>
        <v>1620000</v>
      </c>
    </row>
    <row r="289" spans="1:18" s="395" customFormat="1" ht="15.75" outlineLevel="1" x14ac:dyDescent="0.25">
      <c r="A289" s="393" t="s">
        <v>364</v>
      </c>
      <c r="B289" s="395" t="s">
        <v>665</v>
      </c>
      <c r="C289" s="395">
        <v>79</v>
      </c>
      <c r="D289" s="395">
        <v>38</v>
      </c>
      <c r="E289" s="395" t="s">
        <v>666</v>
      </c>
      <c r="F289" s="395">
        <v>26</v>
      </c>
      <c r="G289" s="395">
        <v>6556</v>
      </c>
      <c r="H289" s="394">
        <v>9750</v>
      </c>
      <c r="I289" s="394">
        <f t="shared" si="86"/>
        <v>38.666870042708965</v>
      </c>
      <c r="J289" s="394">
        <f t="shared" si="87"/>
        <v>64.666870042708965</v>
      </c>
      <c r="K289" s="492">
        <v>0.3</v>
      </c>
      <c r="L289" s="394">
        <f t="shared" si="88"/>
        <v>84.06693105552165</v>
      </c>
      <c r="M289" s="394">
        <v>90</v>
      </c>
      <c r="N289" s="504"/>
      <c r="O289" s="362"/>
      <c r="Q289" s="833"/>
      <c r="R289" s="396"/>
    </row>
    <row r="290" spans="1:18" s="395" customFormat="1" ht="15.75" outlineLevel="1" x14ac:dyDescent="0.25">
      <c r="A290" s="393" t="s">
        <v>364</v>
      </c>
      <c r="B290" s="395" t="s">
        <v>665</v>
      </c>
      <c r="C290" s="395">
        <v>80</v>
      </c>
      <c r="D290" s="395">
        <v>40</v>
      </c>
      <c r="E290" s="395" t="s">
        <v>666</v>
      </c>
      <c r="F290" s="395">
        <v>26</v>
      </c>
      <c r="G290" s="395">
        <v>6556</v>
      </c>
      <c r="H290" s="394">
        <v>9750</v>
      </c>
      <c r="I290" s="394">
        <f t="shared" si="86"/>
        <v>38.666870042708965</v>
      </c>
      <c r="J290" s="394">
        <f t="shared" si="87"/>
        <v>64.666870042708965</v>
      </c>
      <c r="K290" s="492">
        <v>0.3</v>
      </c>
      <c r="L290" s="394">
        <f t="shared" si="88"/>
        <v>84.06693105552165</v>
      </c>
      <c r="M290" s="394">
        <v>90</v>
      </c>
      <c r="N290" s="504"/>
      <c r="O290" s="362"/>
      <c r="Q290" s="833"/>
      <c r="R290" s="396"/>
    </row>
    <row r="291" spans="1:18" s="395" customFormat="1" ht="15.75" hidden="1" outlineLevel="1" x14ac:dyDescent="0.25">
      <c r="A291" s="393" t="s">
        <v>673</v>
      </c>
      <c r="B291" s="395" t="s">
        <v>682</v>
      </c>
      <c r="C291" s="395">
        <v>81</v>
      </c>
      <c r="D291" s="395">
        <v>48</v>
      </c>
      <c r="E291" s="317" t="s">
        <v>674</v>
      </c>
      <c r="F291" s="317">
        <v>23</v>
      </c>
      <c r="G291" s="317">
        <v>6556</v>
      </c>
      <c r="H291" s="493">
        <v>9750</v>
      </c>
      <c r="I291" s="493">
        <f t="shared" si="86"/>
        <v>34.205308114704088</v>
      </c>
      <c r="J291" s="493">
        <f t="shared" si="87"/>
        <v>57.205308114704088</v>
      </c>
      <c r="K291" s="692">
        <v>0.3</v>
      </c>
      <c r="L291" s="493">
        <f t="shared" si="88"/>
        <v>74.366900549115314</v>
      </c>
      <c r="M291" s="493">
        <v>90</v>
      </c>
      <c r="N291" s="504">
        <v>55</v>
      </c>
      <c r="O291" s="362"/>
      <c r="P291" s="625" t="s">
        <v>1847</v>
      </c>
      <c r="Q291" s="833">
        <v>45374</v>
      </c>
      <c r="R291" s="396">
        <f>+N291*20000</f>
        <v>1100000</v>
      </c>
    </row>
    <row r="292" spans="1:18" s="395" customFormat="1" ht="15.75" outlineLevel="1" x14ac:dyDescent="0.25">
      <c r="A292" s="890" t="s">
        <v>673</v>
      </c>
      <c r="B292" s="395" t="s">
        <v>682</v>
      </c>
      <c r="C292" s="395">
        <v>82</v>
      </c>
      <c r="D292" s="395">
        <v>50</v>
      </c>
      <c r="E292" s="395" t="s">
        <v>674</v>
      </c>
      <c r="F292" s="395">
        <v>23</v>
      </c>
      <c r="G292" s="395">
        <v>6556</v>
      </c>
      <c r="H292" s="394">
        <v>9750</v>
      </c>
      <c r="I292" s="394">
        <f t="shared" si="86"/>
        <v>34.205308114704088</v>
      </c>
      <c r="J292" s="394">
        <f t="shared" si="87"/>
        <v>57.205308114704088</v>
      </c>
      <c r="K292" s="492">
        <v>0.3</v>
      </c>
      <c r="L292" s="394">
        <f t="shared" si="88"/>
        <v>74.366900549115314</v>
      </c>
      <c r="M292" s="394">
        <v>90</v>
      </c>
      <c r="N292" s="504"/>
      <c r="O292" s="362"/>
      <c r="P292" s="625" t="s">
        <v>1525</v>
      </c>
      <c r="Q292" s="833"/>
      <c r="R292" s="396"/>
    </row>
    <row r="293" spans="1:18" s="395" customFormat="1" ht="15.75" hidden="1" outlineLevel="1" x14ac:dyDescent="0.25">
      <c r="A293" s="393" t="s">
        <v>673</v>
      </c>
      <c r="B293" s="395" t="s">
        <v>682</v>
      </c>
      <c r="C293" s="395">
        <v>83</v>
      </c>
      <c r="D293" s="395">
        <v>52</v>
      </c>
      <c r="E293" s="317" t="s">
        <v>674</v>
      </c>
      <c r="F293" s="317">
        <v>23</v>
      </c>
      <c r="G293" s="317">
        <v>6556</v>
      </c>
      <c r="H293" s="493">
        <v>9750</v>
      </c>
      <c r="I293" s="493">
        <f>+F293/G293*H293</f>
        <v>34.205308114704088</v>
      </c>
      <c r="J293" s="493">
        <f>+F293+I293</f>
        <v>57.205308114704088</v>
      </c>
      <c r="K293" s="692">
        <v>0.3</v>
      </c>
      <c r="L293" s="493">
        <f t="shared" si="88"/>
        <v>74.366900549115314</v>
      </c>
      <c r="M293" s="493">
        <v>90</v>
      </c>
      <c r="N293" s="504">
        <v>55</v>
      </c>
      <c r="O293" s="362"/>
      <c r="P293" s="625" t="s">
        <v>1847</v>
      </c>
      <c r="Q293" s="833">
        <v>45302</v>
      </c>
      <c r="R293" s="396">
        <f>+N293*7000</f>
        <v>385000</v>
      </c>
    </row>
    <row r="294" spans="1:18" s="395" customFormat="1" ht="15.75" hidden="1" outlineLevel="1" x14ac:dyDescent="0.25">
      <c r="A294" s="393" t="s">
        <v>673</v>
      </c>
      <c r="B294" s="395" t="s">
        <v>682</v>
      </c>
      <c r="C294" s="395">
        <v>84</v>
      </c>
      <c r="D294" s="395">
        <v>42</v>
      </c>
      <c r="E294" s="317" t="s">
        <v>674</v>
      </c>
      <c r="F294" s="317">
        <v>23</v>
      </c>
      <c r="G294" s="317">
        <v>6556</v>
      </c>
      <c r="H294" s="493">
        <v>9750</v>
      </c>
      <c r="I294" s="493">
        <f>+F294/G294*H294</f>
        <v>34.205308114704088</v>
      </c>
      <c r="J294" s="493">
        <f>+F294+I294</f>
        <v>57.205308114704088</v>
      </c>
      <c r="K294" s="692">
        <v>0.3</v>
      </c>
      <c r="L294" s="493">
        <f t="shared" si="88"/>
        <v>74.366900549115314</v>
      </c>
      <c r="M294" s="493">
        <v>90</v>
      </c>
      <c r="N294" s="504">
        <v>55</v>
      </c>
      <c r="O294" s="362"/>
      <c r="P294" s="625" t="s">
        <v>1847</v>
      </c>
      <c r="Q294" s="833">
        <v>45337</v>
      </c>
      <c r="R294" s="396">
        <f>+N294*10000</f>
        <v>550000</v>
      </c>
    </row>
    <row r="295" spans="1:18" s="395" customFormat="1" ht="15.75" outlineLevel="1" x14ac:dyDescent="0.25">
      <c r="E295" s="506" t="s">
        <v>701</v>
      </c>
      <c r="F295" s="167"/>
      <c r="G295" s="394"/>
      <c r="H295" s="394"/>
      <c r="I295" s="394"/>
      <c r="J295" s="394"/>
      <c r="K295" s="492"/>
      <c r="L295" s="394">
        <f t="shared" si="88"/>
        <v>0</v>
      </c>
      <c r="M295" s="394"/>
      <c r="N295" s="504"/>
      <c r="Q295" s="833"/>
      <c r="R295" s="396"/>
    </row>
    <row r="296" spans="1:18" s="395" customFormat="1" ht="15.75" hidden="1" outlineLevel="1" x14ac:dyDescent="0.25">
      <c r="A296" s="395" t="s">
        <v>687</v>
      </c>
      <c r="B296" s="395" t="s">
        <v>693</v>
      </c>
      <c r="C296" s="395">
        <v>85</v>
      </c>
      <c r="D296" s="395">
        <v>36</v>
      </c>
      <c r="E296" s="317" t="s">
        <v>965</v>
      </c>
      <c r="F296" s="545">
        <v>25</v>
      </c>
      <c r="G296" s="493">
        <v>3505</v>
      </c>
      <c r="H296" s="493">
        <v>6245</v>
      </c>
      <c r="I296" s="493">
        <f t="shared" ref="I296:I298" si="89">+F296/G296*H296</f>
        <v>44.543509272467901</v>
      </c>
      <c r="J296" s="394">
        <f t="shared" ref="J296:J298" si="90">+F296+I296</f>
        <v>69.543509272467901</v>
      </c>
      <c r="K296" s="492">
        <v>0.3</v>
      </c>
      <c r="L296" s="493">
        <f t="shared" si="88"/>
        <v>90.406562054208266</v>
      </c>
      <c r="M296" s="493">
        <v>110</v>
      </c>
      <c r="N296" s="504">
        <v>65</v>
      </c>
      <c r="O296" s="362"/>
      <c r="P296" s="495" t="s">
        <v>12</v>
      </c>
      <c r="Q296" s="833">
        <v>45401</v>
      </c>
      <c r="R296" s="396">
        <f>+N296*36000</f>
        <v>2340000</v>
      </c>
    </row>
    <row r="297" spans="1:18" s="395" customFormat="1" ht="15.75" hidden="1" outlineLevel="1" x14ac:dyDescent="0.25">
      <c r="A297" s="395" t="s">
        <v>687</v>
      </c>
      <c r="B297" s="395" t="s">
        <v>693</v>
      </c>
      <c r="C297" s="395">
        <v>86</v>
      </c>
      <c r="D297" s="395">
        <v>38</v>
      </c>
      <c r="E297" s="317" t="s">
        <v>965</v>
      </c>
      <c r="F297" s="545">
        <v>25</v>
      </c>
      <c r="G297" s="493">
        <v>3505</v>
      </c>
      <c r="H297" s="493">
        <v>6245</v>
      </c>
      <c r="I297" s="493">
        <f t="shared" si="89"/>
        <v>44.543509272467901</v>
      </c>
      <c r="J297" s="493">
        <f t="shared" si="90"/>
        <v>69.543509272467901</v>
      </c>
      <c r="K297" s="692">
        <v>0.3</v>
      </c>
      <c r="L297" s="493">
        <f t="shared" si="88"/>
        <v>90.406562054208266</v>
      </c>
      <c r="M297" s="493">
        <v>110</v>
      </c>
      <c r="N297" s="504">
        <f>+M297*0.55</f>
        <v>60.500000000000007</v>
      </c>
      <c r="O297" s="362"/>
      <c r="P297" s="395" t="s">
        <v>12</v>
      </c>
      <c r="Q297" s="833">
        <v>45325</v>
      </c>
      <c r="R297" s="396">
        <f>+N297*8000</f>
        <v>484000.00000000006</v>
      </c>
    </row>
    <row r="298" spans="1:18" s="395" customFormat="1" ht="15.75" outlineLevel="1" x14ac:dyDescent="0.25">
      <c r="A298" s="891" t="s">
        <v>687</v>
      </c>
      <c r="B298" s="395" t="s">
        <v>693</v>
      </c>
      <c r="C298" s="395">
        <v>87</v>
      </c>
      <c r="D298" s="395">
        <v>40</v>
      </c>
      <c r="E298" s="395" t="s">
        <v>965</v>
      </c>
      <c r="F298" s="167">
        <v>25</v>
      </c>
      <c r="G298" s="394">
        <v>3505</v>
      </c>
      <c r="H298" s="394">
        <v>6245</v>
      </c>
      <c r="I298" s="394">
        <f t="shared" si="89"/>
        <v>44.543509272467901</v>
      </c>
      <c r="J298" s="394">
        <f t="shared" si="90"/>
        <v>69.543509272467901</v>
      </c>
      <c r="K298" s="492">
        <v>0.3</v>
      </c>
      <c r="L298" s="394">
        <f t="shared" si="88"/>
        <v>90.406562054208266</v>
      </c>
      <c r="M298" s="394">
        <v>110</v>
      </c>
      <c r="N298" s="504"/>
      <c r="O298" s="362"/>
      <c r="Q298" s="833"/>
      <c r="R298" s="396"/>
    </row>
    <row r="299" spans="1:18" s="395" customFormat="1" ht="15.75" outlineLevel="1" x14ac:dyDescent="0.25">
      <c r="A299" s="395" t="s">
        <v>14</v>
      </c>
      <c r="B299" s="395" t="s">
        <v>14</v>
      </c>
      <c r="C299" s="395">
        <v>88</v>
      </c>
      <c r="D299" s="395">
        <v>42</v>
      </c>
      <c r="E299" s="395" t="s">
        <v>696</v>
      </c>
      <c r="F299" s="167">
        <v>24</v>
      </c>
      <c r="G299" s="394">
        <v>3505</v>
      </c>
      <c r="H299" s="394">
        <v>6245</v>
      </c>
      <c r="I299" s="394">
        <f t="shared" ref="I299:I311" si="91">+F299/G299*H299</f>
        <v>42.761768901569191</v>
      </c>
      <c r="J299" s="394">
        <f t="shared" ref="J299:J311" si="92">+F299+I299</f>
        <v>66.761768901569184</v>
      </c>
      <c r="K299" s="492">
        <v>0.3</v>
      </c>
      <c r="L299" s="394">
        <f t="shared" ref="L299:L321" si="93">+J299*K299+J299</f>
        <v>86.790299572039942</v>
      </c>
      <c r="M299" s="394">
        <v>110</v>
      </c>
      <c r="N299" s="504"/>
      <c r="O299" s="362"/>
      <c r="Q299" s="833"/>
      <c r="R299" s="396"/>
    </row>
    <row r="300" spans="1:18" s="395" customFormat="1" ht="15.75" outlineLevel="1" x14ac:dyDescent="0.25">
      <c r="A300" s="395" t="s">
        <v>14</v>
      </c>
      <c r="B300" s="395" t="s">
        <v>14</v>
      </c>
      <c r="C300" s="395">
        <v>89</v>
      </c>
      <c r="D300" s="395">
        <v>44</v>
      </c>
      <c r="E300" s="395" t="s">
        <v>696</v>
      </c>
      <c r="F300" s="167">
        <v>24</v>
      </c>
      <c r="G300" s="394">
        <v>3505</v>
      </c>
      <c r="H300" s="394">
        <v>6245</v>
      </c>
      <c r="I300" s="394">
        <f t="shared" si="91"/>
        <v>42.761768901569191</v>
      </c>
      <c r="J300" s="394">
        <f t="shared" si="92"/>
        <v>66.761768901569184</v>
      </c>
      <c r="K300" s="492">
        <v>0.3</v>
      </c>
      <c r="L300" s="394">
        <f t="shared" si="93"/>
        <v>86.790299572039942</v>
      </c>
      <c r="M300" s="394">
        <v>110</v>
      </c>
      <c r="N300" s="504"/>
      <c r="O300" s="362"/>
      <c r="Q300" s="833"/>
      <c r="R300" s="396"/>
    </row>
    <row r="301" spans="1:18" s="395" customFormat="1" ht="15.75" outlineLevel="1" x14ac:dyDescent="0.25">
      <c r="A301" s="395" t="s">
        <v>14</v>
      </c>
      <c r="B301" s="395" t="s">
        <v>14</v>
      </c>
      <c r="C301" s="395">
        <v>90</v>
      </c>
      <c r="D301" s="395">
        <v>46</v>
      </c>
      <c r="E301" s="510" t="s">
        <v>696</v>
      </c>
      <c r="F301" s="809">
        <v>24</v>
      </c>
      <c r="G301" s="512">
        <v>3505</v>
      </c>
      <c r="H301" s="512">
        <v>6245</v>
      </c>
      <c r="I301" s="512">
        <f t="shared" si="91"/>
        <v>42.761768901569191</v>
      </c>
      <c r="J301" s="512">
        <f t="shared" si="92"/>
        <v>66.761768901569184</v>
      </c>
      <c r="K301" s="513">
        <v>0.3</v>
      </c>
      <c r="L301" s="512">
        <f t="shared" si="93"/>
        <v>86.790299572039942</v>
      </c>
      <c r="M301" s="512">
        <v>110</v>
      </c>
      <c r="N301" s="504"/>
      <c r="O301" s="362"/>
      <c r="P301" s="495" t="s">
        <v>1823</v>
      </c>
      <c r="Q301" s="833">
        <v>45352</v>
      </c>
      <c r="R301" s="396"/>
    </row>
    <row r="302" spans="1:18" s="395" customFormat="1" ht="15.75" outlineLevel="1" x14ac:dyDescent="0.25">
      <c r="A302" s="395" t="s">
        <v>14</v>
      </c>
      <c r="B302" s="395" t="s">
        <v>14</v>
      </c>
      <c r="C302" s="395">
        <v>91</v>
      </c>
      <c r="D302" s="395">
        <v>46</v>
      </c>
      <c r="E302" s="395" t="s">
        <v>715</v>
      </c>
      <c r="F302" s="167">
        <v>23</v>
      </c>
      <c r="G302" s="394">
        <v>3505</v>
      </c>
      <c r="H302" s="394">
        <v>6245</v>
      </c>
      <c r="I302" s="394">
        <f t="shared" si="91"/>
        <v>40.980028530670467</v>
      </c>
      <c r="J302" s="394">
        <f t="shared" si="92"/>
        <v>63.980028530670467</v>
      </c>
      <c r="K302" s="492">
        <v>0.3</v>
      </c>
      <c r="L302" s="394">
        <f t="shared" si="93"/>
        <v>83.174037089871604</v>
      </c>
      <c r="M302" s="394">
        <v>110</v>
      </c>
      <c r="N302" s="504"/>
      <c r="O302" s="362"/>
      <c r="Q302" s="833"/>
      <c r="R302" s="396"/>
    </row>
    <row r="303" spans="1:18" s="395" customFormat="1" ht="15.75" outlineLevel="1" x14ac:dyDescent="0.25">
      <c r="A303" s="395" t="s">
        <v>14</v>
      </c>
      <c r="B303" s="395" t="s">
        <v>14</v>
      </c>
      <c r="C303" s="395">
        <v>92</v>
      </c>
      <c r="D303" s="395">
        <v>48</v>
      </c>
      <c r="E303" s="395" t="s">
        <v>715</v>
      </c>
      <c r="F303" s="167">
        <v>23</v>
      </c>
      <c r="G303" s="394">
        <v>3505</v>
      </c>
      <c r="H303" s="394">
        <v>6245</v>
      </c>
      <c r="I303" s="394">
        <f t="shared" si="91"/>
        <v>40.980028530670467</v>
      </c>
      <c r="J303" s="394">
        <f t="shared" si="92"/>
        <v>63.980028530670467</v>
      </c>
      <c r="K303" s="492">
        <v>0.3</v>
      </c>
      <c r="L303" s="394">
        <f t="shared" si="93"/>
        <v>83.174037089871604</v>
      </c>
      <c r="M303" s="394">
        <v>110</v>
      </c>
      <c r="N303" s="504"/>
      <c r="O303" s="362"/>
      <c r="Q303" s="833"/>
      <c r="R303" s="396"/>
    </row>
    <row r="304" spans="1:18" s="395" customFormat="1" ht="15.75" outlineLevel="1" x14ac:dyDescent="0.25">
      <c r="A304" s="395" t="s">
        <v>688</v>
      </c>
      <c r="B304" s="395" t="s">
        <v>688</v>
      </c>
      <c r="C304" s="395">
        <v>93</v>
      </c>
      <c r="D304" s="395">
        <v>42</v>
      </c>
      <c r="E304" s="395" t="s">
        <v>689</v>
      </c>
      <c r="F304" s="167">
        <v>35</v>
      </c>
      <c r="G304" s="394">
        <v>3505</v>
      </c>
      <c r="H304" s="394">
        <v>6245</v>
      </c>
      <c r="I304" s="394">
        <f t="shared" si="91"/>
        <v>62.360912981455058</v>
      </c>
      <c r="J304" s="394">
        <f t="shared" si="92"/>
        <v>97.360912981455058</v>
      </c>
      <c r="K304" s="492">
        <v>0.3</v>
      </c>
      <c r="L304" s="394">
        <f t="shared" si="93"/>
        <v>126.56918687589157</v>
      </c>
      <c r="M304" s="394">
        <v>125</v>
      </c>
      <c r="N304" s="504"/>
      <c r="O304" s="362"/>
      <c r="Q304" s="833"/>
      <c r="R304" s="396"/>
    </row>
    <row r="305" spans="1:20" s="395" customFormat="1" ht="15.75" outlineLevel="1" x14ac:dyDescent="0.25">
      <c r="A305" s="395" t="s">
        <v>688</v>
      </c>
      <c r="B305" s="395" t="s">
        <v>688</v>
      </c>
      <c r="C305" s="395">
        <v>94</v>
      </c>
      <c r="D305" s="395">
        <v>44</v>
      </c>
      <c r="E305" s="395" t="s">
        <v>689</v>
      </c>
      <c r="F305" s="167">
        <v>35</v>
      </c>
      <c r="G305" s="394">
        <v>3505</v>
      </c>
      <c r="H305" s="394">
        <v>6245</v>
      </c>
      <c r="I305" s="394">
        <f t="shared" si="91"/>
        <v>62.360912981455058</v>
      </c>
      <c r="J305" s="394">
        <f t="shared" si="92"/>
        <v>97.360912981455058</v>
      </c>
      <c r="K305" s="492">
        <v>0.3</v>
      </c>
      <c r="L305" s="394">
        <f t="shared" si="93"/>
        <v>126.56918687589157</v>
      </c>
      <c r="M305" s="394">
        <v>125</v>
      </c>
      <c r="N305" s="504"/>
      <c r="O305" s="362"/>
      <c r="Q305" s="833"/>
      <c r="R305" s="396"/>
    </row>
    <row r="306" spans="1:20" s="395" customFormat="1" ht="15.75" outlineLevel="1" x14ac:dyDescent="0.25">
      <c r="A306" s="395" t="s">
        <v>688</v>
      </c>
      <c r="B306" s="395" t="s">
        <v>688</v>
      </c>
      <c r="C306" s="395">
        <v>95</v>
      </c>
      <c r="D306" s="395">
        <v>46</v>
      </c>
      <c r="E306" s="395" t="s">
        <v>689</v>
      </c>
      <c r="F306" s="167">
        <v>35</v>
      </c>
      <c r="G306" s="394">
        <v>3505</v>
      </c>
      <c r="H306" s="394">
        <v>6245</v>
      </c>
      <c r="I306" s="394">
        <f t="shared" si="91"/>
        <v>62.360912981455058</v>
      </c>
      <c r="J306" s="394">
        <f t="shared" si="92"/>
        <v>97.360912981455058</v>
      </c>
      <c r="K306" s="492">
        <v>0.3</v>
      </c>
      <c r="L306" s="394">
        <f t="shared" si="93"/>
        <v>126.56918687589157</v>
      </c>
      <c r="M306" s="394">
        <v>125</v>
      </c>
      <c r="N306" s="504"/>
      <c r="O306" s="362"/>
      <c r="Q306" s="833"/>
      <c r="R306" s="396"/>
    </row>
    <row r="307" spans="1:20" s="395" customFormat="1" ht="15.75" outlineLevel="1" x14ac:dyDescent="0.25">
      <c r="A307" s="891" t="s">
        <v>688</v>
      </c>
      <c r="B307" s="395" t="s">
        <v>688</v>
      </c>
      <c r="C307" s="395">
        <v>96</v>
      </c>
      <c r="D307" s="395">
        <v>44</v>
      </c>
      <c r="E307" s="395" t="s">
        <v>695</v>
      </c>
      <c r="F307" s="167">
        <v>25</v>
      </c>
      <c r="G307" s="394">
        <v>3505</v>
      </c>
      <c r="H307" s="394">
        <v>6245</v>
      </c>
      <c r="I307" s="394">
        <f t="shared" si="91"/>
        <v>44.543509272467901</v>
      </c>
      <c r="J307" s="394">
        <f t="shared" si="92"/>
        <v>69.543509272467901</v>
      </c>
      <c r="K307" s="492">
        <v>0.3</v>
      </c>
      <c r="L307" s="394">
        <f t="shared" si="93"/>
        <v>90.406562054208266</v>
      </c>
      <c r="M307" s="180">
        <v>125</v>
      </c>
      <c r="N307" s="525"/>
      <c r="O307" s="362"/>
      <c r="Q307" s="833"/>
      <c r="R307" s="396"/>
    </row>
    <row r="308" spans="1:20" s="395" customFormat="1" ht="15.75" outlineLevel="1" x14ac:dyDescent="0.25">
      <c r="A308" s="395" t="s">
        <v>688</v>
      </c>
      <c r="B308" s="395" t="s">
        <v>688</v>
      </c>
      <c r="C308" s="395">
        <v>97</v>
      </c>
      <c r="D308" s="395">
        <v>42</v>
      </c>
      <c r="E308" s="395" t="s">
        <v>690</v>
      </c>
      <c r="F308" s="167">
        <v>25</v>
      </c>
      <c r="G308" s="394">
        <v>3505</v>
      </c>
      <c r="H308" s="394">
        <v>6245</v>
      </c>
      <c r="I308" s="394">
        <f t="shared" si="91"/>
        <v>44.543509272467901</v>
      </c>
      <c r="J308" s="394">
        <f t="shared" si="92"/>
        <v>69.543509272467901</v>
      </c>
      <c r="K308" s="492">
        <v>0.3</v>
      </c>
      <c r="L308" s="394">
        <f t="shared" si="93"/>
        <v>90.406562054208266</v>
      </c>
      <c r="M308" s="394">
        <v>110</v>
      </c>
      <c r="N308" s="504"/>
      <c r="O308" s="362"/>
      <c r="Q308" s="833"/>
      <c r="R308" s="396"/>
    </row>
    <row r="309" spans="1:20" s="395" customFormat="1" ht="15.75" outlineLevel="1" x14ac:dyDescent="0.25">
      <c r="A309" s="395" t="s">
        <v>688</v>
      </c>
      <c r="B309" s="395" t="s">
        <v>688</v>
      </c>
      <c r="C309" s="395">
        <v>98</v>
      </c>
      <c r="D309" s="395">
        <v>44</v>
      </c>
      <c r="E309" s="395" t="s">
        <v>690</v>
      </c>
      <c r="F309" s="167">
        <v>25</v>
      </c>
      <c r="G309" s="394">
        <v>3505</v>
      </c>
      <c r="H309" s="394">
        <v>6245</v>
      </c>
      <c r="I309" s="394">
        <f t="shared" si="91"/>
        <v>44.543509272467901</v>
      </c>
      <c r="J309" s="394">
        <f t="shared" si="92"/>
        <v>69.543509272467901</v>
      </c>
      <c r="K309" s="492">
        <v>0.3</v>
      </c>
      <c r="L309" s="394">
        <f t="shared" si="93"/>
        <v>90.406562054208266</v>
      </c>
      <c r="M309" s="394">
        <v>110</v>
      </c>
      <c r="N309" s="504"/>
      <c r="O309" s="362"/>
      <c r="Q309" s="833"/>
      <c r="R309" s="396"/>
    </row>
    <row r="310" spans="1:20" s="395" customFormat="1" ht="15.75" outlineLevel="1" x14ac:dyDescent="0.25">
      <c r="A310" s="395" t="s">
        <v>688</v>
      </c>
      <c r="B310" s="395" t="s">
        <v>688</v>
      </c>
      <c r="C310" s="395">
        <v>99</v>
      </c>
      <c r="D310" s="395">
        <v>46</v>
      </c>
      <c r="E310" s="395" t="s">
        <v>690</v>
      </c>
      <c r="F310" s="167">
        <v>25</v>
      </c>
      <c r="G310" s="394">
        <v>3505</v>
      </c>
      <c r="H310" s="394">
        <v>6245</v>
      </c>
      <c r="I310" s="394">
        <f t="shared" si="91"/>
        <v>44.543509272467901</v>
      </c>
      <c r="J310" s="394">
        <f t="shared" si="92"/>
        <v>69.543509272467901</v>
      </c>
      <c r="K310" s="492">
        <v>0.3</v>
      </c>
      <c r="L310" s="394">
        <f t="shared" si="93"/>
        <v>90.406562054208266</v>
      </c>
      <c r="M310" s="394">
        <v>110</v>
      </c>
      <c r="N310" s="504"/>
      <c r="O310" s="362"/>
      <c r="Q310" s="833"/>
      <c r="R310" s="396"/>
    </row>
    <row r="311" spans="1:20" s="395" customFormat="1" ht="15.75" outlineLevel="1" x14ac:dyDescent="0.25">
      <c r="A311" s="395" t="s">
        <v>688</v>
      </c>
      <c r="B311" s="395" t="s">
        <v>688</v>
      </c>
      <c r="C311" s="395">
        <v>100</v>
      </c>
      <c r="D311" s="395">
        <v>48</v>
      </c>
      <c r="E311" s="395" t="s">
        <v>690</v>
      </c>
      <c r="F311" s="167">
        <v>25</v>
      </c>
      <c r="G311" s="394">
        <v>3505</v>
      </c>
      <c r="H311" s="394">
        <v>6245</v>
      </c>
      <c r="I311" s="394">
        <f t="shared" si="91"/>
        <v>44.543509272467901</v>
      </c>
      <c r="J311" s="394">
        <f t="shared" si="92"/>
        <v>69.543509272467901</v>
      </c>
      <c r="K311" s="492">
        <v>0.3</v>
      </c>
      <c r="L311" s="394">
        <f t="shared" si="93"/>
        <v>90.406562054208266</v>
      </c>
      <c r="M311" s="394">
        <v>110</v>
      </c>
      <c r="N311" s="504"/>
      <c r="O311" s="362"/>
      <c r="Q311" s="833"/>
      <c r="R311" s="396"/>
    </row>
    <row r="312" spans="1:20" s="395" customFormat="1" ht="15.75" outlineLevel="1" x14ac:dyDescent="0.25">
      <c r="A312" s="395" t="s">
        <v>688</v>
      </c>
      <c r="B312" s="395" t="s">
        <v>688</v>
      </c>
      <c r="C312" s="395">
        <v>101</v>
      </c>
      <c r="D312" s="395">
        <v>44</v>
      </c>
      <c r="E312" s="395" t="s">
        <v>697</v>
      </c>
      <c r="F312" s="167">
        <v>25</v>
      </c>
      <c r="G312" s="394">
        <v>3505</v>
      </c>
      <c r="H312" s="394">
        <v>6245</v>
      </c>
      <c r="I312" s="394">
        <f t="shared" ref="I312:I321" si="94">+F312/G312*H312</f>
        <v>44.543509272467901</v>
      </c>
      <c r="J312" s="394">
        <f t="shared" ref="J312:J321" si="95">+F312+I312</f>
        <v>69.543509272467901</v>
      </c>
      <c r="K312" s="492">
        <v>0.3</v>
      </c>
      <c r="L312" s="394">
        <f t="shared" si="93"/>
        <v>90.406562054208266</v>
      </c>
      <c r="M312" s="394">
        <v>110</v>
      </c>
      <c r="N312" s="504"/>
      <c r="O312" s="362"/>
      <c r="Q312" s="833"/>
      <c r="R312" s="396"/>
    </row>
    <row r="313" spans="1:20" s="395" customFormat="1" ht="15.75" outlineLevel="1" x14ac:dyDescent="0.25">
      <c r="A313" s="395" t="s">
        <v>688</v>
      </c>
      <c r="B313" s="395" t="s">
        <v>688</v>
      </c>
      <c r="C313" s="395">
        <v>102</v>
      </c>
      <c r="D313" s="395">
        <v>46</v>
      </c>
      <c r="E313" s="395" t="s">
        <v>697</v>
      </c>
      <c r="F313" s="167">
        <v>25</v>
      </c>
      <c r="G313" s="394">
        <v>3505</v>
      </c>
      <c r="H313" s="394">
        <v>6245</v>
      </c>
      <c r="I313" s="394">
        <f t="shared" si="94"/>
        <v>44.543509272467901</v>
      </c>
      <c r="J313" s="394">
        <f t="shared" si="95"/>
        <v>69.543509272467901</v>
      </c>
      <c r="K313" s="492">
        <v>0.3</v>
      </c>
      <c r="L313" s="394">
        <f t="shared" si="93"/>
        <v>90.406562054208266</v>
      </c>
      <c r="M313" s="394">
        <v>110</v>
      </c>
      <c r="N313" s="504"/>
      <c r="O313" s="362"/>
      <c r="Q313" s="833"/>
      <c r="R313" s="396"/>
    </row>
    <row r="314" spans="1:20" s="395" customFormat="1" ht="15.75" outlineLevel="1" x14ac:dyDescent="0.25">
      <c r="A314" s="395" t="s">
        <v>688</v>
      </c>
      <c r="B314" s="395" t="s">
        <v>688</v>
      </c>
      <c r="C314" s="395">
        <v>103</v>
      </c>
      <c r="D314" s="395">
        <v>48</v>
      </c>
      <c r="E314" s="395" t="s">
        <v>697</v>
      </c>
      <c r="F314" s="167">
        <v>25</v>
      </c>
      <c r="G314" s="394">
        <v>3505</v>
      </c>
      <c r="H314" s="394">
        <v>6245</v>
      </c>
      <c r="I314" s="394">
        <f t="shared" si="94"/>
        <v>44.543509272467901</v>
      </c>
      <c r="J314" s="394">
        <f t="shared" si="95"/>
        <v>69.543509272467901</v>
      </c>
      <c r="K314" s="492">
        <v>0.3</v>
      </c>
      <c r="L314" s="394">
        <f t="shared" si="93"/>
        <v>90.406562054208266</v>
      </c>
      <c r="M314" s="394">
        <v>110</v>
      </c>
      <c r="N314" s="504"/>
      <c r="O314" s="362"/>
      <c r="Q314" s="833"/>
      <c r="R314" s="396"/>
    </row>
    <row r="315" spans="1:20" s="395" customFormat="1" ht="15.75" outlineLevel="1" x14ac:dyDescent="0.25">
      <c r="A315" s="891" t="s">
        <v>688</v>
      </c>
      <c r="B315" s="395" t="s">
        <v>688</v>
      </c>
      <c r="C315" s="395">
        <v>104</v>
      </c>
      <c r="D315" s="395">
        <v>42</v>
      </c>
      <c r="E315" s="395" t="s">
        <v>699</v>
      </c>
      <c r="F315" s="167">
        <v>25</v>
      </c>
      <c r="G315" s="394">
        <v>3505</v>
      </c>
      <c r="H315" s="394">
        <v>6245</v>
      </c>
      <c r="I315" s="394">
        <f t="shared" si="94"/>
        <v>44.543509272467901</v>
      </c>
      <c r="J315" s="394">
        <f t="shared" si="95"/>
        <v>69.543509272467901</v>
      </c>
      <c r="K315" s="492">
        <v>0.3</v>
      </c>
      <c r="L315" s="394">
        <f t="shared" si="93"/>
        <v>90.406562054208266</v>
      </c>
      <c r="M315" s="394">
        <v>110</v>
      </c>
      <c r="N315" s="504"/>
      <c r="O315" s="362"/>
      <c r="Q315" s="833"/>
      <c r="R315" s="396"/>
    </row>
    <row r="316" spans="1:20" s="395" customFormat="1" ht="15.75" hidden="1" outlineLevel="1" x14ac:dyDescent="0.25">
      <c r="A316" s="395" t="s">
        <v>688</v>
      </c>
      <c r="B316" s="395" t="s">
        <v>688</v>
      </c>
      <c r="C316" s="395">
        <v>105</v>
      </c>
      <c r="D316" s="395">
        <v>46</v>
      </c>
      <c r="E316" s="317" t="s">
        <v>699</v>
      </c>
      <c r="F316" s="545">
        <v>25</v>
      </c>
      <c r="G316" s="493">
        <v>3505</v>
      </c>
      <c r="H316" s="493">
        <v>6245</v>
      </c>
      <c r="I316" s="493">
        <f t="shared" si="94"/>
        <v>44.543509272467901</v>
      </c>
      <c r="J316" s="493">
        <f t="shared" si="95"/>
        <v>69.543509272467901</v>
      </c>
      <c r="K316" s="692">
        <v>0.3</v>
      </c>
      <c r="L316" s="493">
        <f t="shared" si="93"/>
        <v>90.406562054208266</v>
      </c>
      <c r="M316" s="493">
        <v>110</v>
      </c>
      <c r="N316" s="504">
        <v>50</v>
      </c>
      <c r="O316" s="362"/>
      <c r="P316" s="395" t="s">
        <v>12</v>
      </c>
      <c r="Q316" s="833">
        <v>45334</v>
      </c>
      <c r="R316" s="396">
        <f>+N316*8000</f>
        <v>400000</v>
      </c>
    </row>
    <row r="317" spans="1:20" s="395" customFormat="1" ht="15.75" hidden="1" outlineLevel="1" x14ac:dyDescent="0.25">
      <c r="A317" s="395" t="s">
        <v>688</v>
      </c>
      <c r="B317" s="395" t="s">
        <v>688</v>
      </c>
      <c r="C317" s="395">
        <v>106</v>
      </c>
      <c r="D317" s="395">
        <v>48</v>
      </c>
      <c r="E317" s="317" t="s">
        <v>699</v>
      </c>
      <c r="F317" s="545">
        <v>25</v>
      </c>
      <c r="G317" s="493">
        <v>3505</v>
      </c>
      <c r="H317" s="493">
        <v>6245</v>
      </c>
      <c r="I317" s="493">
        <f t="shared" si="94"/>
        <v>44.543509272467901</v>
      </c>
      <c r="J317" s="493">
        <f t="shared" si="95"/>
        <v>69.543509272467901</v>
      </c>
      <c r="K317" s="692">
        <v>0.3</v>
      </c>
      <c r="L317" s="493">
        <f t="shared" si="93"/>
        <v>90.406562054208266</v>
      </c>
      <c r="M317" s="493">
        <v>110</v>
      </c>
      <c r="N317" s="504">
        <v>75</v>
      </c>
      <c r="O317" s="362"/>
      <c r="P317" s="395" t="s">
        <v>12</v>
      </c>
      <c r="Q317" s="833">
        <v>45355</v>
      </c>
      <c r="R317" s="396">
        <f>+N317*18000</f>
        <v>1350000</v>
      </c>
    </row>
    <row r="318" spans="1:20" s="395" customFormat="1" ht="15.75" outlineLevel="1" x14ac:dyDescent="0.25">
      <c r="A318" s="891" t="s">
        <v>688</v>
      </c>
      <c r="B318" s="395" t="s">
        <v>688</v>
      </c>
      <c r="C318" s="395">
        <v>107</v>
      </c>
      <c r="D318" s="395">
        <v>44</v>
      </c>
      <c r="E318" s="395" t="s">
        <v>700</v>
      </c>
      <c r="F318" s="167">
        <v>25</v>
      </c>
      <c r="G318" s="394">
        <v>3505</v>
      </c>
      <c r="H318" s="394">
        <v>6245</v>
      </c>
      <c r="I318" s="394">
        <f t="shared" si="94"/>
        <v>44.543509272467901</v>
      </c>
      <c r="J318" s="394">
        <f t="shared" si="95"/>
        <v>69.543509272467901</v>
      </c>
      <c r="K318" s="492">
        <v>0.3</v>
      </c>
      <c r="L318" s="394">
        <f t="shared" si="93"/>
        <v>90.406562054208266</v>
      </c>
      <c r="M318" s="394">
        <v>110</v>
      </c>
      <c r="N318" s="504"/>
      <c r="O318" s="362"/>
      <c r="Q318" s="833"/>
      <c r="R318" s="396"/>
    </row>
    <row r="319" spans="1:20" ht="15" customHeight="1" outlineLevel="1" x14ac:dyDescent="0.25">
      <c r="A319" s="395" t="s">
        <v>688</v>
      </c>
      <c r="B319" s="395" t="s">
        <v>688</v>
      </c>
      <c r="C319" s="395">
        <v>108</v>
      </c>
      <c r="D319" s="395">
        <v>42</v>
      </c>
      <c r="E319" s="395" t="s">
        <v>698</v>
      </c>
      <c r="F319" s="167">
        <v>25</v>
      </c>
      <c r="G319" s="394">
        <v>3505</v>
      </c>
      <c r="H319" s="394">
        <v>6245</v>
      </c>
      <c r="I319" s="394">
        <f t="shared" si="94"/>
        <v>44.543509272467901</v>
      </c>
      <c r="J319" s="394">
        <f t="shared" si="95"/>
        <v>69.543509272467901</v>
      </c>
      <c r="K319" s="492">
        <v>0.3</v>
      </c>
      <c r="L319" s="394">
        <f t="shared" si="93"/>
        <v>90.406562054208266</v>
      </c>
      <c r="M319" s="394">
        <v>110</v>
      </c>
      <c r="N319" s="504"/>
      <c r="O319" s="362"/>
      <c r="P319" s="395"/>
      <c r="Q319" s="833"/>
      <c r="R319" s="396"/>
      <c r="S319" s="395"/>
      <c r="T319" s="395"/>
    </row>
    <row r="320" spans="1:20" s="395" customFormat="1" ht="15.75" outlineLevel="1" x14ac:dyDescent="0.25">
      <c r="A320" s="395" t="s">
        <v>688</v>
      </c>
      <c r="B320" s="395" t="s">
        <v>688</v>
      </c>
      <c r="C320" s="395">
        <v>109</v>
      </c>
      <c r="D320" s="395">
        <v>46</v>
      </c>
      <c r="E320" s="395" t="s">
        <v>698</v>
      </c>
      <c r="F320" s="167">
        <v>25</v>
      </c>
      <c r="G320" s="394">
        <v>3505</v>
      </c>
      <c r="H320" s="394">
        <v>6245</v>
      </c>
      <c r="I320" s="394">
        <f t="shared" si="94"/>
        <v>44.543509272467901</v>
      </c>
      <c r="J320" s="394">
        <f t="shared" si="95"/>
        <v>69.543509272467901</v>
      </c>
      <c r="K320" s="492">
        <v>0.3</v>
      </c>
      <c r="L320" s="394">
        <f t="shared" si="93"/>
        <v>90.406562054208266</v>
      </c>
      <c r="M320" s="394">
        <v>110</v>
      </c>
      <c r="N320" s="504"/>
      <c r="O320" s="362"/>
      <c r="P320" s="495"/>
      <c r="Q320" s="833"/>
      <c r="R320" s="396"/>
    </row>
    <row r="321" spans="1:20" s="395" customFormat="1" ht="15.75" outlineLevel="1" x14ac:dyDescent="0.25">
      <c r="A321" s="395" t="s">
        <v>688</v>
      </c>
      <c r="B321" s="395" t="s">
        <v>688</v>
      </c>
      <c r="C321" s="395">
        <v>110</v>
      </c>
      <c r="D321" s="395">
        <v>48</v>
      </c>
      <c r="E321" s="395" t="s">
        <v>698</v>
      </c>
      <c r="F321" s="167">
        <v>25</v>
      </c>
      <c r="G321" s="394">
        <v>3505</v>
      </c>
      <c r="H321" s="394">
        <v>6245</v>
      </c>
      <c r="I321" s="394">
        <f t="shared" si="94"/>
        <v>44.543509272467901</v>
      </c>
      <c r="J321" s="394">
        <f t="shared" si="95"/>
        <v>69.543509272467901</v>
      </c>
      <c r="K321" s="492">
        <v>0.3</v>
      </c>
      <c r="L321" s="394">
        <f t="shared" si="93"/>
        <v>90.406562054208266</v>
      </c>
      <c r="M321" s="394">
        <v>110</v>
      </c>
      <c r="N321" s="504"/>
      <c r="O321" s="362"/>
      <c r="Q321" s="833"/>
      <c r="R321" s="396"/>
    </row>
    <row r="322" spans="1:20" s="395" customFormat="1" ht="15.75" outlineLevel="1" x14ac:dyDescent="0.25">
      <c r="A322" s="891" t="s">
        <v>688</v>
      </c>
      <c r="B322" s="395" t="s">
        <v>688</v>
      </c>
      <c r="C322" s="395">
        <v>111</v>
      </c>
      <c r="D322" s="395">
        <v>44</v>
      </c>
      <c r="E322" s="395" t="s">
        <v>691</v>
      </c>
      <c r="F322" s="167">
        <v>25</v>
      </c>
      <c r="G322" s="394">
        <v>3505</v>
      </c>
      <c r="H322" s="394">
        <v>6245</v>
      </c>
      <c r="I322" s="394">
        <f>+F322/G322*H322</f>
        <v>44.543509272467901</v>
      </c>
      <c r="J322" s="394">
        <f>+F322+I322</f>
        <v>69.543509272467901</v>
      </c>
      <c r="K322" s="492">
        <v>0.3</v>
      </c>
      <c r="L322" s="394">
        <f>+J322*K322+J322</f>
        <v>90.406562054208266</v>
      </c>
      <c r="M322" s="394">
        <v>110</v>
      </c>
      <c r="N322" s="504"/>
      <c r="O322" s="362"/>
      <c r="Q322" s="833"/>
      <c r="R322" s="396"/>
    </row>
    <row r="323" spans="1:20" s="395" customFormat="1" ht="15.75" outlineLevel="1" x14ac:dyDescent="0.25">
      <c r="B323" s="393" t="s">
        <v>808</v>
      </c>
      <c r="F323" s="394"/>
      <c r="G323" s="394"/>
      <c r="H323" s="394"/>
      <c r="I323" s="394"/>
      <c r="J323" s="394"/>
      <c r="K323" s="492"/>
      <c r="L323" s="394"/>
      <c r="M323" s="394"/>
      <c r="N323" s="504"/>
      <c r="Q323" s="833"/>
      <c r="R323" s="396"/>
    </row>
    <row r="324" spans="1:20" s="395" customFormat="1" ht="15.75" outlineLevel="1" x14ac:dyDescent="0.25">
      <c r="A324" s="393"/>
      <c r="B324" s="395" t="s">
        <v>809</v>
      </c>
      <c r="C324" s="395">
        <v>112</v>
      </c>
      <c r="D324" s="395">
        <v>44</v>
      </c>
      <c r="E324" s="395" t="s">
        <v>758</v>
      </c>
      <c r="F324" s="394">
        <v>37</v>
      </c>
      <c r="G324" s="179">
        <v>959</v>
      </c>
      <c r="H324" s="167">
        <v>1284</v>
      </c>
      <c r="I324" s="394">
        <f>+F324/G324*H324</f>
        <v>49.53910323253389</v>
      </c>
      <c r="J324" s="394">
        <f>+F324+I324</f>
        <v>86.53910323253389</v>
      </c>
      <c r="K324" s="492">
        <v>0.3</v>
      </c>
      <c r="L324" s="394">
        <f>+J324*K324+J324</f>
        <v>112.50083420229406</v>
      </c>
      <c r="M324" s="394">
        <v>125</v>
      </c>
      <c r="N324" s="504"/>
      <c r="O324" s="362"/>
      <c r="Q324" s="833"/>
      <c r="R324" s="396"/>
    </row>
    <row r="325" spans="1:20" s="395" customFormat="1" ht="15.75" hidden="1" outlineLevel="1" x14ac:dyDescent="0.25">
      <c r="A325" s="393"/>
      <c r="B325" s="395" t="s">
        <v>809</v>
      </c>
      <c r="C325" s="395">
        <v>113</v>
      </c>
      <c r="D325" s="395">
        <v>46</v>
      </c>
      <c r="E325" s="317" t="s">
        <v>758</v>
      </c>
      <c r="F325" s="493">
        <v>37</v>
      </c>
      <c r="G325" s="509">
        <v>959</v>
      </c>
      <c r="H325" s="545">
        <v>1284</v>
      </c>
      <c r="I325" s="493">
        <f>+F325/G325*H325</f>
        <v>49.53910323253389</v>
      </c>
      <c r="J325" s="493">
        <f>+F325+I325</f>
        <v>86.53910323253389</v>
      </c>
      <c r="K325" s="692">
        <v>0.3</v>
      </c>
      <c r="L325" s="493">
        <f>+J325*K325+J325</f>
        <v>112.50083420229406</v>
      </c>
      <c r="M325" s="493">
        <v>124</v>
      </c>
      <c r="N325" s="504"/>
      <c r="O325" s="362"/>
      <c r="P325" s="395" t="s">
        <v>12</v>
      </c>
      <c r="Q325" s="833">
        <v>45412</v>
      </c>
      <c r="R325" s="396">
        <f>+M325*36000</f>
        <v>4464000</v>
      </c>
    </row>
    <row r="326" spans="1:20" s="395" customFormat="1" ht="15.75" outlineLevel="1" x14ac:dyDescent="0.25">
      <c r="A326" s="393"/>
      <c r="B326" s="395" t="s">
        <v>809</v>
      </c>
      <c r="C326" s="395">
        <v>114</v>
      </c>
      <c r="D326" s="395">
        <v>48</v>
      </c>
      <c r="E326" s="395" t="s">
        <v>758</v>
      </c>
      <c r="F326" s="394">
        <v>37</v>
      </c>
      <c r="G326" s="179">
        <v>959</v>
      </c>
      <c r="H326" s="167">
        <v>1284</v>
      </c>
      <c r="I326" s="394">
        <f>+F326/G326*H326</f>
        <v>49.53910323253389</v>
      </c>
      <c r="J326" s="394">
        <f>+F326+I326</f>
        <v>86.53910323253389</v>
      </c>
      <c r="K326" s="492">
        <v>0.3</v>
      </c>
      <c r="L326" s="394">
        <f>+J326*K326+J326</f>
        <v>112.50083420229406</v>
      </c>
      <c r="M326" s="394">
        <v>125</v>
      </c>
      <c r="N326" s="504"/>
      <c r="O326" s="362"/>
      <c r="Q326" s="833"/>
      <c r="R326" s="396"/>
    </row>
    <row r="327" spans="1:20" s="395" customFormat="1" ht="15.75" outlineLevel="1" x14ac:dyDescent="0.25">
      <c r="A327" s="154"/>
      <c r="B327" s="393" t="s">
        <v>806</v>
      </c>
      <c r="C327" s="500"/>
      <c r="D327" s="500"/>
      <c r="F327" s="394"/>
      <c r="I327" s="394"/>
      <c r="J327" s="394"/>
      <c r="L327" s="394"/>
      <c r="M327" s="394"/>
      <c r="N327" s="504"/>
      <c r="Q327" s="833"/>
      <c r="R327" s="912"/>
      <c r="S327" s="149"/>
      <c r="T327" s="149"/>
    </row>
    <row r="328" spans="1:20" s="494" customFormat="1" ht="15.75" outlineLevel="1" x14ac:dyDescent="0.25">
      <c r="A328" s="393" t="s">
        <v>760</v>
      </c>
      <c r="B328" s="494" t="s">
        <v>760</v>
      </c>
      <c r="D328" s="494" t="s">
        <v>761</v>
      </c>
      <c r="E328" s="494" t="s">
        <v>797</v>
      </c>
      <c r="F328" s="504">
        <v>10</v>
      </c>
      <c r="G328" s="585">
        <v>8183</v>
      </c>
      <c r="H328" s="504">
        <v>13183</v>
      </c>
      <c r="I328" s="504">
        <f>+F328/G328*H328</f>
        <v>16.110228522546741</v>
      </c>
      <c r="J328" s="504">
        <f>+F328+I328</f>
        <v>26.110228522546741</v>
      </c>
      <c r="K328" s="586">
        <v>0.3</v>
      </c>
      <c r="L328" s="504">
        <f t="shared" ref="L328:L337" si="96">+J328*K328+J328</f>
        <v>33.943297079310767</v>
      </c>
      <c r="M328" s="504">
        <v>50</v>
      </c>
      <c r="N328" s="504"/>
      <c r="P328" s="494" t="s">
        <v>1842</v>
      </c>
      <c r="Q328" s="841"/>
      <c r="R328" s="918"/>
    </row>
    <row r="329" spans="1:20" s="395" customFormat="1" ht="15.75" outlineLevel="1" x14ac:dyDescent="0.25">
      <c r="A329" s="393"/>
      <c r="B329" s="395" t="s">
        <v>823</v>
      </c>
      <c r="C329" s="395">
        <v>115</v>
      </c>
      <c r="D329" s="395" t="s">
        <v>761</v>
      </c>
      <c r="E329" s="395" t="s">
        <v>797</v>
      </c>
      <c r="F329" s="394">
        <v>30</v>
      </c>
      <c r="G329" s="179"/>
      <c r="H329" s="394"/>
      <c r="I329" s="394"/>
      <c r="J329" s="394"/>
      <c r="K329" s="492"/>
      <c r="L329" s="394"/>
      <c r="M329" s="394">
        <v>50</v>
      </c>
      <c r="N329" s="504"/>
      <c r="O329" s="362"/>
      <c r="P329" s="395" t="s">
        <v>1523</v>
      </c>
      <c r="Q329" s="833"/>
      <c r="R329" s="396"/>
    </row>
    <row r="330" spans="1:20" s="395" customFormat="1" ht="15.75" hidden="1" outlineLevel="1" x14ac:dyDescent="0.25">
      <c r="A330" s="393" t="s">
        <v>760</v>
      </c>
      <c r="B330" s="395" t="s">
        <v>760</v>
      </c>
      <c r="C330" s="395">
        <v>116</v>
      </c>
      <c r="D330" s="395" t="s">
        <v>761</v>
      </c>
      <c r="E330" s="317" t="s">
        <v>796</v>
      </c>
      <c r="F330" s="493">
        <v>10</v>
      </c>
      <c r="G330" s="509">
        <v>8183</v>
      </c>
      <c r="H330" s="493">
        <v>13183</v>
      </c>
      <c r="I330" s="493">
        <f>+F330/G330*H330</f>
        <v>16.110228522546741</v>
      </c>
      <c r="J330" s="493">
        <f>+F330+I330</f>
        <v>26.110228522546741</v>
      </c>
      <c r="K330" s="692">
        <v>0.3</v>
      </c>
      <c r="L330" s="493">
        <f t="shared" si="96"/>
        <v>33.943297079310767</v>
      </c>
      <c r="M330" s="493">
        <v>50</v>
      </c>
      <c r="N330" s="504">
        <v>35</v>
      </c>
      <c r="O330" s="362"/>
      <c r="P330" s="395" t="s">
        <v>2306</v>
      </c>
      <c r="Q330" s="833">
        <v>45384</v>
      </c>
      <c r="R330" s="396">
        <f>+N330*35000</f>
        <v>1225000</v>
      </c>
    </row>
    <row r="331" spans="1:20" s="395" customFormat="1" ht="15.75" hidden="1" outlineLevel="1" x14ac:dyDescent="0.25">
      <c r="A331" s="393" t="s">
        <v>760</v>
      </c>
      <c r="B331" s="395" t="s">
        <v>760</v>
      </c>
      <c r="C331" s="395">
        <v>117</v>
      </c>
      <c r="D331" s="395" t="s">
        <v>761</v>
      </c>
      <c r="E331" s="317" t="s">
        <v>796</v>
      </c>
      <c r="F331" s="493">
        <v>10</v>
      </c>
      <c r="G331" s="509">
        <v>8183</v>
      </c>
      <c r="H331" s="493">
        <v>13183</v>
      </c>
      <c r="I331" s="493">
        <f>+F331/G331*H331</f>
        <v>16.110228522546741</v>
      </c>
      <c r="J331" s="493">
        <f>+F331+I331</f>
        <v>26.110228522546741</v>
      </c>
      <c r="K331" s="692">
        <v>0.3</v>
      </c>
      <c r="L331" s="493">
        <f t="shared" si="96"/>
        <v>33.943297079310767</v>
      </c>
      <c r="M331" s="493">
        <v>50</v>
      </c>
      <c r="N331" s="504">
        <v>35</v>
      </c>
      <c r="O331" s="362"/>
      <c r="P331" s="395" t="s">
        <v>2306</v>
      </c>
      <c r="Q331" s="833">
        <v>45428</v>
      </c>
      <c r="R331" s="396">
        <f>+N331*14.5</f>
        <v>507.5</v>
      </c>
    </row>
    <row r="332" spans="1:20" s="395" customFormat="1" ht="15.75" outlineLevel="1" x14ac:dyDescent="0.25">
      <c r="A332" s="393" t="s">
        <v>760</v>
      </c>
      <c r="B332" s="395" t="s">
        <v>760</v>
      </c>
      <c r="C332" s="395">
        <v>118</v>
      </c>
      <c r="D332" s="395" t="s">
        <v>761</v>
      </c>
      <c r="E332" s="395" t="s">
        <v>796</v>
      </c>
      <c r="F332" s="394">
        <v>10</v>
      </c>
      <c r="G332" s="179">
        <v>8183</v>
      </c>
      <c r="H332" s="394">
        <v>13183</v>
      </c>
      <c r="I332" s="394">
        <f>+F332/G332*H332</f>
        <v>16.110228522546741</v>
      </c>
      <c r="J332" s="394">
        <f>+F332+I332</f>
        <v>26.110228522546741</v>
      </c>
      <c r="K332" s="492">
        <v>0.3</v>
      </c>
      <c r="L332" s="394">
        <f t="shared" si="96"/>
        <v>33.943297079310767</v>
      </c>
      <c r="M332" s="394">
        <v>50</v>
      </c>
      <c r="N332" s="504"/>
      <c r="O332" s="362"/>
      <c r="Q332" s="833"/>
      <c r="R332" s="396"/>
    </row>
    <row r="333" spans="1:20" s="494" customFormat="1" ht="15.75" outlineLevel="1" x14ac:dyDescent="0.25">
      <c r="A333" s="393" t="s">
        <v>760</v>
      </c>
      <c r="B333" s="494" t="s">
        <v>760</v>
      </c>
      <c r="D333" s="494" t="s">
        <v>761</v>
      </c>
      <c r="E333" s="494" t="s">
        <v>796</v>
      </c>
      <c r="F333" s="504">
        <v>10</v>
      </c>
      <c r="G333" s="585">
        <v>8183</v>
      </c>
      <c r="H333" s="504">
        <v>13183</v>
      </c>
      <c r="I333" s="504">
        <f>+F333/G333*H333</f>
        <v>16.110228522546741</v>
      </c>
      <c r="J333" s="504">
        <f>+F333+I333</f>
        <v>26.110228522546741</v>
      </c>
      <c r="K333" s="586">
        <v>0.3</v>
      </c>
      <c r="L333" s="504">
        <f t="shared" si="96"/>
        <v>33.943297079310767</v>
      </c>
      <c r="M333" s="504">
        <v>50</v>
      </c>
      <c r="N333" s="504"/>
      <c r="P333" s="494" t="s">
        <v>1843</v>
      </c>
      <c r="Q333" s="841"/>
      <c r="R333" s="918"/>
    </row>
    <row r="334" spans="1:20" s="395" customFormat="1" ht="15.75" hidden="1" outlineLevel="1" x14ac:dyDescent="0.25">
      <c r="A334" s="393"/>
      <c r="B334" s="395" t="s">
        <v>823</v>
      </c>
      <c r="C334" s="395">
        <v>119</v>
      </c>
      <c r="D334" s="395" t="s">
        <v>761</v>
      </c>
      <c r="E334" s="317" t="s">
        <v>795</v>
      </c>
      <c r="F334" s="493">
        <v>30</v>
      </c>
      <c r="G334" s="509"/>
      <c r="H334" s="493"/>
      <c r="I334" s="493"/>
      <c r="J334" s="493"/>
      <c r="K334" s="692"/>
      <c r="L334" s="493"/>
      <c r="M334" s="493">
        <v>50</v>
      </c>
      <c r="N334" s="504">
        <v>45</v>
      </c>
      <c r="O334" s="362"/>
      <c r="P334" s="395" t="s">
        <v>1822</v>
      </c>
      <c r="Q334" s="833">
        <v>45456</v>
      </c>
      <c r="R334" s="396">
        <f>+N334*14.5</f>
        <v>652.5</v>
      </c>
    </row>
    <row r="335" spans="1:20" s="395" customFormat="1" ht="15.75" outlineLevel="1" x14ac:dyDescent="0.25">
      <c r="A335" s="393" t="s">
        <v>259</v>
      </c>
      <c r="B335" s="395" t="s">
        <v>785</v>
      </c>
      <c r="C335" s="395">
        <v>120</v>
      </c>
      <c r="D335" s="395">
        <v>42</v>
      </c>
      <c r="E335" s="395" t="s">
        <v>784</v>
      </c>
      <c r="F335" s="394">
        <v>31</v>
      </c>
      <c r="G335" s="179">
        <v>8183</v>
      </c>
      <c r="H335" s="394">
        <v>13183</v>
      </c>
      <c r="I335" s="394">
        <f t="shared" ref="I335:I338" si="97">+F335/G335*H335</f>
        <v>49.941708419894901</v>
      </c>
      <c r="J335" s="394">
        <f t="shared" ref="J335:J338" si="98">+F335+I335</f>
        <v>80.941708419894894</v>
      </c>
      <c r="K335" s="492">
        <v>0.3</v>
      </c>
      <c r="L335" s="394">
        <f t="shared" si="96"/>
        <v>105.22422094586337</v>
      </c>
      <c r="M335" s="394">
        <v>125</v>
      </c>
      <c r="N335" s="504"/>
      <c r="O335" s="362"/>
      <c r="Q335" s="833"/>
      <c r="R335" s="396"/>
    </row>
    <row r="336" spans="1:20" s="395" customFormat="1" ht="15.75" hidden="1" outlineLevel="1" x14ac:dyDescent="0.25">
      <c r="A336" s="393" t="s">
        <v>259</v>
      </c>
      <c r="B336" s="395" t="s">
        <v>785</v>
      </c>
      <c r="C336" s="395">
        <v>121</v>
      </c>
      <c r="D336" s="395">
        <v>48</v>
      </c>
      <c r="E336" s="317" t="s">
        <v>784</v>
      </c>
      <c r="F336" s="493">
        <v>31</v>
      </c>
      <c r="G336" s="509">
        <v>8183</v>
      </c>
      <c r="H336" s="493">
        <v>13183</v>
      </c>
      <c r="I336" s="493">
        <f t="shared" si="97"/>
        <v>49.941708419894901</v>
      </c>
      <c r="J336" s="493">
        <f t="shared" si="98"/>
        <v>80.941708419894894</v>
      </c>
      <c r="K336" s="692">
        <v>0.3</v>
      </c>
      <c r="L336" s="493">
        <f t="shared" si="96"/>
        <v>105.22422094586337</v>
      </c>
      <c r="M336" s="493">
        <v>125</v>
      </c>
      <c r="N336" s="504">
        <v>65</v>
      </c>
      <c r="O336" s="362"/>
      <c r="P336" s="395" t="s">
        <v>2814</v>
      </c>
      <c r="Q336" s="833">
        <v>45456</v>
      </c>
      <c r="R336" s="396">
        <f>+N336*14.5</f>
        <v>942.5</v>
      </c>
    </row>
    <row r="337" spans="1:18" s="395" customFormat="1" ht="15.75" outlineLevel="1" x14ac:dyDescent="0.25">
      <c r="A337" s="890" t="s">
        <v>259</v>
      </c>
      <c r="B337" s="395" t="s">
        <v>204</v>
      </c>
      <c r="C337" s="395">
        <v>122</v>
      </c>
      <c r="D337" s="395">
        <v>56</v>
      </c>
      <c r="E337" s="395" t="s">
        <v>762</v>
      </c>
      <c r="F337" s="394">
        <v>34</v>
      </c>
      <c r="G337" s="179">
        <v>8183</v>
      </c>
      <c r="H337" s="394">
        <v>13183</v>
      </c>
      <c r="I337" s="394">
        <f t="shared" si="97"/>
        <v>54.774776976658927</v>
      </c>
      <c r="J337" s="394">
        <f t="shared" si="98"/>
        <v>88.774776976658927</v>
      </c>
      <c r="K337" s="492">
        <v>0.3</v>
      </c>
      <c r="L337" s="394">
        <f t="shared" si="96"/>
        <v>115.4072100696566</v>
      </c>
      <c r="M337" s="394">
        <v>150</v>
      </c>
      <c r="N337" s="504"/>
      <c r="O337" s="362"/>
      <c r="Q337" s="833"/>
      <c r="R337" s="396"/>
    </row>
    <row r="338" spans="1:18" s="395" customFormat="1" ht="15.75" hidden="1" outlineLevel="1" x14ac:dyDescent="0.25">
      <c r="A338" s="393" t="s">
        <v>259</v>
      </c>
      <c r="B338" s="395" t="s">
        <v>204</v>
      </c>
      <c r="C338" s="395">
        <v>123</v>
      </c>
      <c r="D338" s="395">
        <v>62</v>
      </c>
      <c r="E338" s="317" t="s">
        <v>762</v>
      </c>
      <c r="F338" s="493">
        <v>37.5</v>
      </c>
      <c r="G338" s="509">
        <v>8183</v>
      </c>
      <c r="H338" s="493">
        <v>13183</v>
      </c>
      <c r="I338" s="493">
        <f t="shared" si="97"/>
        <v>60.413356959550285</v>
      </c>
      <c r="J338" s="493">
        <f t="shared" si="98"/>
        <v>97.913356959550285</v>
      </c>
      <c r="K338" s="692">
        <v>0.3</v>
      </c>
      <c r="L338" s="493">
        <f>+J338*K338+J338</f>
        <v>127.28736404741537</v>
      </c>
      <c r="M338" s="493">
        <v>130</v>
      </c>
      <c r="N338" s="504"/>
      <c r="O338" s="362"/>
      <c r="P338" s="395" t="s">
        <v>12</v>
      </c>
      <c r="Q338" s="833">
        <v>45378</v>
      </c>
      <c r="R338" s="396">
        <f>+M338*30000</f>
        <v>3900000</v>
      </c>
    </row>
    <row r="339" spans="1:18" s="395" customFormat="1" ht="15.75" outlineLevel="2" x14ac:dyDescent="0.25">
      <c r="A339" s="393"/>
      <c r="B339" s="393" t="s">
        <v>836</v>
      </c>
      <c r="F339" s="394"/>
      <c r="G339" s="179"/>
      <c r="H339" s="394"/>
      <c r="I339" s="394"/>
      <c r="J339" s="394"/>
      <c r="K339" s="492"/>
      <c r="L339" s="394"/>
      <c r="M339" s="394"/>
      <c r="N339" s="504"/>
      <c r="Q339" s="833"/>
      <c r="R339" s="396"/>
    </row>
    <row r="340" spans="1:18" s="395" customFormat="1" ht="15.75" outlineLevel="2" x14ac:dyDescent="0.25">
      <c r="A340" s="393"/>
      <c r="B340" s="395" t="s">
        <v>760</v>
      </c>
      <c r="C340" s="395">
        <v>124</v>
      </c>
      <c r="E340" s="395" t="s">
        <v>788</v>
      </c>
      <c r="F340" s="394">
        <v>15</v>
      </c>
      <c r="G340" s="179">
        <v>8183</v>
      </c>
      <c r="H340" s="394">
        <v>13183</v>
      </c>
      <c r="I340" s="394">
        <f>+F340/G340*H340</f>
        <v>24.165342783820115</v>
      </c>
      <c r="J340" s="394">
        <f>+F340+I340</f>
        <v>39.165342783820115</v>
      </c>
      <c r="K340" s="492">
        <v>0.3</v>
      </c>
      <c r="L340" s="394">
        <f>+J340*K340+J340</f>
        <v>50.914945618966151</v>
      </c>
      <c r="M340" s="394">
        <v>65</v>
      </c>
      <c r="N340" s="504"/>
      <c r="O340" s="362"/>
      <c r="Q340" s="833"/>
      <c r="R340" s="396"/>
    </row>
    <row r="341" spans="1:18" s="395" customFormat="1" ht="15.75" outlineLevel="2" x14ac:dyDescent="0.25">
      <c r="A341" s="393"/>
      <c r="B341" s="395" t="s">
        <v>760</v>
      </c>
      <c r="C341" s="395">
        <v>125</v>
      </c>
      <c r="E341" s="395" t="s">
        <v>794</v>
      </c>
      <c r="F341" s="394">
        <v>15</v>
      </c>
      <c r="G341" s="179">
        <v>8183</v>
      </c>
      <c r="H341" s="394">
        <v>13183</v>
      </c>
      <c r="I341" s="394">
        <f>+F341/G341*H341</f>
        <v>24.165342783820115</v>
      </c>
      <c r="J341" s="394">
        <f>+F341+I341</f>
        <v>39.165342783820115</v>
      </c>
      <c r="K341" s="492">
        <v>0.3</v>
      </c>
      <c r="L341" s="394">
        <f>+J341*K341+J341</f>
        <v>50.914945618966151</v>
      </c>
      <c r="M341" s="394">
        <v>65</v>
      </c>
      <c r="N341" s="504"/>
      <c r="O341" s="362"/>
      <c r="Q341" s="833"/>
      <c r="R341" s="396"/>
    </row>
    <row r="342" spans="1:18" s="395" customFormat="1" ht="15.75" outlineLevel="2" x14ac:dyDescent="0.25">
      <c r="A342" s="393"/>
      <c r="B342" s="393" t="s">
        <v>66</v>
      </c>
      <c r="D342" s="393"/>
      <c r="E342" s="393" t="s">
        <v>852</v>
      </c>
      <c r="F342" s="394"/>
      <c r="G342" s="179"/>
      <c r="H342" s="394"/>
      <c r="I342" s="394"/>
      <c r="J342" s="394"/>
      <c r="K342" s="492"/>
      <c r="L342" s="394"/>
      <c r="M342" s="394"/>
      <c r="N342" s="504"/>
      <c r="Q342" s="833"/>
      <c r="R342" s="396"/>
    </row>
    <row r="343" spans="1:18" s="395" customFormat="1" ht="15.75" outlineLevel="2" x14ac:dyDescent="0.25">
      <c r="A343" s="393"/>
      <c r="B343" s="393" t="s">
        <v>847</v>
      </c>
      <c r="C343" s="395">
        <v>126</v>
      </c>
      <c r="D343" s="393" t="s">
        <v>506</v>
      </c>
      <c r="E343" s="395" t="s">
        <v>851</v>
      </c>
      <c r="F343" s="394">
        <v>25</v>
      </c>
      <c r="G343" s="179">
        <v>250</v>
      </c>
      <c r="H343" s="394">
        <v>172</v>
      </c>
      <c r="I343" s="498">
        <f t="shared" ref="I343:I347" si="99">+F343/G343*H343</f>
        <v>17.2</v>
      </c>
      <c r="J343" s="394">
        <f t="shared" ref="J343:J347" si="100">+F343+I343</f>
        <v>42.2</v>
      </c>
      <c r="K343" s="492">
        <v>0.3</v>
      </c>
      <c r="L343" s="394">
        <f>+J343*1.3</f>
        <v>54.860000000000007</v>
      </c>
      <c r="M343" s="394">
        <v>80</v>
      </c>
      <c r="N343" s="504"/>
      <c r="O343" s="362"/>
      <c r="Q343" s="833"/>
      <c r="R343" s="396"/>
    </row>
    <row r="344" spans="1:18" s="395" customFormat="1" ht="15.75" outlineLevel="2" x14ac:dyDescent="0.25">
      <c r="A344" s="393"/>
      <c r="B344" s="393"/>
      <c r="C344" s="395">
        <v>127</v>
      </c>
      <c r="D344" s="393" t="s">
        <v>830</v>
      </c>
      <c r="E344" s="395" t="s">
        <v>851</v>
      </c>
      <c r="F344" s="394">
        <v>25</v>
      </c>
      <c r="G344" s="179">
        <v>250</v>
      </c>
      <c r="H344" s="394">
        <v>172</v>
      </c>
      <c r="I344" s="498">
        <f t="shared" si="99"/>
        <v>17.2</v>
      </c>
      <c r="J344" s="394">
        <f t="shared" si="100"/>
        <v>42.2</v>
      </c>
      <c r="K344" s="492">
        <v>0.3</v>
      </c>
      <c r="L344" s="394">
        <f t="shared" ref="L344:L347" si="101">+J344*1.3</f>
        <v>54.860000000000007</v>
      </c>
      <c r="M344" s="394">
        <v>80</v>
      </c>
      <c r="N344" s="504"/>
      <c r="O344" s="362"/>
      <c r="Q344" s="833"/>
      <c r="R344" s="396"/>
    </row>
    <row r="345" spans="1:18" s="395" customFormat="1" ht="15.75" outlineLevel="2" x14ac:dyDescent="0.25">
      <c r="A345" s="393"/>
      <c r="B345" s="393"/>
      <c r="C345" s="395">
        <v>128</v>
      </c>
      <c r="D345" s="393" t="s">
        <v>495</v>
      </c>
      <c r="E345" s="395" t="s">
        <v>851</v>
      </c>
      <c r="F345" s="394">
        <v>25</v>
      </c>
      <c r="G345" s="179">
        <v>250</v>
      </c>
      <c r="H345" s="394">
        <v>172</v>
      </c>
      <c r="I345" s="498">
        <f t="shared" si="99"/>
        <v>17.2</v>
      </c>
      <c r="J345" s="394">
        <f t="shared" si="100"/>
        <v>42.2</v>
      </c>
      <c r="K345" s="492">
        <v>0.3</v>
      </c>
      <c r="L345" s="394">
        <f t="shared" si="101"/>
        <v>54.860000000000007</v>
      </c>
      <c r="M345" s="394">
        <v>80</v>
      </c>
      <c r="N345" s="504"/>
      <c r="O345" s="362"/>
      <c r="Q345" s="833"/>
      <c r="R345" s="396"/>
    </row>
    <row r="346" spans="1:18" s="395" customFormat="1" ht="15.75" outlineLevel="2" x14ac:dyDescent="0.25">
      <c r="A346" s="393"/>
      <c r="B346" s="393"/>
      <c r="C346" s="395">
        <v>129</v>
      </c>
      <c r="D346" s="393" t="s">
        <v>848</v>
      </c>
      <c r="E346" s="395" t="s">
        <v>851</v>
      </c>
      <c r="F346" s="394">
        <v>25</v>
      </c>
      <c r="G346" s="179">
        <v>250</v>
      </c>
      <c r="H346" s="394">
        <v>172</v>
      </c>
      <c r="I346" s="498">
        <f t="shared" si="99"/>
        <v>17.2</v>
      </c>
      <c r="J346" s="394">
        <f t="shared" si="100"/>
        <v>42.2</v>
      </c>
      <c r="K346" s="492">
        <v>0.3</v>
      </c>
      <c r="L346" s="394">
        <f t="shared" si="101"/>
        <v>54.860000000000007</v>
      </c>
      <c r="M346" s="394">
        <v>80</v>
      </c>
      <c r="N346" s="504"/>
      <c r="O346" s="362"/>
      <c r="Q346" s="833"/>
      <c r="R346" s="396"/>
    </row>
    <row r="347" spans="1:18" s="395" customFormat="1" ht="15.75" hidden="1" outlineLevel="2" x14ac:dyDescent="0.25">
      <c r="A347" s="393"/>
      <c r="B347" s="393"/>
      <c r="C347" s="395">
        <v>130</v>
      </c>
      <c r="D347" s="393" t="s">
        <v>849</v>
      </c>
      <c r="E347" s="317" t="s">
        <v>851</v>
      </c>
      <c r="F347" s="493">
        <v>25</v>
      </c>
      <c r="G347" s="509">
        <v>250</v>
      </c>
      <c r="H347" s="493">
        <v>172</v>
      </c>
      <c r="I347" s="909">
        <f t="shared" si="99"/>
        <v>17.2</v>
      </c>
      <c r="J347" s="493">
        <f t="shared" si="100"/>
        <v>42.2</v>
      </c>
      <c r="K347" s="692">
        <v>0.3</v>
      </c>
      <c r="L347" s="493">
        <f t="shared" si="101"/>
        <v>54.860000000000007</v>
      </c>
      <c r="M347" s="493">
        <v>80</v>
      </c>
      <c r="N347" s="504">
        <v>65</v>
      </c>
      <c r="O347" s="362"/>
      <c r="P347" s="395" t="s">
        <v>12</v>
      </c>
      <c r="Q347" s="833">
        <v>45434</v>
      </c>
      <c r="R347" s="396">
        <f>+N347*14.5</f>
        <v>942.5</v>
      </c>
    </row>
    <row r="348" spans="1:18" s="395" customFormat="1" ht="15.75" x14ac:dyDescent="0.25">
      <c r="A348" s="393"/>
      <c r="B348" s="393" t="s">
        <v>861</v>
      </c>
      <c r="F348" s="394"/>
      <c r="G348" s="179"/>
      <c r="H348" s="394"/>
      <c r="I348" s="394"/>
      <c r="J348" s="394"/>
      <c r="K348" s="492"/>
      <c r="L348" s="394"/>
      <c r="M348" s="394"/>
      <c r="N348" s="504"/>
      <c r="Q348" s="833"/>
      <c r="R348" s="396"/>
    </row>
    <row r="349" spans="1:18" s="395" customFormat="1" ht="15.75" x14ac:dyDescent="0.25">
      <c r="B349" s="393" t="s">
        <v>866</v>
      </c>
      <c r="C349" s="395">
        <v>131</v>
      </c>
      <c r="D349" s="395">
        <v>44</v>
      </c>
      <c r="E349" s="393" t="s">
        <v>862</v>
      </c>
      <c r="F349" s="394">
        <v>15</v>
      </c>
      <c r="G349" s="179">
        <v>952</v>
      </c>
      <c r="H349" s="394">
        <v>440</v>
      </c>
      <c r="I349" s="394">
        <f t="shared" ref="I349:I353" si="102">+F349/G349*H349</f>
        <v>6.9327731092436977</v>
      </c>
      <c r="J349" s="394"/>
      <c r="K349" s="491"/>
      <c r="L349" s="394"/>
      <c r="M349" s="394">
        <v>90</v>
      </c>
      <c r="N349" s="504"/>
      <c r="O349" s="362"/>
      <c r="Q349" s="833"/>
      <c r="R349" s="396"/>
    </row>
    <row r="350" spans="1:18" s="395" customFormat="1" ht="15.75" x14ac:dyDescent="0.25">
      <c r="B350" s="393" t="s">
        <v>866</v>
      </c>
      <c r="C350" s="395">
        <v>132</v>
      </c>
      <c r="D350" s="395">
        <v>46</v>
      </c>
      <c r="E350" s="393" t="s">
        <v>862</v>
      </c>
      <c r="F350" s="394">
        <v>15</v>
      </c>
      <c r="G350" s="179">
        <v>952</v>
      </c>
      <c r="H350" s="394">
        <v>440</v>
      </c>
      <c r="I350" s="394">
        <f t="shared" si="102"/>
        <v>6.9327731092436977</v>
      </c>
      <c r="J350" s="394"/>
      <c r="K350" s="491"/>
      <c r="L350" s="394"/>
      <c r="M350" s="394">
        <v>90</v>
      </c>
      <c r="N350" s="504"/>
      <c r="O350" s="362"/>
      <c r="Q350" s="833"/>
      <c r="R350" s="396"/>
    </row>
    <row r="351" spans="1:18" s="395" customFormat="1" ht="15.75" x14ac:dyDescent="0.25">
      <c r="B351" s="393" t="s">
        <v>866</v>
      </c>
      <c r="C351" s="395">
        <v>133</v>
      </c>
      <c r="D351" s="395">
        <v>50</v>
      </c>
      <c r="E351" s="393" t="s">
        <v>862</v>
      </c>
      <c r="F351" s="394">
        <v>15</v>
      </c>
      <c r="G351" s="179">
        <v>952</v>
      </c>
      <c r="H351" s="394">
        <v>440</v>
      </c>
      <c r="I351" s="394">
        <f t="shared" si="102"/>
        <v>6.9327731092436977</v>
      </c>
      <c r="J351" s="394"/>
      <c r="K351" s="491"/>
      <c r="L351" s="394"/>
      <c r="M351" s="394">
        <v>90</v>
      </c>
      <c r="N351" s="504"/>
      <c r="O351" s="362"/>
      <c r="Q351" s="833"/>
      <c r="R351" s="396"/>
    </row>
    <row r="352" spans="1:18" s="395" customFormat="1" ht="15.75" x14ac:dyDescent="0.25">
      <c r="B352" s="395" t="s">
        <v>633</v>
      </c>
      <c r="C352" s="395">
        <v>134</v>
      </c>
      <c r="D352" s="395">
        <v>44</v>
      </c>
      <c r="E352" s="393" t="s">
        <v>868</v>
      </c>
      <c r="F352" s="394">
        <v>29</v>
      </c>
      <c r="G352" s="179">
        <v>952</v>
      </c>
      <c r="H352" s="394">
        <v>440</v>
      </c>
      <c r="I352" s="394">
        <f t="shared" si="102"/>
        <v>13.403361344537815</v>
      </c>
      <c r="J352" s="394"/>
      <c r="K352" s="491"/>
      <c r="L352" s="394"/>
      <c r="M352" s="394">
        <v>110</v>
      </c>
      <c r="N352" s="504"/>
      <c r="O352" s="362"/>
      <c r="Q352" s="833"/>
      <c r="R352" s="396"/>
    </row>
    <row r="353" spans="1:18" s="395" customFormat="1" ht="15.75" x14ac:dyDescent="0.25">
      <c r="B353" s="395" t="s">
        <v>633</v>
      </c>
      <c r="C353" s="395">
        <v>135</v>
      </c>
      <c r="D353" s="395">
        <v>46</v>
      </c>
      <c r="E353" s="393" t="s">
        <v>868</v>
      </c>
      <c r="F353" s="394">
        <v>29</v>
      </c>
      <c r="G353" s="179">
        <v>952</v>
      </c>
      <c r="H353" s="394">
        <v>440</v>
      </c>
      <c r="I353" s="394">
        <f t="shared" si="102"/>
        <v>13.403361344537815</v>
      </c>
      <c r="J353" s="394"/>
      <c r="K353" s="491"/>
      <c r="L353" s="394"/>
      <c r="M353" s="394">
        <v>110</v>
      </c>
      <c r="N353" s="504"/>
      <c r="O353" s="362"/>
      <c r="Q353" s="833"/>
      <c r="R353" s="396"/>
    </row>
    <row r="354" spans="1:18" s="395" customFormat="1" ht="15.75" x14ac:dyDescent="0.25">
      <c r="A354" s="393"/>
      <c r="E354" s="393" t="s">
        <v>958</v>
      </c>
      <c r="F354" s="394"/>
      <c r="H354" s="394"/>
      <c r="I354" s="394"/>
      <c r="J354" s="394"/>
      <c r="K354" s="492"/>
      <c r="L354" s="394"/>
      <c r="M354" s="394"/>
      <c r="N354" s="504"/>
      <c r="Q354" s="833"/>
      <c r="R354" s="396"/>
    </row>
    <row r="355" spans="1:18" s="395" customFormat="1" ht="15.75" x14ac:dyDescent="0.25">
      <c r="A355" s="890" t="s">
        <v>884</v>
      </c>
      <c r="B355" s="393" t="s">
        <v>884</v>
      </c>
      <c r="C355" s="395">
        <v>136</v>
      </c>
      <c r="D355" s="395">
        <v>44</v>
      </c>
      <c r="E355" s="395" t="s">
        <v>885</v>
      </c>
      <c r="F355" s="394">
        <v>19</v>
      </c>
      <c r="G355" s="179">
        <v>6911</v>
      </c>
      <c r="H355" s="394">
        <v>4716</v>
      </c>
      <c r="I355" s="394">
        <f t="shared" ref="I355:I363" si="103">+F355/G355*H355</f>
        <v>12.965417450441326</v>
      </c>
      <c r="J355" s="394">
        <f t="shared" ref="J355:J363" si="104">+F355+I355</f>
        <v>31.965417450441326</v>
      </c>
      <c r="K355" s="492">
        <v>0.3</v>
      </c>
      <c r="L355" s="394">
        <f t="shared" ref="L355:L363" si="105">+J355*K355+J355</f>
        <v>41.555042685573724</v>
      </c>
      <c r="M355" s="394">
        <v>90</v>
      </c>
      <c r="N355" s="504"/>
      <c r="O355" s="362"/>
      <c r="Q355" s="833"/>
      <c r="R355" s="396"/>
    </row>
    <row r="356" spans="1:18" s="395" customFormat="1" ht="15.75" x14ac:dyDescent="0.25">
      <c r="A356" s="890" t="s">
        <v>364</v>
      </c>
      <c r="B356" s="395" t="s">
        <v>927</v>
      </c>
      <c r="C356" s="395">
        <v>137</v>
      </c>
      <c r="D356" s="395">
        <v>40</v>
      </c>
      <c r="E356" s="395" t="s">
        <v>886</v>
      </c>
      <c r="F356" s="394">
        <v>16</v>
      </c>
      <c r="G356" s="179">
        <v>6911</v>
      </c>
      <c r="H356" s="394">
        <v>4716</v>
      </c>
      <c r="I356" s="394">
        <f t="shared" si="103"/>
        <v>10.918246274055853</v>
      </c>
      <c r="J356" s="394">
        <f t="shared" si="104"/>
        <v>26.918246274055853</v>
      </c>
      <c r="K356" s="492">
        <v>0.3</v>
      </c>
      <c r="L356" s="394">
        <f t="shared" si="105"/>
        <v>34.993720156272609</v>
      </c>
      <c r="M356" s="394">
        <v>90</v>
      </c>
      <c r="N356" s="504"/>
      <c r="O356" s="362"/>
      <c r="P356" s="462" t="s">
        <v>820</v>
      </c>
      <c r="Q356" s="833"/>
      <c r="R356" s="396"/>
    </row>
    <row r="357" spans="1:18" s="395" customFormat="1" ht="15.75" hidden="1" x14ac:dyDescent="0.25">
      <c r="A357" s="393" t="s">
        <v>364</v>
      </c>
      <c r="B357" s="395" t="s">
        <v>331</v>
      </c>
      <c r="C357" s="395">
        <v>138</v>
      </c>
      <c r="D357" s="395">
        <v>46</v>
      </c>
      <c r="E357" s="317" t="s">
        <v>887</v>
      </c>
      <c r="F357" s="493">
        <v>19</v>
      </c>
      <c r="G357" s="509">
        <v>6911</v>
      </c>
      <c r="H357" s="493">
        <v>4716</v>
      </c>
      <c r="I357" s="493">
        <f t="shared" si="103"/>
        <v>12.965417450441326</v>
      </c>
      <c r="J357" s="493">
        <f t="shared" si="104"/>
        <v>31.965417450441326</v>
      </c>
      <c r="K357" s="692">
        <v>0.3</v>
      </c>
      <c r="L357" s="493">
        <f t="shared" si="105"/>
        <v>41.555042685573724</v>
      </c>
      <c r="M357" s="493">
        <v>90</v>
      </c>
      <c r="N357" s="504">
        <v>70</v>
      </c>
      <c r="O357" s="362"/>
      <c r="P357" s="462" t="s">
        <v>2386</v>
      </c>
      <c r="Q357" s="833">
        <v>45391</v>
      </c>
      <c r="R357" s="396">
        <f>+N357*36000</f>
        <v>2520000</v>
      </c>
    </row>
    <row r="358" spans="1:18" s="395" customFormat="1" ht="15.75" x14ac:dyDescent="0.25">
      <c r="A358" s="890" t="s">
        <v>888</v>
      </c>
      <c r="B358" s="395" t="s">
        <v>931</v>
      </c>
      <c r="C358" s="395">
        <v>139</v>
      </c>
      <c r="D358" s="395">
        <v>52</v>
      </c>
      <c r="E358" s="395" t="s">
        <v>889</v>
      </c>
      <c r="F358" s="394">
        <v>35</v>
      </c>
      <c r="G358" s="179">
        <v>6911</v>
      </c>
      <c r="H358" s="394">
        <v>4716</v>
      </c>
      <c r="I358" s="394">
        <f t="shared" si="103"/>
        <v>23.883663724497179</v>
      </c>
      <c r="J358" s="394">
        <f t="shared" si="104"/>
        <v>58.883663724497183</v>
      </c>
      <c r="K358" s="492">
        <v>0.3</v>
      </c>
      <c r="L358" s="394">
        <f t="shared" si="105"/>
        <v>76.54876284184634</v>
      </c>
      <c r="M358" s="394">
        <v>125</v>
      </c>
      <c r="N358" s="504"/>
      <c r="O358" s="362"/>
      <c r="Q358" s="833"/>
      <c r="R358" s="396"/>
    </row>
    <row r="359" spans="1:18" s="395" customFormat="1" ht="15.75" x14ac:dyDescent="0.25">
      <c r="A359" s="393" t="s">
        <v>279</v>
      </c>
      <c r="B359" s="395" t="s">
        <v>279</v>
      </c>
      <c r="C359" s="395">
        <v>140</v>
      </c>
      <c r="D359" s="395">
        <v>46</v>
      </c>
      <c r="E359" s="395" t="s">
        <v>890</v>
      </c>
      <c r="F359" s="394">
        <v>25</v>
      </c>
      <c r="G359" s="179">
        <v>6911</v>
      </c>
      <c r="H359" s="394">
        <v>4716</v>
      </c>
      <c r="I359" s="394">
        <f t="shared" si="103"/>
        <v>17.05975980321227</v>
      </c>
      <c r="J359" s="394">
        <f t="shared" si="104"/>
        <v>42.059759803212273</v>
      </c>
      <c r="K359" s="492">
        <v>0.3</v>
      </c>
      <c r="L359" s="394">
        <f t="shared" si="105"/>
        <v>54.677687744175955</v>
      </c>
      <c r="M359" s="394">
        <v>110</v>
      </c>
      <c r="N359" s="504"/>
      <c r="O359" s="362"/>
      <c r="Q359" s="833"/>
      <c r="R359" s="396"/>
    </row>
    <row r="360" spans="1:18" s="395" customFormat="1" ht="15.75" x14ac:dyDescent="0.25">
      <c r="A360" s="393"/>
      <c r="B360" s="395" t="s">
        <v>279</v>
      </c>
      <c r="C360" s="395">
        <v>141</v>
      </c>
      <c r="D360" s="395">
        <v>48</v>
      </c>
      <c r="E360" s="395" t="s">
        <v>890</v>
      </c>
      <c r="F360" s="394">
        <v>25</v>
      </c>
      <c r="G360" s="179">
        <v>6911</v>
      </c>
      <c r="H360" s="394">
        <v>4716</v>
      </c>
      <c r="I360" s="394">
        <f t="shared" si="103"/>
        <v>17.05975980321227</v>
      </c>
      <c r="J360" s="394">
        <f t="shared" si="104"/>
        <v>42.059759803212273</v>
      </c>
      <c r="K360" s="492">
        <v>0.3</v>
      </c>
      <c r="L360" s="394">
        <f t="shared" si="105"/>
        <v>54.677687744175955</v>
      </c>
      <c r="M360" s="394">
        <v>110</v>
      </c>
      <c r="N360" s="504"/>
      <c r="O360" s="362"/>
      <c r="Q360" s="833"/>
      <c r="R360" s="396"/>
    </row>
    <row r="361" spans="1:18" s="395" customFormat="1" ht="15.75" x14ac:dyDescent="0.25">
      <c r="A361" s="393"/>
      <c r="B361" s="395" t="s">
        <v>279</v>
      </c>
      <c r="C361" s="395">
        <v>142</v>
      </c>
      <c r="D361" s="395">
        <v>50</v>
      </c>
      <c r="E361" s="395" t="s">
        <v>890</v>
      </c>
      <c r="F361" s="394">
        <v>25</v>
      </c>
      <c r="G361" s="179">
        <v>6911</v>
      </c>
      <c r="H361" s="394">
        <v>4716</v>
      </c>
      <c r="I361" s="394">
        <f t="shared" si="103"/>
        <v>17.05975980321227</v>
      </c>
      <c r="J361" s="394">
        <f t="shared" si="104"/>
        <v>42.059759803212273</v>
      </c>
      <c r="K361" s="492">
        <v>0.3</v>
      </c>
      <c r="L361" s="394">
        <f t="shared" si="105"/>
        <v>54.677687744175955</v>
      </c>
      <c r="M361" s="394">
        <v>110</v>
      </c>
      <c r="N361" s="504"/>
      <c r="O361" s="362"/>
      <c r="Q361" s="833"/>
      <c r="R361" s="396"/>
    </row>
    <row r="362" spans="1:18" s="395" customFormat="1" ht="15.75" x14ac:dyDescent="0.25">
      <c r="A362" s="393" t="s">
        <v>14</v>
      </c>
      <c r="B362" s="395" t="s">
        <v>14</v>
      </c>
      <c r="C362" s="395">
        <v>143</v>
      </c>
      <c r="D362" s="395">
        <v>42</v>
      </c>
      <c r="E362" s="395" t="s">
        <v>900</v>
      </c>
      <c r="F362" s="394">
        <v>25</v>
      </c>
      <c r="G362" s="179">
        <v>6911</v>
      </c>
      <c r="H362" s="394">
        <v>4716</v>
      </c>
      <c r="I362" s="394">
        <f t="shared" si="103"/>
        <v>17.05975980321227</v>
      </c>
      <c r="J362" s="394">
        <f t="shared" si="104"/>
        <v>42.059759803212273</v>
      </c>
      <c r="K362" s="492">
        <v>0.3</v>
      </c>
      <c r="L362" s="394">
        <f t="shared" si="105"/>
        <v>54.677687744175955</v>
      </c>
      <c r="M362" s="394">
        <v>110</v>
      </c>
      <c r="N362" s="504"/>
      <c r="O362" s="362"/>
      <c r="Q362" s="833"/>
      <c r="R362" s="396"/>
    </row>
    <row r="363" spans="1:18" s="395" customFormat="1" ht="15.75" x14ac:dyDescent="0.25">
      <c r="A363" s="393" t="s">
        <v>14</v>
      </c>
      <c r="B363" s="395" t="s">
        <v>14</v>
      </c>
      <c r="C363" s="395">
        <v>144</v>
      </c>
      <c r="D363" s="395">
        <v>46</v>
      </c>
      <c r="E363" s="395" t="s">
        <v>900</v>
      </c>
      <c r="F363" s="394">
        <v>25</v>
      </c>
      <c r="G363" s="179">
        <v>6911</v>
      </c>
      <c r="H363" s="394">
        <v>4716</v>
      </c>
      <c r="I363" s="394">
        <f t="shared" si="103"/>
        <v>17.05975980321227</v>
      </c>
      <c r="J363" s="394">
        <f t="shared" si="104"/>
        <v>42.059759803212273</v>
      </c>
      <c r="K363" s="492">
        <v>0.3</v>
      </c>
      <c r="L363" s="394">
        <f t="shared" si="105"/>
        <v>54.677687744175955</v>
      </c>
      <c r="M363" s="394">
        <v>110</v>
      </c>
      <c r="N363" s="504"/>
      <c r="O363" s="362"/>
      <c r="Q363" s="833"/>
      <c r="R363" s="396"/>
    </row>
    <row r="364" spans="1:18" s="395" customFormat="1" ht="15.75" x14ac:dyDescent="0.25">
      <c r="A364" s="890" t="s">
        <v>901</v>
      </c>
      <c r="B364" s="395" t="s">
        <v>901</v>
      </c>
      <c r="C364" s="395">
        <v>145</v>
      </c>
      <c r="D364" s="395">
        <v>44</v>
      </c>
      <c r="E364" s="395" t="s">
        <v>902</v>
      </c>
      <c r="F364" s="394">
        <v>20</v>
      </c>
      <c r="G364" s="179">
        <v>6911</v>
      </c>
      <c r="H364" s="394">
        <v>4716</v>
      </c>
      <c r="I364" s="394">
        <f t="shared" ref="I364:I377" si="106">+F364/G364*H364</f>
        <v>13.647807842569817</v>
      </c>
      <c r="J364" s="394">
        <f t="shared" ref="J364:J377" si="107">+F364+I364</f>
        <v>33.647807842569819</v>
      </c>
      <c r="K364" s="492">
        <v>0.3</v>
      </c>
      <c r="L364" s="394">
        <f t="shared" ref="L364:L377" si="108">+J364*K364+J364</f>
        <v>43.742150195340763</v>
      </c>
      <c r="M364" s="394">
        <v>110</v>
      </c>
      <c r="N364" s="504"/>
      <c r="O364" s="362"/>
      <c r="Q364" s="833"/>
      <c r="R364" s="396"/>
    </row>
    <row r="365" spans="1:18" s="395" customFormat="1" ht="15.75" x14ac:dyDescent="0.25">
      <c r="A365" s="393" t="s">
        <v>255</v>
      </c>
      <c r="B365" s="395" t="s">
        <v>258</v>
      </c>
      <c r="C365" s="395">
        <v>146</v>
      </c>
      <c r="D365" s="395">
        <v>52</v>
      </c>
      <c r="E365" s="395" t="s">
        <v>907</v>
      </c>
      <c r="F365" s="394">
        <v>36</v>
      </c>
      <c r="G365" s="179">
        <v>6911</v>
      </c>
      <c r="H365" s="394">
        <v>4716</v>
      </c>
      <c r="I365" s="394">
        <f t="shared" si="106"/>
        <v>24.566054116625669</v>
      </c>
      <c r="J365" s="394">
        <f t="shared" si="107"/>
        <v>60.566054116625665</v>
      </c>
      <c r="K365" s="492">
        <v>0.3</v>
      </c>
      <c r="L365" s="394">
        <f t="shared" si="108"/>
        <v>78.735870351613357</v>
      </c>
      <c r="M365" s="394">
        <v>150</v>
      </c>
      <c r="N365" s="504"/>
      <c r="O365" s="362"/>
      <c r="Q365" s="833"/>
      <c r="R365" s="396"/>
    </row>
    <row r="366" spans="1:18" s="395" customFormat="1" ht="15.75" x14ac:dyDescent="0.25">
      <c r="A366" s="393" t="s">
        <v>255</v>
      </c>
      <c r="B366" s="395" t="s">
        <v>258</v>
      </c>
      <c r="C366" s="395">
        <v>147</v>
      </c>
      <c r="D366" s="395">
        <v>54</v>
      </c>
      <c r="E366" s="395" t="s">
        <v>907</v>
      </c>
      <c r="F366" s="394">
        <v>36</v>
      </c>
      <c r="G366" s="179">
        <v>6911</v>
      </c>
      <c r="H366" s="394">
        <v>4716</v>
      </c>
      <c r="I366" s="394">
        <f t="shared" si="106"/>
        <v>24.566054116625669</v>
      </c>
      <c r="J366" s="394">
        <f t="shared" si="107"/>
        <v>60.566054116625665</v>
      </c>
      <c r="K366" s="492">
        <v>0.3</v>
      </c>
      <c r="L366" s="394">
        <f t="shared" si="108"/>
        <v>78.735870351613357</v>
      </c>
      <c r="M366" s="394">
        <v>150</v>
      </c>
      <c r="N366" s="504"/>
      <c r="O366" s="362"/>
      <c r="Q366" s="833"/>
      <c r="R366" s="396"/>
    </row>
    <row r="367" spans="1:18" s="395" customFormat="1" ht="15.75" x14ac:dyDescent="0.25">
      <c r="A367" s="393" t="s">
        <v>255</v>
      </c>
      <c r="B367" s="395" t="s">
        <v>258</v>
      </c>
      <c r="C367" s="395">
        <v>148</v>
      </c>
      <c r="D367" s="395">
        <v>56</v>
      </c>
      <c r="E367" s="395" t="s">
        <v>907</v>
      </c>
      <c r="F367" s="394">
        <v>36</v>
      </c>
      <c r="G367" s="179">
        <v>6911</v>
      </c>
      <c r="H367" s="394">
        <v>4716</v>
      </c>
      <c r="I367" s="394">
        <f t="shared" si="106"/>
        <v>24.566054116625669</v>
      </c>
      <c r="J367" s="394">
        <f t="shared" si="107"/>
        <v>60.566054116625665</v>
      </c>
      <c r="K367" s="492">
        <v>0.3</v>
      </c>
      <c r="L367" s="394">
        <f t="shared" si="108"/>
        <v>78.735870351613357</v>
      </c>
      <c r="M367" s="394">
        <v>150</v>
      </c>
      <c r="N367" s="504"/>
      <c r="O367" s="362"/>
      <c r="Q367" s="833"/>
      <c r="R367" s="396"/>
    </row>
    <row r="368" spans="1:18" s="395" customFormat="1" ht="15.75" x14ac:dyDescent="0.25">
      <c r="A368" s="890" t="s">
        <v>255</v>
      </c>
      <c r="B368" s="395" t="s">
        <v>927</v>
      </c>
      <c r="C368" s="395">
        <v>149</v>
      </c>
      <c r="D368" s="395">
        <v>36</v>
      </c>
      <c r="E368" s="395" t="s">
        <v>908</v>
      </c>
      <c r="F368" s="394">
        <v>25</v>
      </c>
      <c r="G368" s="179">
        <v>6911</v>
      </c>
      <c r="H368" s="394">
        <v>4716</v>
      </c>
      <c r="I368" s="394">
        <f t="shared" si="106"/>
        <v>17.05975980321227</v>
      </c>
      <c r="J368" s="394">
        <f t="shared" si="107"/>
        <v>42.059759803212273</v>
      </c>
      <c r="K368" s="492">
        <v>0.3</v>
      </c>
      <c r="L368" s="394">
        <f t="shared" si="108"/>
        <v>54.677687744175955</v>
      </c>
      <c r="M368" s="394">
        <v>90</v>
      </c>
      <c r="N368" s="504"/>
      <c r="O368" s="362"/>
      <c r="Q368" s="833"/>
      <c r="R368" s="396"/>
    </row>
    <row r="369" spans="1:20" s="395" customFormat="1" ht="15.75" x14ac:dyDescent="0.25">
      <c r="A369" s="393" t="s">
        <v>255</v>
      </c>
      <c r="B369" s="395" t="s">
        <v>927</v>
      </c>
      <c r="C369" s="395">
        <v>150</v>
      </c>
      <c r="D369" s="395">
        <v>38</v>
      </c>
      <c r="E369" s="395" t="s">
        <v>909</v>
      </c>
      <c r="F369" s="394">
        <v>32</v>
      </c>
      <c r="G369" s="179">
        <v>6911</v>
      </c>
      <c r="H369" s="394">
        <v>4716</v>
      </c>
      <c r="I369" s="394">
        <f t="shared" si="106"/>
        <v>21.836492548111707</v>
      </c>
      <c r="J369" s="394">
        <f t="shared" si="107"/>
        <v>53.836492548111707</v>
      </c>
      <c r="K369" s="492">
        <v>0.3</v>
      </c>
      <c r="L369" s="394">
        <f t="shared" si="108"/>
        <v>69.987440312545218</v>
      </c>
      <c r="M369" s="394">
        <v>110</v>
      </c>
      <c r="N369" s="504"/>
      <c r="O369" s="362"/>
      <c r="P369" s="395" t="s">
        <v>1709</v>
      </c>
      <c r="Q369" s="833"/>
      <c r="R369" s="396"/>
    </row>
    <row r="370" spans="1:20" s="395" customFormat="1" ht="15.75" x14ac:dyDescent="0.25">
      <c r="A370" s="890" t="s">
        <v>910</v>
      </c>
      <c r="B370" s="395" t="s">
        <v>910</v>
      </c>
      <c r="C370" s="395">
        <v>151</v>
      </c>
      <c r="D370" s="395">
        <v>50</v>
      </c>
      <c r="E370" s="395" t="s">
        <v>911</v>
      </c>
      <c r="F370" s="394">
        <v>20</v>
      </c>
      <c r="G370" s="179">
        <v>6911</v>
      </c>
      <c r="H370" s="394">
        <v>4716</v>
      </c>
      <c r="I370" s="394">
        <f t="shared" si="106"/>
        <v>13.647807842569817</v>
      </c>
      <c r="J370" s="394">
        <f t="shared" si="107"/>
        <v>33.647807842569819</v>
      </c>
      <c r="K370" s="492">
        <v>0.3</v>
      </c>
      <c r="L370" s="394">
        <f t="shared" si="108"/>
        <v>43.742150195340763</v>
      </c>
      <c r="M370" s="394">
        <v>110</v>
      </c>
      <c r="N370" s="504"/>
      <c r="O370" s="362"/>
      <c r="Q370" s="833"/>
      <c r="R370" s="396"/>
    </row>
    <row r="371" spans="1:20" s="395" customFormat="1" ht="15.75" x14ac:dyDescent="0.25">
      <c r="A371" s="393" t="s">
        <v>637</v>
      </c>
      <c r="B371" s="395" t="s">
        <v>637</v>
      </c>
      <c r="C371" s="395">
        <v>152</v>
      </c>
      <c r="D371" s="395">
        <v>46</v>
      </c>
      <c r="E371" s="395" t="s">
        <v>912</v>
      </c>
      <c r="F371" s="394">
        <v>35</v>
      </c>
      <c r="G371" s="179">
        <v>6911</v>
      </c>
      <c r="H371" s="394">
        <v>4716</v>
      </c>
      <c r="I371" s="394">
        <f t="shared" si="106"/>
        <v>23.883663724497179</v>
      </c>
      <c r="J371" s="394">
        <f t="shared" si="107"/>
        <v>58.883663724497183</v>
      </c>
      <c r="K371" s="492">
        <v>0.3</v>
      </c>
      <c r="L371" s="394">
        <f t="shared" si="108"/>
        <v>76.54876284184634</v>
      </c>
      <c r="M371" s="394">
        <v>125</v>
      </c>
      <c r="N371" s="504"/>
      <c r="O371" s="362"/>
      <c r="Q371" s="833"/>
      <c r="R371" s="396"/>
    </row>
    <row r="372" spans="1:20" s="395" customFormat="1" ht="15.75" x14ac:dyDescent="0.25">
      <c r="A372" s="393" t="s">
        <v>637</v>
      </c>
      <c r="B372" s="395" t="s">
        <v>637</v>
      </c>
      <c r="C372" s="395">
        <v>153</v>
      </c>
      <c r="D372" s="395">
        <v>48</v>
      </c>
      <c r="E372" s="395" t="s">
        <v>912</v>
      </c>
      <c r="F372" s="394">
        <v>35</v>
      </c>
      <c r="G372" s="179">
        <v>6911</v>
      </c>
      <c r="H372" s="394">
        <v>4716</v>
      </c>
      <c r="I372" s="394">
        <f t="shared" si="106"/>
        <v>23.883663724497179</v>
      </c>
      <c r="J372" s="394">
        <f t="shared" si="107"/>
        <v>58.883663724497183</v>
      </c>
      <c r="K372" s="492">
        <v>0.3</v>
      </c>
      <c r="L372" s="394">
        <f t="shared" si="108"/>
        <v>76.54876284184634</v>
      </c>
      <c r="M372" s="394">
        <v>125</v>
      </c>
      <c r="N372" s="504"/>
      <c r="O372" s="362"/>
      <c r="Q372" s="833"/>
      <c r="R372" s="396"/>
    </row>
    <row r="373" spans="1:20" s="395" customFormat="1" ht="15.75" x14ac:dyDescent="0.25">
      <c r="A373" s="393" t="s">
        <v>637</v>
      </c>
      <c r="B373" s="395" t="s">
        <v>637</v>
      </c>
      <c r="C373" s="395">
        <v>154</v>
      </c>
      <c r="D373" s="395">
        <v>50</v>
      </c>
      <c r="E373" s="395" t="s">
        <v>912</v>
      </c>
      <c r="F373" s="394">
        <v>35</v>
      </c>
      <c r="G373" s="179">
        <v>6911</v>
      </c>
      <c r="H373" s="394">
        <v>4716</v>
      </c>
      <c r="I373" s="394">
        <f t="shared" si="106"/>
        <v>23.883663724497179</v>
      </c>
      <c r="J373" s="394">
        <f t="shared" si="107"/>
        <v>58.883663724497183</v>
      </c>
      <c r="K373" s="492">
        <v>0.3</v>
      </c>
      <c r="L373" s="394">
        <f t="shared" si="108"/>
        <v>76.54876284184634</v>
      </c>
      <c r="M373" s="394">
        <v>125</v>
      </c>
      <c r="N373" s="504"/>
      <c r="O373" s="362"/>
      <c r="Q373" s="833"/>
      <c r="R373" s="396"/>
    </row>
    <row r="374" spans="1:20" s="395" customFormat="1" ht="15.75" x14ac:dyDescent="0.25">
      <c r="A374" s="393"/>
      <c r="B374" s="393"/>
      <c r="E374" s="393" t="s">
        <v>961</v>
      </c>
      <c r="F374" s="394"/>
      <c r="G374" s="179"/>
      <c r="H374" s="394"/>
      <c r="I374" s="394"/>
      <c r="J374" s="394"/>
      <c r="K374" s="492"/>
      <c r="L374" s="394"/>
      <c r="M374" s="394"/>
      <c r="N374" s="504"/>
      <c r="O374" s="362"/>
      <c r="Q374" s="833"/>
      <c r="R374" s="396"/>
    </row>
    <row r="375" spans="1:20" s="395" customFormat="1" ht="15.75" hidden="1" x14ac:dyDescent="0.25">
      <c r="A375" s="395" t="s">
        <v>607</v>
      </c>
      <c r="B375" s="395" t="s">
        <v>955</v>
      </c>
      <c r="C375" s="395">
        <v>155</v>
      </c>
      <c r="D375" s="395">
        <v>42</v>
      </c>
      <c r="E375" s="317" t="s">
        <v>953</v>
      </c>
      <c r="F375" s="493">
        <v>30</v>
      </c>
      <c r="G375" s="509">
        <v>978</v>
      </c>
      <c r="H375" s="493">
        <v>444</v>
      </c>
      <c r="I375" s="493">
        <f t="shared" si="106"/>
        <v>13.61963190184049</v>
      </c>
      <c r="J375" s="493">
        <f t="shared" si="107"/>
        <v>43.619631901840492</v>
      </c>
      <c r="K375" s="692">
        <v>0.3</v>
      </c>
      <c r="L375" s="493">
        <f t="shared" si="108"/>
        <v>56.70552147239264</v>
      </c>
      <c r="M375" s="545">
        <v>110</v>
      </c>
      <c r="N375" s="404"/>
      <c r="O375" s="362"/>
      <c r="P375" s="395" t="s">
        <v>12</v>
      </c>
      <c r="Q375" s="833">
        <f>+M375*8000</f>
        <v>880000</v>
      </c>
      <c r="R375" s="396"/>
    </row>
    <row r="376" spans="1:20" s="395" customFormat="1" ht="15.75" x14ac:dyDescent="0.25">
      <c r="A376" s="891" t="s">
        <v>607</v>
      </c>
      <c r="B376" s="395" t="s">
        <v>955</v>
      </c>
      <c r="C376" s="395">
        <v>156</v>
      </c>
      <c r="D376" s="395">
        <v>46</v>
      </c>
      <c r="E376" s="395" t="s">
        <v>953</v>
      </c>
      <c r="F376" s="394">
        <v>30</v>
      </c>
      <c r="G376" s="179">
        <v>978</v>
      </c>
      <c r="H376" s="394">
        <v>444</v>
      </c>
      <c r="I376" s="394">
        <f t="shared" si="106"/>
        <v>13.61963190184049</v>
      </c>
      <c r="J376" s="394">
        <f t="shared" si="107"/>
        <v>43.619631901840492</v>
      </c>
      <c r="K376" s="492">
        <v>0.3</v>
      </c>
      <c r="L376" s="394">
        <f t="shared" si="108"/>
        <v>56.70552147239264</v>
      </c>
      <c r="M376" s="167">
        <v>110</v>
      </c>
      <c r="N376" s="404"/>
      <c r="O376" s="362"/>
      <c r="Q376" s="833"/>
      <c r="R376" s="396"/>
    </row>
    <row r="377" spans="1:20" s="494" customFormat="1" ht="15.75" x14ac:dyDescent="0.25">
      <c r="A377" s="395" t="s">
        <v>607</v>
      </c>
      <c r="B377" s="494" t="s">
        <v>955</v>
      </c>
      <c r="D377" s="494">
        <v>48</v>
      </c>
      <c r="E377" s="494" t="s">
        <v>953</v>
      </c>
      <c r="F377" s="504">
        <v>30</v>
      </c>
      <c r="G377" s="585">
        <v>978</v>
      </c>
      <c r="H377" s="504">
        <v>444</v>
      </c>
      <c r="I377" s="504">
        <f t="shared" si="106"/>
        <v>13.61963190184049</v>
      </c>
      <c r="J377" s="504">
        <f t="shared" si="107"/>
        <v>43.619631901840492</v>
      </c>
      <c r="K377" s="586">
        <v>0.3</v>
      </c>
      <c r="L377" s="504">
        <f t="shared" si="108"/>
        <v>56.70552147239264</v>
      </c>
      <c r="M377" s="404">
        <v>110</v>
      </c>
      <c r="N377" s="404"/>
      <c r="P377" s="494" t="s">
        <v>1946</v>
      </c>
      <c r="Q377" s="841"/>
      <c r="R377" s="918"/>
    </row>
    <row r="378" spans="1:20" s="169" customFormat="1" ht="15.75" x14ac:dyDescent="0.25">
      <c r="A378" s="891"/>
      <c r="B378" s="395" t="s">
        <v>223</v>
      </c>
      <c r="C378" s="395">
        <v>157</v>
      </c>
      <c r="D378" s="395">
        <v>50</v>
      </c>
      <c r="E378" s="395" t="s">
        <v>954</v>
      </c>
      <c r="F378" s="394">
        <v>40</v>
      </c>
      <c r="G378" s="179">
        <v>978</v>
      </c>
      <c r="H378" s="394">
        <v>444</v>
      </c>
      <c r="I378" s="394">
        <f>+F378/G378*H378</f>
        <v>18.159509202453989</v>
      </c>
      <c r="J378" s="394">
        <f>+F378+I378</f>
        <v>58.159509202453989</v>
      </c>
      <c r="K378" s="492">
        <v>0.3</v>
      </c>
      <c r="L378" s="394">
        <f>+J378*K378+J378</f>
        <v>75.607361963190186</v>
      </c>
      <c r="M378" s="167">
        <v>126</v>
      </c>
      <c r="N378" s="404"/>
      <c r="O378" s="362"/>
      <c r="P378" s="395"/>
      <c r="Q378" s="833"/>
      <c r="R378" s="396"/>
      <c r="S378" s="395"/>
      <c r="T378" s="395"/>
    </row>
    <row r="379" spans="1:20" s="169" customFormat="1" ht="15.75" x14ac:dyDescent="0.25">
      <c r="A379" s="507"/>
      <c r="B379" s="507"/>
      <c r="C379" s="395"/>
      <c r="D379" s="395"/>
      <c r="E379" s="158" t="s">
        <v>1067</v>
      </c>
      <c r="F379" s="167"/>
      <c r="G379" s="179"/>
      <c r="H379" s="394"/>
      <c r="I379" s="394"/>
      <c r="J379" s="394"/>
      <c r="K379" s="492"/>
      <c r="L379" s="394"/>
      <c r="M379" s="167"/>
      <c r="N379" s="404"/>
      <c r="O379" s="395"/>
      <c r="P379" s="395"/>
      <c r="Q379" s="833"/>
      <c r="R379" s="396"/>
      <c r="S379" s="395"/>
      <c r="T379" s="395"/>
    </row>
    <row r="380" spans="1:20" s="169" customFormat="1" ht="15.75" x14ac:dyDescent="0.25">
      <c r="A380" s="892" t="s">
        <v>763</v>
      </c>
      <c r="B380" s="169" t="s">
        <v>1005</v>
      </c>
      <c r="C380" s="169">
        <v>158</v>
      </c>
      <c r="D380" s="169">
        <v>42</v>
      </c>
      <c r="E380" s="169" t="s">
        <v>1044</v>
      </c>
      <c r="F380" s="180">
        <v>18</v>
      </c>
      <c r="G380" s="499">
        <v>4607</v>
      </c>
      <c r="H380" s="180">
        <f t="shared" ref="H380:H391" si="109">7503-G380</f>
        <v>2896</v>
      </c>
      <c r="I380" s="180">
        <f t="shared" ref="I380:I391" si="110">+F380/G380*H380</f>
        <v>11.314955502496202</v>
      </c>
      <c r="J380" s="180">
        <f t="shared" ref="J380:J391" si="111">+F380+I380</f>
        <v>29.314955502496204</v>
      </c>
      <c r="K380" s="345">
        <v>0.3</v>
      </c>
      <c r="L380" s="180">
        <f t="shared" ref="L380:L391" si="112">+J380*K380+J380</f>
        <v>38.109442153245062</v>
      </c>
      <c r="M380" s="170">
        <v>90</v>
      </c>
      <c r="N380" s="532"/>
      <c r="O380" s="361"/>
      <c r="Q380" s="838"/>
      <c r="R380" s="580"/>
    </row>
    <row r="381" spans="1:20" s="169" customFormat="1" ht="15.75" hidden="1" x14ac:dyDescent="0.25">
      <c r="A381" s="892" t="s">
        <v>763</v>
      </c>
      <c r="B381" s="169" t="s">
        <v>926</v>
      </c>
      <c r="C381" s="169">
        <v>159</v>
      </c>
      <c r="D381" s="169">
        <v>38</v>
      </c>
      <c r="E381" s="699" t="s">
        <v>1006</v>
      </c>
      <c r="F381" s="700">
        <v>25</v>
      </c>
      <c r="G381" s="701">
        <v>4607</v>
      </c>
      <c r="H381" s="700">
        <f t="shared" si="109"/>
        <v>2896</v>
      </c>
      <c r="I381" s="700">
        <f t="shared" si="110"/>
        <v>15.715215975689169</v>
      </c>
      <c r="J381" s="700">
        <f t="shared" si="111"/>
        <v>40.715215975689169</v>
      </c>
      <c r="K381" s="702">
        <v>0.3</v>
      </c>
      <c r="L381" s="700">
        <f t="shared" si="112"/>
        <v>52.929780768395922</v>
      </c>
      <c r="M381" s="703">
        <v>110</v>
      </c>
      <c r="N381" s="532"/>
      <c r="O381" s="361"/>
      <c r="P381" s="169" t="s">
        <v>12</v>
      </c>
      <c r="Q381" s="838">
        <v>45416</v>
      </c>
      <c r="R381" s="580">
        <f>+M381*14.5</f>
        <v>1595</v>
      </c>
    </row>
    <row r="382" spans="1:20" s="169" customFormat="1" ht="15.75" x14ac:dyDescent="0.25">
      <c r="A382" s="169" t="s">
        <v>763</v>
      </c>
      <c r="B382" s="169" t="s">
        <v>1005</v>
      </c>
      <c r="C382" s="169">
        <v>160</v>
      </c>
      <c r="D382" s="169">
        <v>36</v>
      </c>
      <c r="E382" s="169" t="s">
        <v>1043</v>
      </c>
      <c r="F382" s="180">
        <v>20</v>
      </c>
      <c r="G382" s="499">
        <v>4607</v>
      </c>
      <c r="H382" s="180">
        <f t="shared" si="109"/>
        <v>2896</v>
      </c>
      <c r="I382" s="180">
        <f t="shared" si="110"/>
        <v>12.572172780551336</v>
      </c>
      <c r="J382" s="180">
        <f t="shared" si="111"/>
        <v>32.572172780551334</v>
      </c>
      <c r="K382" s="345">
        <v>0.3</v>
      </c>
      <c r="L382" s="180">
        <f t="shared" si="112"/>
        <v>42.343824614716738</v>
      </c>
      <c r="M382" s="170">
        <v>90</v>
      </c>
      <c r="N382" s="532"/>
      <c r="O382" s="361"/>
      <c r="Q382" s="838"/>
      <c r="R382" s="580"/>
    </row>
    <row r="383" spans="1:20" s="169" customFormat="1" ht="15.75" x14ac:dyDescent="0.25">
      <c r="A383" s="169" t="s">
        <v>763</v>
      </c>
      <c r="B383" s="169" t="s">
        <v>1005</v>
      </c>
      <c r="C383" s="169">
        <v>161</v>
      </c>
      <c r="D383" s="169">
        <v>38</v>
      </c>
      <c r="E383" s="169" t="s">
        <v>1043</v>
      </c>
      <c r="F383" s="180">
        <v>20</v>
      </c>
      <c r="G383" s="499">
        <v>4607</v>
      </c>
      <c r="H383" s="180">
        <f t="shared" si="109"/>
        <v>2896</v>
      </c>
      <c r="I383" s="180">
        <f t="shared" si="110"/>
        <v>12.572172780551336</v>
      </c>
      <c r="J383" s="180">
        <f t="shared" si="111"/>
        <v>32.572172780551334</v>
      </c>
      <c r="K383" s="345">
        <v>0.3</v>
      </c>
      <c r="L383" s="180">
        <f t="shared" si="112"/>
        <v>42.343824614716738</v>
      </c>
      <c r="M383" s="170">
        <v>90</v>
      </c>
      <c r="N383" s="532"/>
      <c r="O383" s="361"/>
      <c r="Q383" s="838"/>
      <c r="R383" s="580"/>
    </row>
    <row r="384" spans="1:20" s="169" customFormat="1" ht="15.75" x14ac:dyDescent="0.25">
      <c r="A384" s="169" t="s">
        <v>763</v>
      </c>
      <c r="B384" s="169" t="s">
        <v>1005</v>
      </c>
      <c r="C384" s="169">
        <v>162</v>
      </c>
      <c r="D384" s="169">
        <v>40</v>
      </c>
      <c r="E384" s="169" t="s">
        <v>1043</v>
      </c>
      <c r="F384" s="180">
        <v>20</v>
      </c>
      <c r="G384" s="499">
        <v>4607</v>
      </c>
      <c r="H384" s="180">
        <f t="shared" si="109"/>
        <v>2896</v>
      </c>
      <c r="I384" s="180">
        <f t="shared" si="110"/>
        <v>12.572172780551336</v>
      </c>
      <c r="J384" s="180">
        <f t="shared" si="111"/>
        <v>32.572172780551334</v>
      </c>
      <c r="K384" s="345">
        <v>0.3</v>
      </c>
      <c r="L384" s="180">
        <f t="shared" si="112"/>
        <v>42.343824614716738</v>
      </c>
      <c r="M384" s="170">
        <v>90</v>
      </c>
      <c r="N384" s="532"/>
      <c r="O384" s="361"/>
      <c r="Q384" s="838"/>
      <c r="R384" s="580"/>
    </row>
    <row r="385" spans="1:20" s="169" customFormat="1" ht="15.75" x14ac:dyDescent="0.25">
      <c r="A385" s="169" t="s">
        <v>763</v>
      </c>
      <c r="B385" s="169" t="s">
        <v>1005</v>
      </c>
      <c r="C385" s="169">
        <v>163</v>
      </c>
      <c r="D385" s="169">
        <v>42</v>
      </c>
      <c r="E385" s="169" t="s">
        <v>1043</v>
      </c>
      <c r="F385" s="180">
        <v>20</v>
      </c>
      <c r="G385" s="499">
        <v>4607</v>
      </c>
      <c r="H385" s="180">
        <f t="shared" si="109"/>
        <v>2896</v>
      </c>
      <c r="I385" s="180">
        <f t="shared" si="110"/>
        <v>12.572172780551336</v>
      </c>
      <c r="J385" s="180">
        <f t="shared" si="111"/>
        <v>32.572172780551334</v>
      </c>
      <c r="K385" s="345">
        <v>0.3</v>
      </c>
      <c r="L385" s="180">
        <f t="shared" si="112"/>
        <v>42.343824614716738</v>
      </c>
      <c r="M385" s="170">
        <v>90</v>
      </c>
      <c r="N385" s="532"/>
      <c r="O385" s="361"/>
      <c r="Q385" s="838"/>
      <c r="R385" s="580"/>
    </row>
    <row r="386" spans="1:20" s="169" customFormat="1" ht="15.75" x14ac:dyDescent="0.25">
      <c r="A386" s="892" t="s">
        <v>763</v>
      </c>
      <c r="B386" s="169" t="s">
        <v>1005</v>
      </c>
      <c r="C386" s="169">
        <v>164</v>
      </c>
      <c r="D386" s="169">
        <v>42</v>
      </c>
      <c r="E386" s="169" t="s">
        <v>1044</v>
      </c>
      <c r="F386" s="180">
        <v>18</v>
      </c>
      <c r="G386" s="499">
        <v>4607</v>
      </c>
      <c r="H386" s="180">
        <f t="shared" si="109"/>
        <v>2896</v>
      </c>
      <c r="I386" s="180">
        <f t="shared" si="110"/>
        <v>11.314955502496202</v>
      </c>
      <c r="J386" s="180">
        <f t="shared" si="111"/>
        <v>29.314955502496204</v>
      </c>
      <c r="K386" s="345">
        <v>0.3</v>
      </c>
      <c r="L386" s="180">
        <f t="shared" si="112"/>
        <v>38.109442153245062</v>
      </c>
      <c r="M386" s="170">
        <v>90</v>
      </c>
      <c r="N386" s="532"/>
      <c r="O386" s="361"/>
      <c r="Q386" s="838"/>
      <c r="R386" s="580"/>
    </row>
    <row r="387" spans="1:20" s="169" customFormat="1" ht="15.75" x14ac:dyDescent="0.25">
      <c r="A387" s="169" t="s">
        <v>1062</v>
      </c>
      <c r="B387" s="169" t="s">
        <v>1064</v>
      </c>
      <c r="C387" s="169">
        <v>165</v>
      </c>
      <c r="D387" s="169">
        <v>44</v>
      </c>
      <c r="E387" s="169" t="s">
        <v>1063</v>
      </c>
      <c r="F387" s="180">
        <v>28</v>
      </c>
      <c r="G387" s="499">
        <v>4607</v>
      </c>
      <c r="H387" s="180">
        <f t="shared" si="109"/>
        <v>2896</v>
      </c>
      <c r="I387" s="180">
        <f t="shared" si="110"/>
        <v>17.601041892771867</v>
      </c>
      <c r="J387" s="180">
        <f t="shared" si="111"/>
        <v>45.601041892771867</v>
      </c>
      <c r="K387" s="345">
        <v>0.3</v>
      </c>
      <c r="L387" s="180">
        <f t="shared" si="112"/>
        <v>59.281354460603424</v>
      </c>
      <c r="M387" s="170">
        <v>110</v>
      </c>
      <c r="N387" s="532"/>
      <c r="O387" s="361"/>
      <c r="Q387" s="838"/>
      <c r="R387" s="580"/>
    </row>
    <row r="388" spans="1:20" s="169" customFormat="1" ht="15.75" x14ac:dyDescent="0.25">
      <c r="A388" s="169" t="s">
        <v>1062</v>
      </c>
      <c r="B388" s="169" t="s">
        <v>1064</v>
      </c>
      <c r="C388" s="169">
        <v>166</v>
      </c>
      <c r="D388" s="169">
        <v>46</v>
      </c>
      <c r="E388" s="169" t="s">
        <v>1063</v>
      </c>
      <c r="F388" s="180">
        <v>28</v>
      </c>
      <c r="G388" s="499">
        <v>4607</v>
      </c>
      <c r="H388" s="180">
        <f t="shared" si="109"/>
        <v>2896</v>
      </c>
      <c r="I388" s="180">
        <f t="shared" si="110"/>
        <v>17.601041892771867</v>
      </c>
      <c r="J388" s="180">
        <f t="shared" si="111"/>
        <v>45.601041892771867</v>
      </c>
      <c r="K388" s="345">
        <v>0.3</v>
      </c>
      <c r="L388" s="180">
        <f t="shared" si="112"/>
        <v>59.281354460603424</v>
      </c>
      <c r="M388" s="170">
        <v>110</v>
      </c>
      <c r="N388" s="532"/>
      <c r="O388" s="361"/>
      <c r="Q388" s="838"/>
      <c r="R388" s="580"/>
    </row>
    <row r="389" spans="1:20" s="169" customFormat="1" ht="15.75" x14ac:dyDescent="0.25">
      <c r="A389" s="169" t="s">
        <v>1062</v>
      </c>
      <c r="B389" s="169" t="s">
        <v>1064</v>
      </c>
      <c r="C389" s="169">
        <v>167</v>
      </c>
      <c r="D389" s="169">
        <v>48</v>
      </c>
      <c r="E389" s="169" t="s">
        <v>1063</v>
      </c>
      <c r="F389" s="180">
        <v>28</v>
      </c>
      <c r="G389" s="499">
        <v>4607</v>
      </c>
      <c r="H389" s="180">
        <f t="shared" si="109"/>
        <v>2896</v>
      </c>
      <c r="I389" s="180">
        <f t="shared" si="110"/>
        <v>17.601041892771867</v>
      </c>
      <c r="J389" s="180">
        <f t="shared" si="111"/>
        <v>45.601041892771867</v>
      </c>
      <c r="K389" s="345">
        <v>0.3</v>
      </c>
      <c r="L389" s="180">
        <f t="shared" si="112"/>
        <v>59.281354460603424</v>
      </c>
      <c r="M389" s="170">
        <v>110</v>
      </c>
      <c r="N389" s="532"/>
      <c r="O389" s="361"/>
      <c r="Q389" s="838"/>
      <c r="R389" s="580"/>
    </row>
    <row r="390" spans="1:20" s="169" customFormat="1" ht="15.75" x14ac:dyDescent="0.25">
      <c r="A390" s="169" t="s">
        <v>1062</v>
      </c>
      <c r="B390" s="169" t="s">
        <v>1064</v>
      </c>
      <c r="C390" s="169">
        <v>168</v>
      </c>
      <c r="D390" s="169">
        <v>50</v>
      </c>
      <c r="E390" s="169" t="s">
        <v>1063</v>
      </c>
      <c r="F390" s="180">
        <v>28</v>
      </c>
      <c r="G390" s="499">
        <v>4607</v>
      </c>
      <c r="H390" s="180">
        <f t="shared" si="109"/>
        <v>2896</v>
      </c>
      <c r="I390" s="180">
        <f t="shared" si="110"/>
        <v>17.601041892771867</v>
      </c>
      <c r="J390" s="180">
        <f t="shared" si="111"/>
        <v>45.601041892771867</v>
      </c>
      <c r="K390" s="345">
        <v>0.3</v>
      </c>
      <c r="L390" s="180">
        <f t="shared" si="112"/>
        <v>59.281354460603424</v>
      </c>
      <c r="M390" s="170">
        <v>110</v>
      </c>
      <c r="N390" s="532"/>
      <c r="O390" s="361"/>
      <c r="Q390" s="838"/>
      <c r="R390" s="580"/>
    </row>
    <row r="391" spans="1:20" s="169" customFormat="1" ht="15.75" hidden="1" x14ac:dyDescent="0.25">
      <c r="A391" s="169" t="s">
        <v>1009</v>
      </c>
      <c r="B391" s="169" t="s">
        <v>1009</v>
      </c>
      <c r="C391" s="169">
        <v>169</v>
      </c>
      <c r="D391" s="169">
        <v>38</v>
      </c>
      <c r="E391" s="699" t="s">
        <v>1010</v>
      </c>
      <c r="F391" s="700">
        <v>22</v>
      </c>
      <c r="G391" s="701">
        <v>4607</v>
      </c>
      <c r="H391" s="700">
        <f t="shared" si="109"/>
        <v>2896</v>
      </c>
      <c r="I391" s="700">
        <f t="shared" si="110"/>
        <v>13.829390058606469</v>
      </c>
      <c r="J391" s="700">
        <f t="shared" si="111"/>
        <v>35.829390058606471</v>
      </c>
      <c r="K391" s="702">
        <v>0.3</v>
      </c>
      <c r="L391" s="700">
        <f t="shared" si="112"/>
        <v>46.578207076188413</v>
      </c>
      <c r="M391" s="703">
        <v>125</v>
      </c>
      <c r="N391" s="532"/>
      <c r="O391" s="361"/>
      <c r="P391" s="169" t="s">
        <v>1893</v>
      </c>
      <c r="Q391" s="838">
        <v>45313</v>
      </c>
      <c r="R391" s="580">
        <f>+M391*7000</f>
        <v>875000</v>
      </c>
    </row>
    <row r="392" spans="1:20" s="169" customFormat="1" ht="15.75" hidden="1" x14ac:dyDescent="0.25">
      <c r="A392" s="169" t="s">
        <v>1022</v>
      </c>
      <c r="B392" s="169" t="s">
        <v>1022</v>
      </c>
      <c r="C392" s="169">
        <v>170</v>
      </c>
      <c r="D392" s="169">
        <v>42</v>
      </c>
      <c r="E392" s="699" t="s">
        <v>1023</v>
      </c>
      <c r="F392" s="700">
        <v>18</v>
      </c>
      <c r="G392" s="701">
        <v>4607</v>
      </c>
      <c r="H392" s="700">
        <f t="shared" ref="H392:H397" si="113">7503-G392</f>
        <v>2896</v>
      </c>
      <c r="I392" s="700">
        <f t="shared" ref="I392:I397" si="114">+F392/G392*H392</f>
        <v>11.314955502496202</v>
      </c>
      <c r="J392" s="700">
        <f t="shared" ref="J392:J397" si="115">+F392+I392</f>
        <v>29.314955502496204</v>
      </c>
      <c r="K392" s="702">
        <v>0.3</v>
      </c>
      <c r="L392" s="700">
        <f t="shared" ref="L392:L397" si="116">+J392*K392+J392</f>
        <v>38.109442153245062</v>
      </c>
      <c r="M392" s="703">
        <v>110</v>
      </c>
      <c r="N392" s="532"/>
      <c r="O392" s="361"/>
      <c r="P392" s="169" t="s">
        <v>1100</v>
      </c>
      <c r="Q392" s="838">
        <v>45359</v>
      </c>
      <c r="R392" s="580">
        <f>+M392*30000</f>
        <v>3300000</v>
      </c>
    </row>
    <row r="393" spans="1:20" s="169" customFormat="1" ht="15.75" x14ac:dyDescent="0.25">
      <c r="A393" s="892" t="s">
        <v>1022</v>
      </c>
      <c r="B393" s="169" t="s">
        <v>1022</v>
      </c>
      <c r="C393" s="169">
        <v>171</v>
      </c>
      <c r="D393" s="169">
        <v>46</v>
      </c>
      <c r="E393" s="169" t="s">
        <v>1023</v>
      </c>
      <c r="F393" s="180">
        <v>18</v>
      </c>
      <c r="G393" s="499">
        <v>4607</v>
      </c>
      <c r="H393" s="180">
        <f t="shared" si="113"/>
        <v>2896</v>
      </c>
      <c r="I393" s="180">
        <f t="shared" si="114"/>
        <v>11.314955502496202</v>
      </c>
      <c r="J393" s="180">
        <f t="shared" si="115"/>
        <v>29.314955502496204</v>
      </c>
      <c r="K393" s="345">
        <v>0.3</v>
      </c>
      <c r="L393" s="180">
        <f t="shared" si="116"/>
        <v>38.109442153245062</v>
      </c>
      <c r="M393" s="170">
        <v>90</v>
      </c>
      <c r="N393" s="532"/>
      <c r="O393" s="361"/>
      <c r="Q393" s="838"/>
      <c r="R393" s="580"/>
    </row>
    <row r="394" spans="1:20" s="169" customFormat="1" ht="15.75" hidden="1" x14ac:dyDescent="0.25">
      <c r="A394" s="892" t="s">
        <v>1008</v>
      </c>
      <c r="B394" s="169" t="s">
        <v>1008</v>
      </c>
      <c r="C394" s="169">
        <v>172</v>
      </c>
      <c r="D394" s="169">
        <v>36</v>
      </c>
      <c r="E394" s="699" t="s">
        <v>1024</v>
      </c>
      <c r="F394" s="700">
        <v>15</v>
      </c>
      <c r="G394" s="701">
        <v>4607</v>
      </c>
      <c r="H394" s="700">
        <f t="shared" si="113"/>
        <v>2896</v>
      </c>
      <c r="I394" s="700">
        <f t="shared" si="114"/>
        <v>9.4291295854135004</v>
      </c>
      <c r="J394" s="700">
        <f t="shared" si="115"/>
        <v>24.429129585413499</v>
      </c>
      <c r="K394" s="702">
        <v>0.3</v>
      </c>
      <c r="L394" s="700">
        <f t="shared" si="116"/>
        <v>31.757868461037546</v>
      </c>
      <c r="M394" s="703">
        <v>125</v>
      </c>
      <c r="N394" s="532"/>
      <c r="O394" s="361"/>
      <c r="P394" s="169" t="s">
        <v>12</v>
      </c>
      <c r="Q394" s="838">
        <v>45418</v>
      </c>
      <c r="R394" s="580">
        <f>+M394*14.5</f>
        <v>1812.5</v>
      </c>
    </row>
    <row r="395" spans="1:20" s="395" customFormat="1" ht="15.75" x14ac:dyDescent="0.25">
      <c r="A395" s="169" t="s">
        <v>1007</v>
      </c>
      <c r="B395" s="169" t="s">
        <v>1039</v>
      </c>
      <c r="C395" s="169">
        <v>173</v>
      </c>
      <c r="D395" s="169">
        <v>44</v>
      </c>
      <c r="E395" s="169" t="s">
        <v>1040</v>
      </c>
      <c r="F395" s="180">
        <v>38</v>
      </c>
      <c r="G395" s="499">
        <v>4607</v>
      </c>
      <c r="H395" s="180">
        <f t="shared" si="113"/>
        <v>2896</v>
      </c>
      <c r="I395" s="180">
        <f t="shared" si="114"/>
        <v>23.887128283047538</v>
      </c>
      <c r="J395" s="180">
        <f t="shared" si="115"/>
        <v>61.887128283047538</v>
      </c>
      <c r="K395" s="345">
        <v>0.3</v>
      </c>
      <c r="L395" s="180">
        <f t="shared" si="116"/>
        <v>80.453266767961793</v>
      </c>
      <c r="M395" s="170">
        <v>110</v>
      </c>
      <c r="N395" s="532"/>
      <c r="O395" s="361"/>
      <c r="P395" s="169"/>
      <c r="Q395" s="838"/>
      <c r="R395" s="580"/>
      <c r="S395" s="169"/>
      <c r="T395" s="169"/>
    </row>
    <row r="396" spans="1:20" s="395" customFormat="1" ht="15.75" x14ac:dyDescent="0.25">
      <c r="A396" s="169" t="s">
        <v>1007</v>
      </c>
      <c r="B396" s="169" t="s">
        <v>1039</v>
      </c>
      <c r="C396" s="169">
        <v>174</v>
      </c>
      <c r="D396" s="169">
        <v>46</v>
      </c>
      <c r="E396" s="169" t="s">
        <v>1040</v>
      </c>
      <c r="F396" s="180">
        <v>38</v>
      </c>
      <c r="G396" s="499">
        <v>4607</v>
      </c>
      <c r="H396" s="180">
        <f t="shared" si="113"/>
        <v>2896</v>
      </c>
      <c r="I396" s="180">
        <f t="shared" si="114"/>
        <v>23.887128283047538</v>
      </c>
      <c r="J396" s="180">
        <f t="shared" si="115"/>
        <v>61.887128283047538</v>
      </c>
      <c r="K396" s="345">
        <v>0.3</v>
      </c>
      <c r="L396" s="180">
        <f t="shared" si="116"/>
        <v>80.453266767961793</v>
      </c>
      <c r="M396" s="170">
        <v>110</v>
      </c>
      <c r="N396" s="532"/>
      <c r="O396" s="361"/>
      <c r="P396" s="169"/>
      <c r="Q396" s="838"/>
      <c r="R396" s="580"/>
      <c r="S396" s="169"/>
      <c r="T396" s="169"/>
    </row>
    <row r="397" spans="1:20" s="395" customFormat="1" ht="15.75" x14ac:dyDescent="0.25">
      <c r="A397" s="169" t="s">
        <v>1007</v>
      </c>
      <c r="B397" s="169" t="s">
        <v>1039</v>
      </c>
      <c r="C397" s="169">
        <v>175</v>
      </c>
      <c r="D397" s="169">
        <v>50</v>
      </c>
      <c r="E397" s="169" t="s">
        <v>1040</v>
      </c>
      <c r="F397" s="180">
        <v>38</v>
      </c>
      <c r="G397" s="499">
        <v>4607</v>
      </c>
      <c r="H397" s="180">
        <f t="shared" si="113"/>
        <v>2896</v>
      </c>
      <c r="I397" s="180">
        <f t="shared" si="114"/>
        <v>23.887128283047538</v>
      </c>
      <c r="J397" s="180">
        <f t="shared" si="115"/>
        <v>61.887128283047538</v>
      </c>
      <c r="K397" s="345">
        <v>0.3</v>
      </c>
      <c r="L397" s="180">
        <f t="shared" si="116"/>
        <v>80.453266767961793</v>
      </c>
      <c r="M397" s="170">
        <v>110</v>
      </c>
      <c r="N397" s="532"/>
      <c r="O397" s="361"/>
      <c r="P397" s="169"/>
      <c r="Q397" s="838"/>
      <c r="R397" s="580"/>
      <c r="S397" s="169"/>
      <c r="T397" s="169"/>
    </row>
    <row r="398" spans="1:20" s="337" customFormat="1" ht="15.75" x14ac:dyDescent="0.25">
      <c r="A398" s="169"/>
      <c r="B398" s="331"/>
      <c r="E398" s="549" t="s">
        <v>1198</v>
      </c>
      <c r="F398" s="338"/>
      <c r="G398" s="339"/>
      <c r="H398" s="338"/>
      <c r="I398" s="338"/>
      <c r="J398" s="338"/>
      <c r="K398" s="340"/>
      <c r="L398" s="338"/>
      <c r="M398" s="341"/>
      <c r="N398" s="675"/>
      <c r="O398" s="169"/>
      <c r="P398" s="169"/>
      <c r="Q398" s="835"/>
      <c r="R398" s="580"/>
    </row>
    <row r="399" spans="1:20" s="337" customFormat="1" ht="15.75" x14ac:dyDescent="0.25">
      <c r="A399" s="169" t="s">
        <v>763</v>
      </c>
      <c r="B399" s="331" t="s">
        <v>1203</v>
      </c>
      <c r="C399" s="337">
        <v>176</v>
      </c>
      <c r="D399" s="337">
        <v>38</v>
      </c>
      <c r="E399" s="337" t="s">
        <v>1156</v>
      </c>
      <c r="F399" s="338">
        <v>27</v>
      </c>
      <c r="G399" s="339">
        <v>8267</v>
      </c>
      <c r="H399" s="338">
        <v>7400</v>
      </c>
      <c r="I399" s="338">
        <f t="shared" ref="I399:I413" si="117">+F399/G399*H399</f>
        <v>24.168380307245677</v>
      </c>
      <c r="J399" s="338">
        <f t="shared" ref="J399:J413" si="118">+F399+I399</f>
        <v>51.168380307245677</v>
      </c>
      <c r="K399" s="340">
        <v>0.3</v>
      </c>
      <c r="L399" s="338">
        <f t="shared" ref="L399:L413" si="119">+J399*1.3</f>
        <v>66.518894399419381</v>
      </c>
      <c r="M399" s="341">
        <v>110</v>
      </c>
      <c r="N399" s="675"/>
      <c r="O399" s="361"/>
      <c r="P399" s="169"/>
      <c r="Q399" s="835"/>
      <c r="R399" s="580"/>
    </row>
    <row r="400" spans="1:20" s="337" customFormat="1" ht="15.75" x14ac:dyDescent="0.25">
      <c r="A400" s="169" t="s">
        <v>763</v>
      </c>
      <c r="B400" s="331" t="s">
        <v>1203</v>
      </c>
      <c r="C400" s="337">
        <v>177</v>
      </c>
      <c r="D400" s="337">
        <v>40</v>
      </c>
      <c r="E400" s="337" t="s">
        <v>1156</v>
      </c>
      <c r="F400" s="338">
        <v>27</v>
      </c>
      <c r="G400" s="339">
        <v>8267</v>
      </c>
      <c r="H400" s="338">
        <v>7400</v>
      </c>
      <c r="I400" s="338">
        <f t="shared" si="117"/>
        <v>24.168380307245677</v>
      </c>
      <c r="J400" s="338">
        <f t="shared" si="118"/>
        <v>51.168380307245677</v>
      </c>
      <c r="K400" s="340">
        <v>0.3</v>
      </c>
      <c r="L400" s="338">
        <f t="shared" si="119"/>
        <v>66.518894399419381</v>
      </c>
      <c r="M400" s="341">
        <v>110</v>
      </c>
      <c r="N400" s="675"/>
      <c r="O400" s="361"/>
      <c r="P400" s="169"/>
      <c r="Q400" s="835"/>
      <c r="R400" s="580"/>
    </row>
    <row r="401" spans="1:18" s="337" customFormat="1" ht="15.75" hidden="1" x14ac:dyDescent="0.25">
      <c r="A401" s="169" t="s">
        <v>763</v>
      </c>
      <c r="B401" s="331" t="s">
        <v>1203</v>
      </c>
      <c r="C401" s="337">
        <v>178</v>
      </c>
      <c r="D401" s="337">
        <v>42</v>
      </c>
      <c r="E401" s="704" t="s">
        <v>1156</v>
      </c>
      <c r="F401" s="695">
        <v>27</v>
      </c>
      <c r="G401" s="705">
        <v>8267</v>
      </c>
      <c r="H401" s="695">
        <v>7400</v>
      </c>
      <c r="I401" s="695">
        <f t="shared" si="117"/>
        <v>24.168380307245677</v>
      </c>
      <c r="J401" s="695">
        <f t="shared" si="118"/>
        <v>51.168380307245677</v>
      </c>
      <c r="K401" s="706">
        <v>0.3</v>
      </c>
      <c r="L401" s="695">
        <f t="shared" si="119"/>
        <v>66.518894399419381</v>
      </c>
      <c r="M401" s="707">
        <v>110</v>
      </c>
      <c r="N401" s="675"/>
      <c r="O401" s="361"/>
      <c r="P401" s="169" t="s">
        <v>1100</v>
      </c>
      <c r="Q401" s="835">
        <v>45359</v>
      </c>
      <c r="R401" s="580">
        <f>+M401*30000</f>
        <v>3300000</v>
      </c>
    </row>
    <row r="402" spans="1:18" s="337" customFormat="1" ht="15.75" x14ac:dyDescent="0.25">
      <c r="A402" s="169" t="s">
        <v>763</v>
      </c>
      <c r="B402" s="331" t="s">
        <v>1203</v>
      </c>
      <c r="C402" s="337">
        <v>179</v>
      </c>
      <c r="D402" s="337">
        <v>42</v>
      </c>
      <c r="E402" s="337" t="s">
        <v>1157</v>
      </c>
      <c r="F402" s="338">
        <v>29</v>
      </c>
      <c r="G402" s="339">
        <v>8267</v>
      </c>
      <c r="H402" s="338">
        <v>7400</v>
      </c>
      <c r="I402" s="338">
        <f t="shared" si="117"/>
        <v>25.958630700374986</v>
      </c>
      <c r="J402" s="338">
        <f t="shared" si="118"/>
        <v>54.958630700374982</v>
      </c>
      <c r="K402" s="340">
        <v>0.3</v>
      </c>
      <c r="L402" s="338">
        <f t="shared" si="119"/>
        <v>71.446219910487486</v>
      </c>
      <c r="M402" s="341">
        <v>110</v>
      </c>
      <c r="N402" s="675"/>
      <c r="O402" s="361"/>
      <c r="P402" s="169"/>
      <c r="Q402" s="835"/>
      <c r="R402" s="580"/>
    </row>
    <row r="403" spans="1:18" s="337" customFormat="1" ht="15.75" x14ac:dyDescent="0.25">
      <c r="A403" s="169" t="s">
        <v>763</v>
      </c>
      <c r="B403" s="331" t="s">
        <v>1203</v>
      </c>
      <c r="C403" s="337">
        <v>180</v>
      </c>
      <c r="D403" s="337">
        <v>48</v>
      </c>
      <c r="E403" s="337" t="s">
        <v>1157</v>
      </c>
      <c r="F403" s="338">
        <v>29</v>
      </c>
      <c r="G403" s="339">
        <v>8267</v>
      </c>
      <c r="H403" s="338">
        <v>7400</v>
      </c>
      <c r="I403" s="338">
        <f t="shared" si="117"/>
        <v>25.958630700374986</v>
      </c>
      <c r="J403" s="338">
        <f t="shared" si="118"/>
        <v>54.958630700374982</v>
      </c>
      <c r="K403" s="340">
        <v>0.3</v>
      </c>
      <c r="L403" s="338">
        <f t="shared" si="119"/>
        <v>71.446219910487486</v>
      </c>
      <c r="M403" s="341">
        <v>110</v>
      </c>
      <c r="N403" s="675"/>
      <c r="O403" s="361"/>
      <c r="P403" s="169"/>
      <c r="Q403" s="835"/>
      <c r="R403" s="580"/>
    </row>
    <row r="404" spans="1:18" s="337" customFormat="1" ht="15.75" hidden="1" x14ac:dyDescent="0.25">
      <c r="A404" s="892" t="s">
        <v>763</v>
      </c>
      <c r="B404" s="331" t="s">
        <v>1204</v>
      </c>
      <c r="C404" s="337">
        <v>181</v>
      </c>
      <c r="D404" s="337">
        <v>36</v>
      </c>
      <c r="E404" s="704" t="s">
        <v>1205</v>
      </c>
      <c r="F404" s="695">
        <v>26</v>
      </c>
      <c r="G404" s="705">
        <v>8267</v>
      </c>
      <c r="H404" s="695">
        <v>7400</v>
      </c>
      <c r="I404" s="695">
        <f t="shared" si="117"/>
        <v>23.273255110681021</v>
      </c>
      <c r="J404" s="695">
        <f t="shared" si="118"/>
        <v>49.273255110681021</v>
      </c>
      <c r="K404" s="706">
        <v>0.3</v>
      </c>
      <c r="L404" s="695">
        <f t="shared" si="119"/>
        <v>64.055231643885335</v>
      </c>
      <c r="M404" s="707">
        <v>110</v>
      </c>
      <c r="N404" s="675">
        <v>70</v>
      </c>
      <c r="O404" s="361"/>
      <c r="P404" s="169" t="s">
        <v>1873</v>
      </c>
      <c r="Q404" s="835">
        <v>45401</v>
      </c>
      <c r="R404" s="580">
        <f>+N404*36000</f>
        <v>2520000</v>
      </c>
    </row>
    <row r="405" spans="1:18" s="337" customFormat="1" ht="15.75" hidden="1" x14ac:dyDescent="0.25">
      <c r="A405" s="169" t="s">
        <v>763</v>
      </c>
      <c r="B405" s="331" t="s">
        <v>1204</v>
      </c>
      <c r="C405" s="337">
        <v>182</v>
      </c>
      <c r="D405" s="337">
        <v>38</v>
      </c>
      <c r="E405" s="704" t="s">
        <v>1205</v>
      </c>
      <c r="F405" s="695">
        <v>26</v>
      </c>
      <c r="G405" s="705">
        <v>8267</v>
      </c>
      <c r="H405" s="695">
        <v>7400</v>
      </c>
      <c r="I405" s="695">
        <f t="shared" si="117"/>
        <v>23.273255110681021</v>
      </c>
      <c r="J405" s="695">
        <f t="shared" si="118"/>
        <v>49.273255110681021</v>
      </c>
      <c r="K405" s="706">
        <v>0.3</v>
      </c>
      <c r="L405" s="695">
        <f t="shared" si="119"/>
        <v>64.055231643885335</v>
      </c>
      <c r="M405" s="707">
        <v>110</v>
      </c>
      <c r="N405" s="675">
        <v>70</v>
      </c>
      <c r="O405" s="361"/>
      <c r="P405" s="169" t="s">
        <v>1873</v>
      </c>
      <c r="Q405" s="835">
        <v>45325</v>
      </c>
      <c r="R405" s="580">
        <f>+N405*8000</f>
        <v>560000</v>
      </c>
    </row>
    <row r="406" spans="1:18" s="337" customFormat="1" ht="15.75" hidden="1" x14ac:dyDescent="0.25">
      <c r="A406" s="169" t="s">
        <v>364</v>
      </c>
      <c r="B406" s="331" t="s">
        <v>1200</v>
      </c>
      <c r="C406" s="337">
        <v>183</v>
      </c>
      <c r="D406" s="337">
        <v>46</v>
      </c>
      <c r="E406" s="704" t="s">
        <v>1158</v>
      </c>
      <c r="F406" s="695">
        <v>29</v>
      </c>
      <c r="G406" s="705">
        <v>8267</v>
      </c>
      <c r="H406" s="695">
        <v>7400</v>
      </c>
      <c r="I406" s="695">
        <f t="shared" si="117"/>
        <v>25.958630700374986</v>
      </c>
      <c r="J406" s="695">
        <f t="shared" si="118"/>
        <v>54.958630700374982</v>
      </c>
      <c r="K406" s="706">
        <v>0.3</v>
      </c>
      <c r="L406" s="695">
        <f t="shared" si="119"/>
        <v>71.446219910487486</v>
      </c>
      <c r="M406" s="707">
        <v>90</v>
      </c>
      <c r="N406" s="675">
        <v>65</v>
      </c>
      <c r="O406" s="361"/>
      <c r="P406" s="169" t="s">
        <v>1873</v>
      </c>
      <c r="Q406" s="835">
        <v>45461</v>
      </c>
      <c r="R406" s="580">
        <f>+N406*14.5</f>
        <v>942.5</v>
      </c>
    </row>
    <row r="407" spans="1:18" s="337" customFormat="1" ht="15.75" x14ac:dyDescent="0.25">
      <c r="A407" s="892" t="s">
        <v>364</v>
      </c>
      <c r="B407" s="331" t="s">
        <v>1200</v>
      </c>
      <c r="C407" s="337">
        <v>184</v>
      </c>
      <c r="D407" s="337">
        <v>50</v>
      </c>
      <c r="E407" s="337" t="s">
        <v>1158</v>
      </c>
      <c r="F407" s="338">
        <v>29</v>
      </c>
      <c r="G407" s="339">
        <v>8267</v>
      </c>
      <c r="H407" s="338">
        <v>7400</v>
      </c>
      <c r="I407" s="338">
        <f t="shared" si="117"/>
        <v>25.958630700374986</v>
      </c>
      <c r="J407" s="338">
        <f t="shared" si="118"/>
        <v>54.958630700374982</v>
      </c>
      <c r="K407" s="340">
        <v>0.3</v>
      </c>
      <c r="L407" s="338">
        <f t="shared" si="119"/>
        <v>71.446219910487486</v>
      </c>
      <c r="M407" s="341">
        <v>90</v>
      </c>
      <c r="N407" s="675"/>
      <c r="O407" s="361"/>
      <c r="P407" s="169"/>
      <c r="Q407" s="835"/>
      <c r="R407" s="580"/>
    </row>
    <row r="408" spans="1:18" s="337" customFormat="1" ht="15.75" x14ac:dyDescent="0.25">
      <c r="A408" s="169" t="s">
        <v>884</v>
      </c>
      <c r="B408" s="169" t="s">
        <v>884</v>
      </c>
      <c r="C408" s="337">
        <v>185</v>
      </c>
      <c r="D408" s="337">
        <v>46</v>
      </c>
      <c r="E408" s="337" t="s">
        <v>1159</v>
      </c>
      <c r="F408" s="338">
        <v>26</v>
      </c>
      <c r="G408" s="339">
        <v>8267</v>
      </c>
      <c r="H408" s="338">
        <v>7400</v>
      </c>
      <c r="I408" s="338">
        <f t="shared" si="117"/>
        <v>23.273255110681021</v>
      </c>
      <c r="J408" s="338">
        <f t="shared" si="118"/>
        <v>49.273255110681021</v>
      </c>
      <c r="K408" s="340">
        <v>0.3</v>
      </c>
      <c r="L408" s="338">
        <f t="shared" si="119"/>
        <v>64.055231643885335</v>
      </c>
      <c r="M408" s="341">
        <v>90</v>
      </c>
      <c r="N408" s="675"/>
      <c r="O408" s="361"/>
      <c r="P408" s="169"/>
      <c r="Q408" s="835"/>
      <c r="R408" s="580"/>
    </row>
    <row r="409" spans="1:18" s="337" customFormat="1" ht="15.75" x14ac:dyDescent="0.25">
      <c r="A409" s="169" t="s">
        <v>884</v>
      </c>
      <c r="B409" s="169" t="s">
        <v>884</v>
      </c>
      <c r="C409" s="337">
        <v>186</v>
      </c>
      <c r="D409" s="337">
        <v>48</v>
      </c>
      <c r="E409" s="337" t="s">
        <v>1159</v>
      </c>
      <c r="F409" s="338">
        <v>26</v>
      </c>
      <c r="G409" s="339">
        <v>8267</v>
      </c>
      <c r="H409" s="338">
        <v>7400</v>
      </c>
      <c r="I409" s="338">
        <f t="shared" si="117"/>
        <v>23.273255110681021</v>
      </c>
      <c r="J409" s="338">
        <f t="shared" si="118"/>
        <v>49.273255110681021</v>
      </c>
      <c r="K409" s="340">
        <v>0.3</v>
      </c>
      <c r="L409" s="338">
        <f t="shared" si="119"/>
        <v>64.055231643885335</v>
      </c>
      <c r="M409" s="341">
        <v>90</v>
      </c>
      <c r="N409" s="675"/>
      <c r="O409" s="361"/>
      <c r="P409" s="169"/>
      <c r="Q409" s="835"/>
      <c r="R409" s="580"/>
    </row>
    <row r="410" spans="1:18" s="337" customFormat="1" ht="15.75" hidden="1" x14ac:dyDescent="0.25">
      <c r="A410" s="169" t="s">
        <v>884</v>
      </c>
      <c r="B410" s="169" t="s">
        <v>884</v>
      </c>
      <c r="C410" s="337">
        <v>187</v>
      </c>
      <c r="D410" s="337">
        <v>50</v>
      </c>
      <c r="E410" s="704" t="s">
        <v>1159</v>
      </c>
      <c r="F410" s="695">
        <v>26</v>
      </c>
      <c r="G410" s="705">
        <v>8267</v>
      </c>
      <c r="H410" s="695">
        <v>7400</v>
      </c>
      <c r="I410" s="695">
        <f t="shared" si="117"/>
        <v>23.273255110681021</v>
      </c>
      <c r="J410" s="695">
        <f t="shared" si="118"/>
        <v>49.273255110681021</v>
      </c>
      <c r="K410" s="706">
        <v>0.3</v>
      </c>
      <c r="L410" s="695">
        <f t="shared" si="119"/>
        <v>64.055231643885335</v>
      </c>
      <c r="M410" s="707">
        <v>90</v>
      </c>
      <c r="N410" s="675">
        <v>70</v>
      </c>
      <c r="O410" s="361"/>
      <c r="P410" s="169" t="s">
        <v>12</v>
      </c>
      <c r="Q410" s="835">
        <v>45353</v>
      </c>
      <c r="R410" s="580">
        <f>+N410*15000</f>
        <v>1050000</v>
      </c>
    </row>
    <row r="411" spans="1:18" s="337" customFormat="1" ht="15.75" hidden="1" x14ac:dyDescent="0.25">
      <c r="A411" s="169" t="s">
        <v>675</v>
      </c>
      <c r="B411" s="169" t="s">
        <v>675</v>
      </c>
      <c r="C411" s="337">
        <v>188</v>
      </c>
      <c r="D411" s="337">
        <v>44</v>
      </c>
      <c r="E411" s="704" t="s">
        <v>1161</v>
      </c>
      <c r="F411" s="695">
        <v>56</v>
      </c>
      <c r="G411" s="705">
        <v>8267</v>
      </c>
      <c r="H411" s="695">
        <v>7400</v>
      </c>
      <c r="I411" s="695">
        <f t="shared" si="117"/>
        <v>50.127011007620659</v>
      </c>
      <c r="J411" s="695">
        <f t="shared" si="118"/>
        <v>106.12701100762067</v>
      </c>
      <c r="K411" s="706">
        <v>0.3</v>
      </c>
      <c r="L411" s="695">
        <f t="shared" si="119"/>
        <v>137.96511430990688</v>
      </c>
      <c r="M411" s="707">
        <v>150</v>
      </c>
      <c r="N411" s="675"/>
      <c r="O411" s="361"/>
      <c r="P411" s="169" t="s">
        <v>12</v>
      </c>
      <c r="Q411" s="835">
        <v>45385</v>
      </c>
      <c r="R411" s="580">
        <f>+M411*35000</f>
        <v>5250000</v>
      </c>
    </row>
    <row r="412" spans="1:18" s="337" customFormat="1" ht="15.75" hidden="1" x14ac:dyDescent="0.25">
      <c r="A412" s="169" t="s">
        <v>675</v>
      </c>
      <c r="B412" s="169" t="s">
        <v>675</v>
      </c>
      <c r="C412" s="337">
        <v>189</v>
      </c>
      <c r="D412" s="337">
        <v>46</v>
      </c>
      <c r="E412" s="704" t="s">
        <v>1161</v>
      </c>
      <c r="F412" s="695">
        <v>56</v>
      </c>
      <c r="G412" s="705">
        <v>8267</v>
      </c>
      <c r="H412" s="695">
        <v>7400</v>
      </c>
      <c r="I412" s="695">
        <f t="shared" si="117"/>
        <v>50.127011007620659</v>
      </c>
      <c r="J412" s="695">
        <f t="shared" si="118"/>
        <v>106.12701100762067</v>
      </c>
      <c r="K412" s="706">
        <v>0.3</v>
      </c>
      <c r="L412" s="695">
        <f t="shared" si="119"/>
        <v>137.96511430990688</v>
      </c>
      <c r="M412" s="707">
        <v>150</v>
      </c>
      <c r="N412" s="675"/>
      <c r="O412" s="361"/>
      <c r="P412" s="169" t="s">
        <v>12</v>
      </c>
      <c r="Q412" s="835">
        <v>45334</v>
      </c>
      <c r="R412" s="580">
        <f>+M412*8000</f>
        <v>1200000</v>
      </c>
    </row>
    <row r="413" spans="1:18" s="337" customFormat="1" ht="15.75" x14ac:dyDescent="0.25">
      <c r="A413" s="892" t="s">
        <v>1162</v>
      </c>
      <c r="B413" s="331" t="s">
        <v>1008</v>
      </c>
      <c r="C413" s="337">
        <v>190</v>
      </c>
      <c r="D413" s="337">
        <v>44</v>
      </c>
      <c r="E413" s="337" t="s">
        <v>1202</v>
      </c>
      <c r="F413" s="338">
        <v>18</v>
      </c>
      <c r="G413" s="339">
        <v>8267</v>
      </c>
      <c r="H413" s="338">
        <v>7400</v>
      </c>
      <c r="I413" s="338">
        <f t="shared" si="117"/>
        <v>16.112253538163785</v>
      </c>
      <c r="J413" s="338">
        <f t="shared" si="118"/>
        <v>34.112253538163785</v>
      </c>
      <c r="K413" s="340">
        <v>0.3</v>
      </c>
      <c r="L413" s="338">
        <f t="shared" si="119"/>
        <v>44.345929599612923</v>
      </c>
      <c r="M413" s="341">
        <v>90</v>
      </c>
      <c r="N413" s="675"/>
      <c r="O413" s="361"/>
      <c r="P413" s="169"/>
      <c r="Q413" s="835"/>
      <c r="R413" s="580"/>
    </row>
    <row r="414" spans="1:18" s="337" customFormat="1" ht="15.75" x14ac:dyDescent="0.25">
      <c r="A414" s="331" t="s">
        <v>1041</v>
      </c>
      <c r="B414" s="331" t="s">
        <v>1041</v>
      </c>
      <c r="C414" s="337">
        <v>191</v>
      </c>
      <c r="D414" s="337">
        <v>42</v>
      </c>
      <c r="E414" s="337" t="s">
        <v>1165</v>
      </c>
      <c r="F414" s="338">
        <v>63</v>
      </c>
      <c r="G414" s="339">
        <v>8267</v>
      </c>
      <c r="H414" s="338">
        <v>7400</v>
      </c>
      <c r="I414" s="338">
        <f t="shared" ref="I414:I418" si="120">+F414/G414*H414</f>
        <v>56.392887383573246</v>
      </c>
      <c r="J414" s="338">
        <f t="shared" ref="J414:J418" si="121">+F414+I414</f>
        <v>119.39288738357325</v>
      </c>
      <c r="K414" s="340">
        <v>0.3</v>
      </c>
      <c r="L414" s="338">
        <f t="shared" ref="L414:L418" si="122">+J414*1.3</f>
        <v>155.21075359864523</v>
      </c>
      <c r="M414" s="341">
        <v>200</v>
      </c>
      <c r="N414" s="675"/>
      <c r="O414" s="361"/>
      <c r="P414" s="169"/>
      <c r="Q414" s="835"/>
      <c r="R414" s="580"/>
    </row>
    <row r="415" spans="1:18" s="337" customFormat="1" ht="15.75" x14ac:dyDescent="0.25">
      <c r="A415" s="331" t="s">
        <v>1041</v>
      </c>
      <c r="B415" s="331" t="s">
        <v>1041</v>
      </c>
      <c r="C415" s="337">
        <v>192</v>
      </c>
      <c r="D415" s="337">
        <v>46</v>
      </c>
      <c r="E415" s="337" t="s">
        <v>1165</v>
      </c>
      <c r="F415" s="338">
        <v>63</v>
      </c>
      <c r="G415" s="339">
        <v>8267</v>
      </c>
      <c r="H415" s="338">
        <v>7400</v>
      </c>
      <c r="I415" s="338">
        <f t="shared" si="120"/>
        <v>56.392887383573246</v>
      </c>
      <c r="J415" s="338">
        <f t="shared" si="121"/>
        <v>119.39288738357325</v>
      </c>
      <c r="K415" s="340">
        <v>0.3</v>
      </c>
      <c r="L415" s="338">
        <f t="shared" si="122"/>
        <v>155.21075359864523</v>
      </c>
      <c r="M415" s="341">
        <v>200</v>
      </c>
      <c r="N415" s="675"/>
      <c r="O415" s="361"/>
      <c r="P415" s="169"/>
      <c r="Q415" s="835"/>
      <c r="R415" s="580"/>
    </row>
    <row r="416" spans="1:18" s="337" customFormat="1" ht="15.75" x14ac:dyDescent="0.25">
      <c r="A416" s="331" t="s">
        <v>1041</v>
      </c>
      <c r="B416" s="331" t="s">
        <v>1041</v>
      </c>
      <c r="C416" s="337">
        <v>193</v>
      </c>
      <c r="D416" s="337">
        <v>48</v>
      </c>
      <c r="E416" s="337" t="s">
        <v>1165</v>
      </c>
      <c r="F416" s="338">
        <v>63</v>
      </c>
      <c r="G416" s="339">
        <v>8267</v>
      </c>
      <c r="H416" s="338">
        <v>7400</v>
      </c>
      <c r="I416" s="338">
        <f t="shared" si="120"/>
        <v>56.392887383573246</v>
      </c>
      <c r="J416" s="338">
        <f t="shared" si="121"/>
        <v>119.39288738357325</v>
      </c>
      <c r="K416" s="340">
        <v>0.3</v>
      </c>
      <c r="L416" s="338">
        <f t="shared" si="122"/>
        <v>155.21075359864523</v>
      </c>
      <c r="M416" s="341">
        <v>200</v>
      </c>
      <c r="N416" s="675"/>
      <c r="O416" s="361"/>
      <c r="P416" s="169"/>
      <c r="Q416" s="835"/>
      <c r="R416" s="580"/>
    </row>
    <row r="417" spans="1:20" s="337" customFormat="1" ht="15.75" x14ac:dyDescent="0.25">
      <c r="A417" s="892" t="s">
        <v>224</v>
      </c>
      <c r="B417" s="331" t="s">
        <v>1168</v>
      </c>
      <c r="C417" s="337">
        <v>194</v>
      </c>
      <c r="D417" s="337">
        <v>48</v>
      </c>
      <c r="E417" s="337" t="s">
        <v>1169</v>
      </c>
      <c r="F417" s="338">
        <v>19</v>
      </c>
      <c r="G417" s="339">
        <v>8267</v>
      </c>
      <c r="H417" s="338">
        <v>7400</v>
      </c>
      <c r="I417" s="338">
        <f t="shared" si="120"/>
        <v>17.007378734728441</v>
      </c>
      <c r="J417" s="338">
        <f t="shared" si="121"/>
        <v>36.007378734728441</v>
      </c>
      <c r="K417" s="340">
        <v>0.3</v>
      </c>
      <c r="L417" s="338">
        <f t="shared" si="122"/>
        <v>46.809592355146975</v>
      </c>
      <c r="M417" s="341">
        <v>75</v>
      </c>
      <c r="N417" s="675"/>
      <c r="O417" s="361"/>
      <c r="P417" s="169"/>
      <c r="Q417" s="835"/>
      <c r="R417" s="580"/>
    </row>
    <row r="418" spans="1:20" s="632" customFormat="1" ht="15.75" x14ac:dyDescent="0.25">
      <c r="A418" s="169" t="s">
        <v>259</v>
      </c>
      <c r="B418" s="632" t="s">
        <v>223</v>
      </c>
      <c r="D418" s="632">
        <v>48</v>
      </c>
      <c r="E418" s="632" t="s">
        <v>1173</v>
      </c>
      <c r="F418" s="660">
        <v>35</v>
      </c>
      <c r="G418" s="673">
        <v>8267</v>
      </c>
      <c r="H418" s="660">
        <v>7400</v>
      </c>
      <c r="I418" s="660">
        <f t="shared" si="120"/>
        <v>31.329381879762913</v>
      </c>
      <c r="J418" s="660">
        <f t="shared" si="121"/>
        <v>66.329381879762906</v>
      </c>
      <c r="K418" s="674">
        <v>0.3</v>
      </c>
      <c r="L418" s="660">
        <f t="shared" si="122"/>
        <v>86.228196443691786</v>
      </c>
      <c r="M418" s="675">
        <v>125</v>
      </c>
      <c r="N418" s="675"/>
      <c r="O418" s="365"/>
      <c r="P418" s="365"/>
      <c r="Q418" s="842"/>
      <c r="R418" s="919"/>
    </row>
    <row r="419" spans="1:20" s="337" customFormat="1" ht="15.75" hidden="1" x14ac:dyDescent="0.25">
      <c r="A419" s="169" t="s">
        <v>259</v>
      </c>
      <c r="B419" s="337" t="s">
        <v>223</v>
      </c>
      <c r="C419" s="337">
        <v>195</v>
      </c>
      <c r="D419" s="337">
        <v>54</v>
      </c>
      <c r="E419" s="704" t="s">
        <v>1174</v>
      </c>
      <c r="F419" s="695">
        <v>36</v>
      </c>
      <c r="G419" s="705">
        <v>8267</v>
      </c>
      <c r="H419" s="695">
        <v>7400</v>
      </c>
      <c r="I419" s="695">
        <f t="shared" ref="I419:I430" si="123">+F419/G419*H419</f>
        <v>32.224507076327569</v>
      </c>
      <c r="J419" s="695">
        <f t="shared" ref="J419:J430" si="124">+F419+I419</f>
        <v>68.224507076327569</v>
      </c>
      <c r="K419" s="706">
        <v>0.3</v>
      </c>
      <c r="L419" s="695">
        <f t="shared" ref="L419:L430" si="125">+J419*1.3</f>
        <v>88.691859199225846</v>
      </c>
      <c r="M419" s="707">
        <v>125</v>
      </c>
      <c r="N419" s="675"/>
      <c r="O419" s="361"/>
      <c r="P419" s="169" t="s">
        <v>1895</v>
      </c>
      <c r="Q419" s="835">
        <v>45314</v>
      </c>
      <c r="R419" s="580">
        <f>+M419*7000</f>
        <v>875000</v>
      </c>
    </row>
    <row r="420" spans="1:20" s="178" customFormat="1" ht="15.75" x14ac:dyDescent="0.25">
      <c r="A420" s="892" t="s">
        <v>259</v>
      </c>
      <c r="B420" s="331" t="s">
        <v>173</v>
      </c>
      <c r="C420" s="337">
        <v>196</v>
      </c>
      <c r="D420" s="337">
        <v>56</v>
      </c>
      <c r="E420" s="337" t="s">
        <v>1175</v>
      </c>
      <c r="F420" s="338">
        <v>55</v>
      </c>
      <c r="G420" s="339">
        <v>8267</v>
      </c>
      <c r="H420" s="338">
        <v>7400</v>
      </c>
      <c r="I420" s="338">
        <f t="shared" si="123"/>
        <v>49.231885811056003</v>
      </c>
      <c r="J420" s="338">
        <f t="shared" si="124"/>
        <v>104.231885811056</v>
      </c>
      <c r="K420" s="340">
        <v>0.3</v>
      </c>
      <c r="L420" s="338">
        <f t="shared" si="125"/>
        <v>135.50145155437281</v>
      </c>
      <c r="M420" s="341">
        <v>150</v>
      </c>
      <c r="N420" s="675"/>
      <c r="O420" s="361"/>
      <c r="P420" s="169" t="s">
        <v>1376</v>
      </c>
      <c r="Q420" s="835">
        <v>45080</v>
      </c>
      <c r="R420" s="580">
        <f>+M420*2000</f>
        <v>300000</v>
      </c>
      <c r="S420" s="337"/>
      <c r="T420" s="337"/>
    </row>
    <row r="421" spans="1:20" s="178" customFormat="1" ht="15.75" x14ac:dyDescent="0.25">
      <c r="A421" s="169" t="s">
        <v>259</v>
      </c>
      <c r="B421" s="331" t="s">
        <v>785</v>
      </c>
      <c r="C421" s="337">
        <v>197</v>
      </c>
      <c r="D421" s="337">
        <v>42</v>
      </c>
      <c r="E421" s="337" t="s">
        <v>1176</v>
      </c>
      <c r="F421" s="338">
        <v>30</v>
      </c>
      <c r="G421" s="339">
        <v>8267</v>
      </c>
      <c r="H421" s="338">
        <v>7400</v>
      </c>
      <c r="I421" s="338">
        <f t="shared" si="123"/>
        <v>26.853755896939639</v>
      </c>
      <c r="J421" s="338">
        <f t="shared" si="124"/>
        <v>56.853755896939639</v>
      </c>
      <c r="K421" s="340">
        <v>0.3</v>
      </c>
      <c r="L421" s="338">
        <f t="shared" si="125"/>
        <v>73.909882666021531</v>
      </c>
      <c r="M421" s="341">
        <v>110</v>
      </c>
      <c r="N421" s="675"/>
      <c r="O421" s="361"/>
      <c r="P421" s="169"/>
      <c r="Q421" s="835"/>
      <c r="R421" s="580"/>
      <c r="S421" s="337"/>
      <c r="T421" s="337"/>
    </row>
    <row r="422" spans="1:20" s="178" customFormat="1" ht="15.75" x14ac:dyDescent="0.25">
      <c r="A422" s="169" t="s">
        <v>259</v>
      </c>
      <c r="B422" s="331" t="s">
        <v>785</v>
      </c>
      <c r="C422" s="337">
        <v>198</v>
      </c>
      <c r="D422" s="337">
        <v>46</v>
      </c>
      <c r="E422" s="337" t="s">
        <v>1176</v>
      </c>
      <c r="F422" s="338">
        <v>30</v>
      </c>
      <c r="G422" s="339">
        <v>8267</v>
      </c>
      <c r="H422" s="338">
        <v>7400</v>
      </c>
      <c r="I422" s="338">
        <f t="shared" si="123"/>
        <v>26.853755896939639</v>
      </c>
      <c r="J422" s="338">
        <f t="shared" si="124"/>
        <v>56.853755896939639</v>
      </c>
      <c r="K422" s="340">
        <v>0.3</v>
      </c>
      <c r="L422" s="338">
        <f t="shared" si="125"/>
        <v>73.909882666021531</v>
      </c>
      <c r="M422" s="341">
        <v>110</v>
      </c>
      <c r="N422" s="675"/>
      <c r="O422" s="361"/>
      <c r="P422" s="169"/>
      <c r="Q422" s="835"/>
      <c r="R422" s="580"/>
      <c r="S422" s="337"/>
      <c r="T422" s="337"/>
    </row>
    <row r="423" spans="1:20" s="178" customFormat="1" ht="15.75" x14ac:dyDescent="0.25">
      <c r="A423" s="169"/>
      <c r="B423" s="575" t="s">
        <v>1253</v>
      </c>
      <c r="C423" s="337"/>
      <c r="D423" s="337"/>
      <c r="E423" s="337"/>
      <c r="F423" s="338"/>
      <c r="G423" s="339"/>
      <c r="H423" s="338"/>
      <c r="I423" s="338"/>
      <c r="J423" s="338"/>
      <c r="K423" s="340"/>
      <c r="L423" s="338"/>
      <c r="M423" s="341"/>
      <c r="N423" s="675"/>
      <c r="O423" s="169"/>
      <c r="P423" s="169"/>
      <c r="Q423" s="835"/>
      <c r="R423" s="580"/>
      <c r="S423" s="337"/>
      <c r="T423" s="337"/>
    </row>
    <row r="424" spans="1:20" s="12" customFormat="1" ht="15" customHeight="1" outlineLevel="1" x14ac:dyDescent="0.25">
      <c r="A424" s="319"/>
      <c r="B424" s="319" t="s">
        <v>785</v>
      </c>
      <c r="C424" s="337">
        <v>199</v>
      </c>
      <c r="D424" s="178">
        <v>36</v>
      </c>
      <c r="E424" s="549" t="s">
        <v>1246</v>
      </c>
      <c r="F424" s="226">
        <v>31</v>
      </c>
      <c r="G424" s="227">
        <f t="shared" ref="G424:G430" si="126">+(700+612+375)*1.5</f>
        <v>2530.5</v>
      </c>
      <c r="H424" s="226">
        <v>631</v>
      </c>
      <c r="I424" s="338">
        <f t="shared" si="123"/>
        <v>7.7300928670223277</v>
      </c>
      <c r="J424" s="338">
        <f t="shared" si="124"/>
        <v>38.730092867022329</v>
      </c>
      <c r="K424" s="340">
        <v>0.4</v>
      </c>
      <c r="L424" s="338">
        <f t="shared" si="125"/>
        <v>50.349120727129026</v>
      </c>
      <c r="M424" s="175">
        <v>90</v>
      </c>
      <c r="N424" s="633"/>
      <c r="O424" s="362"/>
      <c r="P424" s="395"/>
      <c r="Q424" s="836"/>
      <c r="R424" s="914"/>
      <c r="S424" s="178"/>
      <c r="T424" s="178"/>
    </row>
    <row r="425" spans="1:20" ht="15" customHeight="1" outlineLevel="1" x14ac:dyDescent="0.25">
      <c r="A425" s="319"/>
      <c r="B425" s="319" t="s">
        <v>785</v>
      </c>
      <c r="C425" s="337">
        <v>200</v>
      </c>
      <c r="D425" s="178">
        <v>38</v>
      </c>
      <c r="E425" s="549" t="s">
        <v>1246</v>
      </c>
      <c r="F425" s="226">
        <v>31</v>
      </c>
      <c r="G425" s="227">
        <f t="shared" si="126"/>
        <v>2530.5</v>
      </c>
      <c r="H425" s="226">
        <v>631</v>
      </c>
      <c r="I425" s="338">
        <f t="shared" si="123"/>
        <v>7.7300928670223277</v>
      </c>
      <c r="J425" s="338">
        <f t="shared" si="124"/>
        <v>38.730092867022329</v>
      </c>
      <c r="K425" s="340">
        <v>0.4</v>
      </c>
      <c r="L425" s="338">
        <f t="shared" si="125"/>
        <v>50.349120727129026</v>
      </c>
      <c r="M425" s="175">
        <v>90</v>
      </c>
      <c r="N425" s="633"/>
      <c r="O425" s="362"/>
      <c r="P425" s="395"/>
      <c r="Q425" s="836"/>
      <c r="R425" s="914"/>
      <c r="S425" s="178"/>
      <c r="T425" s="178"/>
    </row>
    <row r="426" spans="1:20" ht="15" customHeight="1" outlineLevel="1" x14ac:dyDescent="0.25">
      <c r="A426" s="319"/>
      <c r="B426" s="319" t="s">
        <v>785</v>
      </c>
      <c r="C426" s="337">
        <v>201</v>
      </c>
      <c r="D426" s="178">
        <v>40</v>
      </c>
      <c r="E426" s="788" t="s">
        <v>1246</v>
      </c>
      <c r="F426" s="232">
        <v>31</v>
      </c>
      <c r="G426" s="305">
        <f t="shared" si="126"/>
        <v>2530.5</v>
      </c>
      <c r="H426" s="232">
        <v>631</v>
      </c>
      <c r="I426" s="695">
        <f t="shared" si="123"/>
        <v>7.7300928670223277</v>
      </c>
      <c r="J426" s="695">
        <f t="shared" si="124"/>
        <v>38.730092867022329</v>
      </c>
      <c r="K426" s="706">
        <v>0.4</v>
      </c>
      <c r="L426" s="695">
        <f t="shared" si="125"/>
        <v>50.349120727129026</v>
      </c>
      <c r="M426" s="698">
        <v>90</v>
      </c>
      <c r="N426" s="633"/>
      <c r="O426" s="362"/>
      <c r="P426" s="395" t="s">
        <v>12</v>
      </c>
      <c r="Q426" s="836">
        <v>45448</v>
      </c>
      <c r="R426" s="914"/>
      <c r="S426" s="178"/>
      <c r="T426" s="178"/>
    </row>
    <row r="427" spans="1:20" ht="15" customHeight="1" outlineLevel="1" x14ac:dyDescent="0.25">
      <c r="A427" s="319"/>
      <c r="B427" s="319" t="s">
        <v>785</v>
      </c>
      <c r="C427" s="337">
        <v>202</v>
      </c>
      <c r="D427" s="178">
        <v>42</v>
      </c>
      <c r="E427" s="549" t="s">
        <v>1246</v>
      </c>
      <c r="F427" s="226">
        <v>31</v>
      </c>
      <c r="G427" s="227">
        <f t="shared" si="126"/>
        <v>2530.5</v>
      </c>
      <c r="H427" s="226">
        <v>631</v>
      </c>
      <c r="I427" s="338">
        <f t="shared" si="123"/>
        <v>7.7300928670223277</v>
      </c>
      <c r="J427" s="338">
        <f t="shared" si="124"/>
        <v>38.730092867022329</v>
      </c>
      <c r="K427" s="340">
        <v>0.4</v>
      </c>
      <c r="L427" s="338">
        <f t="shared" si="125"/>
        <v>50.349120727129026</v>
      </c>
      <c r="M427" s="175">
        <v>90</v>
      </c>
      <c r="N427" s="633"/>
      <c r="O427" s="362"/>
      <c r="P427" s="395"/>
      <c r="Q427" s="836"/>
      <c r="R427" s="914"/>
      <c r="S427" s="178"/>
      <c r="T427" s="178"/>
    </row>
    <row r="428" spans="1:20" ht="15" customHeight="1" outlineLevel="1" x14ac:dyDescent="0.25">
      <c r="A428" s="319"/>
      <c r="B428" s="319" t="s">
        <v>785</v>
      </c>
      <c r="C428" s="337">
        <v>203</v>
      </c>
      <c r="D428" s="178">
        <v>38</v>
      </c>
      <c r="E428" s="549" t="s">
        <v>1247</v>
      </c>
      <c r="F428" s="226">
        <v>36</v>
      </c>
      <c r="G428" s="227">
        <f t="shared" si="126"/>
        <v>2530.5</v>
      </c>
      <c r="H428" s="226">
        <v>631</v>
      </c>
      <c r="I428" s="338">
        <f t="shared" si="123"/>
        <v>8.9768820391227031</v>
      </c>
      <c r="J428" s="338">
        <f t="shared" si="124"/>
        <v>44.9768820391227</v>
      </c>
      <c r="K428" s="340">
        <v>0.4</v>
      </c>
      <c r="L428" s="338">
        <f t="shared" si="125"/>
        <v>58.469946650859512</v>
      </c>
      <c r="M428" s="175">
        <v>110</v>
      </c>
      <c r="N428" s="633"/>
      <c r="O428" s="362"/>
      <c r="P428" s="395"/>
      <c r="Q428" s="836"/>
      <c r="R428" s="914"/>
      <c r="S428" s="178"/>
      <c r="T428" s="178"/>
    </row>
    <row r="429" spans="1:20" ht="15" customHeight="1" outlineLevel="1" x14ac:dyDescent="0.25">
      <c r="A429" s="319"/>
      <c r="B429" s="319" t="s">
        <v>785</v>
      </c>
      <c r="C429" s="337">
        <v>204</v>
      </c>
      <c r="D429" s="178">
        <v>40</v>
      </c>
      <c r="E429" s="549" t="s">
        <v>1247</v>
      </c>
      <c r="F429" s="226">
        <v>36</v>
      </c>
      <c r="G429" s="227">
        <f t="shared" si="126"/>
        <v>2530.5</v>
      </c>
      <c r="H429" s="226">
        <v>631</v>
      </c>
      <c r="I429" s="338">
        <f t="shared" si="123"/>
        <v>8.9768820391227031</v>
      </c>
      <c r="J429" s="338">
        <f t="shared" si="124"/>
        <v>44.9768820391227</v>
      </c>
      <c r="K429" s="340">
        <v>0.4</v>
      </c>
      <c r="L429" s="338">
        <f t="shared" si="125"/>
        <v>58.469946650859512</v>
      </c>
      <c r="M429" s="175">
        <v>110</v>
      </c>
      <c r="N429" s="633"/>
      <c r="O429" s="362"/>
      <c r="P429" s="395"/>
      <c r="Q429" s="836"/>
      <c r="R429" s="914"/>
      <c r="S429" s="178"/>
      <c r="T429" s="178"/>
    </row>
    <row r="430" spans="1:20" ht="15" hidden="1" customHeight="1" outlineLevel="1" x14ac:dyDescent="0.25">
      <c r="A430" s="319"/>
      <c r="B430" s="319" t="s">
        <v>785</v>
      </c>
      <c r="C430" s="337">
        <v>205</v>
      </c>
      <c r="D430" s="178">
        <v>42</v>
      </c>
      <c r="E430" s="788" t="s">
        <v>1247</v>
      </c>
      <c r="F430" s="232">
        <v>36</v>
      </c>
      <c r="G430" s="305">
        <f t="shared" si="126"/>
        <v>2530.5</v>
      </c>
      <c r="H430" s="232">
        <v>631</v>
      </c>
      <c r="I430" s="695">
        <f t="shared" si="123"/>
        <v>8.9768820391227031</v>
      </c>
      <c r="J430" s="695">
        <f t="shared" si="124"/>
        <v>44.9768820391227</v>
      </c>
      <c r="K430" s="706">
        <v>0.4</v>
      </c>
      <c r="L430" s="695">
        <f t="shared" si="125"/>
        <v>58.469946650859512</v>
      </c>
      <c r="M430" s="698">
        <v>100</v>
      </c>
      <c r="N430" s="633"/>
      <c r="O430" s="362"/>
      <c r="P430" s="395" t="s">
        <v>2499</v>
      </c>
      <c r="Q430" s="836">
        <v>45405</v>
      </c>
      <c r="R430" s="914">
        <f>+M430*36000</f>
        <v>3600000</v>
      </c>
      <c r="S430" s="178"/>
      <c r="T430" s="178"/>
    </row>
    <row r="431" spans="1:20" s="178" customFormat="1" ht="15.75" x14ac:dyDescent="0.25">
      <c r="A431" s="319"/>
      <c r="B431" s="319"/>
      <c r="C431" s="319"/>
      <c r="E431" s="549" t="s">
        <v>1364</v>
      </c>
      <c r="F431" s="549"/>
      <c r="G431" s="226"/>
      <c r="H431" s="227"/>
      <c r="I431" s="226"/>
      <c r="J431" s="174"/>
      <c r="K431" s="174"/>
      <c r="L431" s="316"/>
      <c r="M431" s="174"/>
      <c r="N431" s="663"/>
      <c r="P431" s="395"/>
      <c r="Q431" s="833"/>
      <c r="R431" s="914"/>
    </row>
    <row r="432" spans="1:20" s="178" customFormat="1" ht="15.75" x14ac:dyDescent="0.25">
      <c r="A432" s="319" t="s">
        <v>1076</v>
      </c>
      <c r="B432" s="319" t="s">
        <v>1266</v>
      </c>
      <c r="C432" s="337">
        <v>206</v>
      </c>
      <c r="D432" s="178">
        <v>38</v>
      </c>
      <c r="E432" s="337" t="s">
        <v>1267</v>
      </c>
      <c r="F432" s="227">
        <v>36</v>
      </c>
      <c r="G432" s="227">
        <v>9682</v>
      </c>
      <c r="H432" s="226">
        <v>7766</v>
      </c>
      <c r="I432" s="174">
        <f t="shared" ref="I432:I448" si="127">+F432/G432*H432</f>
        <v>28.875852096674244</v>
      </c>
      <c r="J432" s="174">
        <f t="shared" ref="J432:J448" si="128">+F432+I432</f>
        <v>64.875852096674237</v>
      </c>
      <c r="K432" s="316">
        <v>0.4</v>
      </c>
      <c r="L432" s="174">
        <f t="shared" ref="L432:L448" si="129">+J432*1.4</f>
        <v>90.826192935343926</v>
      </c>
      <c r="M432" s="175">
        <v>110</v>
      </c>
      <c r="N432" s="633"/>
      <c r="O432" s="362"/>
      <c r="P432" s="395"/>
      <c r="Q432" s="836"/>
      <c r="R432" s="914"/>
    </row>
    <row r="433" spans="1:18" s="178" customFormat="1" ht="15.75" hidden="1" x14ac:dyDescent="0.25">
      <c r="A433" s="319" t="s">
        <v>1076</v>
      </c>
      <c r="B433" s="319" t="s">
        <v>1266</v>
      </c>
      <c r="C433" s="337">
        <v>207</v>
      </c>
      <c r="D433" s="178">
        <v>40</v>
      </c>
      <c r="E433" s="704" t="s">
        <v>1267</v>
      </c>
      <c r="F433" s="305">
        <v>36</v>
      </c>
      <c r="G433" s="305">
        <v>9682</v>
      </c>
      <c r="H433" s="232">
        <v>7766</v>
      </c>
      <c r="I433" s="611">
        <f t="shared" si="127"/>
        <v>28.875852096674244</v>
      </c>
      <c r="J433" s="611">
        <f t="shared" si="128"/>
        <v>64.875852096674237</v>
      </c>
      <c r="K433" s="612">
        <v>0.4</v>
      </c>
      <c r="L433" s="611">
        <f t="shared" si="129"/>
        <v>90.826192935343926</v>
      </c>
      <c r="M433" s="698">
        <v>110</v>
      </c>
      <c r="N433" s="633"/>
      <c r="O433" s="362"/>
      <c r="P433" s="395" t="s">
        <v>12</v>
      </c>
      <c r="Q433" s="836">
        <v>45379</v>
      </c>
      <c r="R433" s="914">
        <f>+M433*30000</f>
        <v>3300000</v>
      </c>
    </row>
    <row r="434" spans="1:18" s="178" customFormat="1" ht="15.75" x14ac:dyDescent="0.25">
      <c r="A434" s="319" t="s">
        <v>1076</v>
      </c>
      <c r="B434" s="319" t="s">
        <v>1266</v>
      </c>
      <c r="C434" s="337">
        <v>208</v>
      </c>
      <c r="D434" s="178">
        <v>44</v>
      </c>
      <c r="E434" s="337" t="s">
        <v>1739</v>
      </c>
      <c r="F434" s="227">
        <v>36</v>
      </c>
      <c r="G434" s="227">
        <v>9682</v>
      </c>
      <c r="H434" s="226">
        <v>7766</v>
      </c>
      <c r="I434" s="174">
        <f t="shared" si="127"/>
        <v>28.875852096674244</v>
      </c>
      <c r="J434" s="174">
        <f t="shared" si="128"/>
        <v>64.875852096674237</v>
      </c>
      <c r="K434" s="316">
        <v>0.4</v>
      </c>
      <c r="L434" s="174">
        <f t="shared" si="129"/>
        <v>90.826192935343926</v>
      </c>
      <c r="M434" s="175">
        <v>110</v>
      </c>
      <c r="N434" s="633"/>
      <c r="O434" s="362"/>
      <c r="P434" s="395"/>
      <c r="Q434" s="836"/>
      <c r="R434" s="914"/>
    </row>
    <row r="435" spans="1:18" s="178" customFormat="1" ht="15.75" x14ac:dyDescent="0.25">
      <c r="A435" s="319" t="s">
        <v>1076</v>
      </c>
      <c r="B435" s="319" t="s">
        <v>1266</v>
      </c>
      <c r="C435" s="337">
        <v>209</v>
      </c>
      <c r="D435" s="178">
        <v>42</v>
      </c>
      <c r="E435" s="337" t="s">
        <v>1268</v>
      </c>
      <c r="F435" s="227">
        <v>38</v>
      </c>
      <c r="G435" s="227">
        <v>9682</v>
      </c>
      <c r="H435" s="226">
        <v>7766</v>
      </c>
      <c r="I435" s="174">
        <f t="shared" si="127"/>
        <v>30.480066102045029</v>
      </c>
      <c r="J435" s="174">
        <f t="shared" si="128"/>
        <v>68.480066102045029</v>
      </c>
      <c r="K435" s="316">
        <v>0.4</v>
      </c>
      <c r="L435" s="174">
        <f t="shared" si="129"/>
        <v>95.87209254286303</v>
      </c>
      <c r="M435" s="175">
        <v>110</v>
      </c>
      <c r="N435" s="633"/>
      <c r="O435" s="362"/>
      <c r="P435" s="395"/>
      <c r="Q435" s="836"/>
      <c r="R435" s="914"/>
    </row>
    <row r="436" spans="1:18" s="178" customFormat="1" ht="15.75" x14ac:dyDescent="0.25">
      <c r="A436" s="319" t="s">
        <v>1076</v>
      </c>
      <c r="B436" s="319" t="s">
        <v>1266</v>
      </c>
      <c r="C436" s="337">
        <v>210</v>
      </c>
      <c r="D436" s="178">
        <v>38</v>
      </c>
      <c r="E436" s="337" t="s">
        <v>1268</v>
      </c>
      <c r="F436" s="227">
        <v>38</v>
      </c>
      <c r="G436" s="227">
        <v>9682</v>
      </c>
      <c r="H436" s="226">
        <v>7766</v>
      </c>
      <c r="I436" s="174">
        <f t="shared" si="127"/>
        <v>30.480066102045029</v>
      </c>
      <c r="J436" s="174">
        <f t="shared" si="128"/>
        <v>68.480066102045029</v>
      </c>
      <c r="K436" s="316">
        <v>0.4</v>
      </c>
      <c r="L436" s="174">
        <f t="shared" si="129"/>
        <v>95.87209254286303</v>
      </c>
      <c r="M436" s="175">
        <v>110</v>
      </c>
      <c r="N436" s="633"/>
      <c r="O436" s="362"/>
      <c r="P436" s="395"/>
      <c r="Q436" s="836"/>
      <c r="R436" s="914"/>
    </row>
    <row r="437" spans="1:18" s="178" customFormat="1" ht="15.75" hidden="1" x14ac:dyDescent="0.25">
      <c r="A437" s="319" t="s">
        <v>259</v>
      </c>
      <c r="B437" s="319" t="s">
        <v>223</v>
      </c>
      <c r="C437" s="337">
        <v>211</v>
      </c>
      <c r="D437" s="178">
        <v>50</v>
      </c>
      <c r="E437" s="704" t="s">
        <v>1270</v>
      </c>
      <c r="F437" s="232">
        <v>37</v>
      </c>
      <c r="G437" s="305">
        <v>9682</v>
      </c>
      <c r="H437" s="232">
        <v>7766</v>
      </c>
      <c r="I437" s="611">
        <f t="shared" si="127"/>
        <v>29.677959099359636</v>
      </c>
      <c r="J437" s="611">
        <f t="shared" si="128"/>
        <v>66.67795909935964</v>
      </c>
      <c r="K437" s="612">
        <v>0.4</v>
      </c>
      <c r="L437" s="611">
        <f t="shared" si="129"/>
        <v>93.349142739103485</v>
      </c>
      <c r="M437" s="698">
        <v>110</v>
      </c>
      <c r="N437" s="633"/>
      <c r="O437" s="362"/>
      <c r="P437" s="395" t="s">
        <v>12</v>
      </c>
      <c r="Q437" s="836">
        <v>45423</v>
      </c>
      <c r="R437" s="914"/>
    </row>
    <row r="438" spans="1:18" s="178" customFormat="1" ht="15.75" x14ac:dyDescent="0.25">
      <c r="A438" s="893" t="s">
        <v>259</v>
      </c>
      <c r="B438" s="319" t="s">
        <v>223</v>
      </c>
      <c r="C438" s="337">
        <v>212</v>
      </c>
      <c r="D438" s="178">
        <v>54</v>
      </c>
      <c r="E438" s="337" t="s">
        <v>1270</v>
      </c>
      <c r="F438" s="226">
        <v>37</v>
      </c>
      <c r="G438" s="227">
        <v>9682</v>
      </c>
      <c r="H438" s="226">
        <v>7766</v>
      </c>
      <c r="I438" s="174">
        <f t="shared" si="127"/>
        <v>29.677959099359636</v>
      </c>
      <c r="J438" s="174">
        <f t="shared" si="128"/>
        <v>66.67795909935964</v>
      </c>
      <c r="K438" s="316">
        <v>0.4</v>
      </c>
      <c r="L438" s="174">
        <f t="shared" si="129"/>
        <v>93.349142739103485</v>
      </c>
      <c r="M438" s="175">
        <v>110</v>
      </c>
      <c r="N438" s="633"/>
      <c r="O438" s="362"/>
      <c r="P438" s="395"/>
      <c r="Q438" s="836"/>
      <c r="R438" s="914"/>
    </row>
    <row r="439" spans="1:18" s="178" customFormat="1" ht="15.75" hidden="1" x14ac:dyDescent="0.25">
      <c r="A439" s="319" t="s">
        <v>259</v>
      </c>
      <c r="B439" s="319" t="s">
        <v>223</v>
      </c>
      <c r="C439" s="337">
        <v>213</v>
      </c>
      <c r="D439" s="178">
        <v>56</v>
      </c>
      <c r="E439" s="704" t="s">
        <v>1270</v>
      </c>
      <c r="F439" s="232">
        <v>37</v>
      </c>
      <c r="G439" s="305">
        <v>9682</v>
      </c>
      <c r="H439" s="232">
        <v>7766</v>
      </c>
      <c r="I439" s="611">
        <f t="shared" si="127"/>
        <v>29.677959099359636</v>
      </c>
      <c r="J439" s="611">
        <f t="shared" si="128"/>
        <v>66.67795909935964</v>
      </c>
      <c r="K439" s="612">
        <v>0.4</v>
      </c>
      <c r="L439" s="611">
        <f t="shared" si="129"/>
        <v>93.349142739103485</v>
      </c>
      <c r="M439" s="698">
        <v>110</v>
      </c>
      <c r="N439" s="633"/>
      <c r="O439" s="362"/>
      <c r="P439" s="395" t="s">
        <v>2408</v>
      </c>
      <c r="Q439" s="836">
        <v>45397</v>
      </c>
      <c r="R439" s="914">
        <f>+M439*36000</f>
        <v>3960000</v>
      </c>
    </row>
    <row r="440" spans="1:18" s="178" customFormat="1" ht="15.75" x14ac:dyDescent="0.25">
      <c r="A440" s="319" t="s">
        <v>259</v>
      </c>
      <c r="B440" s="319" t="s">
        <v>1323</v>
      </c>
      <c r="C440" s="337">
        <v>214</v>
      </c>
      <c r="D440" s="178">
        <v>42</v>
      </c>
      <c r="E440" s="337" t="s">
        <v>1271</v>
      </c>
      <c r="F440" s="226">
        <v>25</v>
      </c>
      <c r="G440" s="227">
        <v>9682</v>
      </c>
      <c r="H440" s="226">
        <v>7766</v>
      </c>
      <c r="I440" s="174">
        <f t="shared" si="127"/>
        <v>20.052675067134889</v>
      </c>
      <c r="J440" s="174">
        <f t="shared" si="128"/>
        <v>45.052675067134885</v>
      </c>
      <c r="K440" s="316">
        <v>0.4</v>
      </c>
      <c r="L440" s="174">
        <f t="shared" si="129"/>
        <v>63.073745093988833</v>
      </c>
      <c r="M440" s="175">
        <v>90</v>
      </c>
      <c r="N440" s="633"/>
      <c r="O440" s="362"/>
      <c r="P440" s="395"/>
      <c r="Q440" s="836"/>
      <c r="R440" s="914"/>
    </row>
    <row r="441" spans="1:18" s="178" customFormat="1" ht="15.75" x14ac:dyDescent="0.25">
      <c r="A441" s="319" t="s">
        <v>259</v>
      </c>
      <c r="B441" s="319" t="s">
        <v>1323</v>
      </c>
      <c r="C441" s="337">
        <v>215</v>
      </c>
      <c r="D441" s="178">
        <v>44</v>
      </c>
      <c r="E441" s="337" t="s">
        <v>1271</v>
      </c>
      <c r="F441" s="226">
        <v>25</v>
      </c>
      <c r="G441" s="227">
        <v>9682</v>
      </c>
      <c r="H441" s="226">
        <v>7766</v>
      </c>
      <c r="I441" s="174">
        <f t="shared" si="127"/>
        <v>20.052675067134889</v>
      </c>
      <c r="J441" s="174">
        <f t="shared" si="128"/>
        <v>45.052675067134885</v>
      </c>
      <c r="K441" s="316">
        <v>0.4</v>
      </c>
      <c r="L441" s="174">
        <f t="shared" si="129"/>
        <v>63.073745093988833</v>
      </c>
      <c r="M441" s="175">
        <v>90</v>
      </c>
      <c r="N441" s="633"/>
      <c r="O441" s="362"/>
      <c r="P441" s="395"/>
      <c r="Q441" s="836"/>
      <c r="R441" s="914"/>
    </row>
    <row r="442" spans="1:18" s="178" customFormat="1" ht="15.75" x14ac:dyDescent="0.25">
      <c r="A442" s="319" t="s">
        <v>259</v>
      </c>
      <c r="B442" s="319" t="s">
        <v>1323</v>
      </c>
      <c r="C442" s="337">
        <v>216</v>
      </c>
      <c r="D442" s="178">
        <v>46</v>
      </c>
      <c r="E442" s="337" t="s">
        <v>1271</v>
      </c>
      <c r="F442" s="226">
        <v>25</v>
      </c>
      <c r="G442" s="227">
        <v>9682</v>
      </c>
      <c r="H442" s="226">
        <v>7766</v>
      </c>
      <c r="I442" s="174">
        <f t="shared" si="127"/>
        <v>20.052675067134889</v>
      </c>
      <c r="J442" s="174">
        <f t="shared" si="128"/>
        <v>45.052675067134885</v>
      </c>
      <c r="K442" s="316">
        <v>0.4</v>
      </c>
      <c r="L442" s="174">
        <f t="shared" si="129"/>
        <v>63.073745093988833</v>
      </c>
      <c r="M442" s="175">
        <v>90</v>
      </c>
      <c r="N442" s="633"/>
      <c r="O442" s="362"/>
      <c r="P442" s="395"/>
      <c r="Q442" s="836"/>
      <c r="R442" s="914"/>
    </row>
    <row r="443" spans="1:18" s="178" customFormat="1" ht="15.75" x14ac:dyDescent="0.25">
      <c r="A443" s="319" t="s">
        <v>259</v>
      </c>
      <c r="B443" s="319" t="s">
        <v>1323</v>
      </c>
      <c r="C443" s="337">
        <v>217</v>
      </c>
      <c r="D443" s="178">
        <v>48</v>
      </c>
      <c r="E443" s="337" t="s">
        <v>1271</v>
      </c>
      <c r="F443" s="226">
        <v>25</v>
      </c>
      <c r="G443" s="227">
        <v>9682</v>
      </c>
      <c r="H443" s="226">
        <v>7766</v>
      </c>
      <c r="I443" s="174">
        <f t="shared" si="127"/>
        <v>20.052675067134889</v>
      </c>
      <c r="J443" s="174">
        <f t="shared" si="128"/>
        <v>45.052675067134885</v>
      </c>
      <c r="K443" s="316">
        <v>0.4</v>
      </c>
      <c r="L443" s="174">
        <f t="shared" si="129"/>
        <v>63.073745093988833</v>
      </c>
      <c r="M443" s="175">
        <v>90</v>
      </c>
      <c r="N443" s="633"/>
      <c r="O443" s="362"/>
      <c r="P443" s="395" t="s">
        <v>1708</v>
      </c>
      <c r="Q443" s="836">
        <v>45128</v>
      </c>
      <c r="R443" s="914">
        <f>+M443*6300</f>
        <v>567000</v>
      </c>
    </row>
    <row r="444" spans="1:18" s="238" customFormat="1" ht="15.75" hidden="1" x14ac:dyDescent="0.25">
      <c r="A444" s="319" t="s">
        <v>259</v>
      </c>
      <c r="B444" s="676" t="s">
        <v>1322</v>
      </c>
      <c r="D444" s="238">
        <v>50</v>
      </c>
      <c r="E444" s="632" t="s">
        <v>1272</v>
      </c>
      <c r="F444" s="631">
        <v>35</v>
      </c>
      <c r="G444" s="677">
        <v>9682</v>
      </c>
      <c r="H444" s="631">
        <v>7766</v>
      </c>
      <c r="I444" s="663">
        <f t="shared" si="127"/>
        <v>28.073745093988848</v>
      </c>
      <c r="J444" s="663">
        <f t="shared" si="128"/>
        <v>63.073745093988848</v>
      </c>
      <c r="K444" s="662">
        <v>0.4</v>
      </c>
      <c r="L444" s="663">
        <f t="shared" si="129"/>
        <v>88.303243131584381</v>
      </c>
      <c r="M444" s="633">
        <v>125</v>
      </c>
      <c r="N444" s="633"/>
      <c r="O444" s="494"/>
      <c r="P444" s="494"/>
      <c r="Q444" s="843"/>
      <c r="R444" s="920"/>
    </row>
    <row r="445" spans="1:18" s="178" customFormat="1" ht="15.75" hidden="1" x14ac:dyDescent="0.25">
      <c r="A445" s="319" t="s">
        <v>1360</v>
      </c>
      <c r="B445" s="319" t="s">
        <v>1319</v>
      </c>
      <c r="C445" s="337">
        <v>218</v>
      </c>
      <c r="D445" s="178">
        <v>54</v>
      </c>
      <c r="E445" s="704" t="s">
        <v>1320</v>
      </c>
      <c r="F445" s="232">
        <v>25</v>
      </c>
      <c r="G445" s="305">
        <v>9682</v>
      </c>
      <c r="H445" s="232">
        <v>7766</v>
      </c>
      <c r="I445" s="611">
        <f t="shared" si="127"/>
        <v>20.052675067134889</v>
      </c>
      <c r="J445" s="611">
        <f t="shared" si="128"/>
        <v>45.052675067134885</v>
      </c>
      <c r="K445" s="612">
        <v>0.4</v>
      </c>
      <c r="L445" s="611">
        <f t="shared" si="129"/>
        <v>63.073745093988833</v>
      </c>
      <c r="M445" s="698">
        <v>90</v>
      </c>
      <c r="N445" s="633">
        <v>65</v>
      </c>
      <c r="O445" s="362"/>
      <c r="P445" s="178" t="s">
        <v>12</v>
      </c>
      <c r="Q445" s="836">
        <v>45308</v>
      </c>
      <c r="R445" s="914">
        <f>+N445*7000</f>
        <v>455000</v>
      </c>
    </row>
    <row r="446" spans="1:18" s="178" customFormat="1" ht="15.75" hidden="1" x14ac:dyDescent="0.25">
      <c r="A446" s="893" t="s">
        <v>1360</v>
      </c>
      <c r="B446" s="319" t="s">
        <v>1319</v>
      </c>
      <c r="C446" s="337">
        <v>219</v>
      </c>
      <c r="D446" s="178">
        <v>56</v>
      </c>
      <c r="E446" s="704" t="s">
        <v>1320</v>
      </c>
      <c r="F446" s="232">
        <v>25</v>
      </c>
      <c r="G446" s="305">
        <v>9682</v>
      </c>
      <c r="H446" s="232">
        <v>7766</v>
      </c>
      <c r="I446" s="611">
        <f t="shared" si="127"/>
        <v>20.052675067134889</v>
      </c>
      <c r="J446" s="611">
        <f t="shared" si="128"/>
        <v>45.052675067134885</v>
      </c>
      <c r="K446" s="612">
        <v>0.4</v>
      </c>
      <c r="L446" s="611">
        <f t="shared" si="129"/>
        <v>63.073745093988833</v>
      </c>
      <c r="M446" s="698">
        <v>90</v>
      </c>
      <c r="N446" s="633"/>
      <c r="O446" s="362"/>
      <c r="P446" s="395" t="s">
        <v>12</v>
      </c>
      <c r="Q446" s="836">
        <v>45465</v>
      </c>
      <c r="R446" s="914"/>
    </row>
    <row r="447" spans="1:18" s="178" customFormat="1" ht="15.75" hidden="1" x14ac:dyDescent="0.25">
      <c r="A447" s="319" t="s">
        <v>1360</v>
      </c>
      <c r="B447" s="319" t="s">
        <v>1319</v>
      </c>
      <c r="C447" s="337">
        <v>220</v>
      </c>
      <c r="D447" s="178">
        <v>54</v>
      </c>
      <c r="E447" s="704" t="s">
        <v>1321</v>
      </c>
      <c r="F447" s="232">
        <v>25</v>
      </c>
      <c r="G447" s="305">
        <v>9682</v>
      </c>
      <c r="H447" s="232">
        <v>7766</v>
      </c>
      <c r="I447" s="611">
        <f t="shared" si="127"/>
        <v>20.052675067134889</v>
      </c>
      <c r="J447" s="611">
        <f t="shared" si="128"/>
        <v>45.052675067134885</v>
      </c>
      <c r="K447" s="612">
        <v>0.4</v>
      </c>
      <c r="L447" s="611">
        <f t="shared" si="129"/>
        <v>63.073745093988833</v>
      </c>
      <c r="M447" s="698">
        <v>90</v>
      </c>
      <c r="N447" s="633">
        <f>+M447*0.55</f>
        <v>49.500000000000007</v>
      </c>
      <c r="O447" s="362"/>
      <c r="P447" s="178" t="s">
        <v>12</v>
      </c>
      <c r="Q447" s="836">
        <v>45324</v>
      </c>
      <c r="R447" s="914">
        <f>+N447*8000</f>
        <v>396000.00000000006</v>
      </c>
    </row>
    <row r="448" spans="1:18" s="178" customFormat="1" ht="15.75" x14ac:dyDescent="0.25">
      <c r="A448" s="893" t="s">
        <v>1360</v>
      </c>
      <c r="B448" s="319" t="s">
        <v>1319</v>
      </c>
      <c r="C448" s="337">
        <v>220</v>
      </c>
      <c r="D448" s="178">
        <v>56</v>
      </c>
      <c r="E448" s="337" t="s">
        <v>1321</v>
      </c>
      <c r="F448" s="226">
        <v>25</v>
      </c>
      <c r="G448" s="227">
        <v>9682</v>
      </c>
      <c r="H448" s="226">
        <v>7766</v>
      </c>
      <c r="I448" s="174">
        <f t="shared" si="127"/>
        <v>20.052675067134889</v>
      </c>
      <c r="J448" s="174">
        <f t="shared" si="128"/>
        <v>45.052675067134885</v>
      </c>
      <c r="K448" s="316">
        <v>0.4</v>
      </c>
      <c r="L448" s="174">
        <f t="shared" si="129"/>
        <v>63.073745093988833</v>
      </c>
      <c r="M448" s="175">
        <v>90</v>
      </c>
      <c r="N448" s="633"/>
      <c r="O448" s="362"/>
      <c r="Q448" s="836"/>
      <c r="R448" s="914"/>
    </row>
    <row r="449" spans="1:18" s="178" customFormat="1" x14ac:dyDescent="0.25">
      <c r="C449" s="319"/>
      <c r="E449" s="549" t="s">
        <v>1399</v>
      </c>
      <c r="G449" s="226"/>
      <c r="I449" s="226"/>
      <c r="J449" s="174"/>
      <c r="K449" s="174"/>
      <c r="L449" s="316"/>
      <c r="M449" s="174"/>
      <c r="N449" s="663"/>
      <c r="Q449" s="836"/>
      <c r="R449" s="914"/>
    </row>
    <row r="450" spans="1:18" s="178" customFormat="1" x14ac:dyDescent="0.25">
      <c r="A450" s="225" t="s">
        <v>1401</v>
      </c>
      <c r="B450" s="319" t="s">
        <v>1437</v>
      </c>
      <c r="C450" s="178">
        <v>221</v>
      </c>
      <c r="D450" s="178">
        <v>44</v>
      </c>
      <c r="E450" s="178" t="s">
        <v>1402</v>
      </c>
      <c r="F450" s="226">
        <v>48</v>
      </c>
      <c r="G450" s="178">
        <v>6066</v>
      </c>
      <c r="H450" s="226">
        <v>6015</v>
      </c>
      <c r="I450" s="338">
        <f t="shared" ref="I450:I470" si="130">+F450/G450*H450</f>
        <v>47.596439169139465</v>
      </c>
      <c r="J450" s="614">
        <f t="shared" ref="J450:J470" si="131">+F450+I450</f>
        <v>95.596439169139472</v>
      </c>
      <c r="K450" s="316">
        <v>0.4</v>
      </c>
      <c r="L450" s="174">
        <f t="shared" ref="L450:L470" si="132">+J450*1.4</f>
        <v>133.83501483679527</v>
      </c>
      <c r="M450" s="226">
        <v>150</v>
      </c>
      <c r="N450" s="631"/>
      <c r="O450" s="590"/>
      <c r="Q450" s="836"/>
      <c r="R450" s="914"/>
    </row>
    <row r="451" spans="1:18" s="178" customFormat="1" x14ac:dyDescent="0.25">
      <c r="A451" s="225" t="s">
        <v>1401</v>
      </c>
      <c r="B451" s="319" t="s">
        <v>1437</v>
      </c>
      <c r="C451" s="178">
        <v>222</v>
      </c>
      <c r="D451" s="178">
        <v>46</v>
      </c>
      <c r="E451" s="178" t="s">
        <v>1402</v>
      </c>
      <c r="F451" s="226">
        <v>48</v>
      </c>
      <c r="G451" s="178">
        <v>6066</v>
      </c>
      <c r="H451" s="226">
        <v>6015</v>
      </c>
      <c r="I451" s="338">
        <f t="shared" si="130"/>
        <v>47.596439169139465</v>
      </c>
      <c r="J451" s="614">
        <f t="shared" si="131"/>
        <v>95.596439169139472</v>
      </c>
      <c r="K451" s="316">
        <v>0.4</v>
      </c>
      <c r="L451" s="174">
        <f t="shared" si="132"/>
        <v>133.83501483679527</v>
      </c>
      <c r="M451" s="226">
        <v>150</v>
      </c>
      <c r="N451" s="631"/>
      <c r="O451" s="590"/>
      <c r="Q451" s="836"/>
      <c r="R451" s="914"/>
    </row>
    <row r="452" spans="1:18" s="178" customFormat="1" x14ac:dyDescent="0.25">
      <c r="A452" s="225" t="s">
        <v>1401</v>
      </c>
      <c r="B452" s="319" t="s">
        <v>1702</v>
      </c>
      <c r="C452" s="178">
        <v>223</v>
      </c>
      <c r="D452" s="178">
        <v>48</v>
      </c>
      <c r="E452" s="178" t="s">
        <v>1402</v>
      </c>
      <c r="F452" s="226">
        <v>48</v>
      </c>
      <c r="G452" s="178">
        <v>6066</v>
      </c>
      <c r="H452" s="226">
        <v>6015</v>
      </c>
      <c r="I452" s="338">
        <f t="shared" si="130"/>
        <v>47.596439169139465</v>
      </c>
      <c r="J452" s="614">
        <f t="shared" si="131"/>
        <v>95.596439169139472</v>
      </c>
      <c r="K452" s="316">
        <v>0.4</v>
      </c>
      <c r="L452" s="174">
        <f t="shared" si="132"/>
        <v>133.83501483679527</v>
      </c>
      <c r="M452" s="226">
        <v>150</v>
      </c>
      <c r="N452" s="631"/>
      <c r="O452" s="590"/>
      <c r="Q452" s="836"/>
      <c r="R452" s="914"/>
    </row>
    <row r="453" spans="1:18" s="178" customFormat="1" x14ac:dyDescent="0.25">
      <c r="A453" s="225" t="s">
        <v>1076</v>
      </c>
      <c r="B453" s="319" t="s">
        <v>1433</v>
      </c>
      <c r="C453" s="178">
        <v>224</v>
      </c>
      <c r="D453" s="178">
        <v>36</v>
      </c>
      <c r="E453" s="178" t="s">
        <v>1403</v>
      </c>
      <c r="F453" s="226">
        <v>39</v>
      </c>
      <c r="G453" s="178">
        <v>6066</v>
      </c>
      <c r="H453" s="226">
        <v>6015</v>
      </c>
      <c r="I453" s="338">
        <f t="shared" si="130"/>
        <v>38.672106824925812</v>
      </c>
      <c r="J453" s="614">
        <f t="shared" si="131"/>
        <v>77.672106824925805</v>
      </c>
      <c r="K453" s="316">
        <v>0.4</v>
      </c>
      <c r="L453" s="174">
        <f t="shared" si="132"/>
        <v>108.74094955489612</v>
      </c>
      <c r="M453" s="226">
        <v>125</v>
      </c>
      <c r="N453" s="631"/>
      <c r="O453" s="590"/>
      <c r="Q453" s="836"/>
      <c r="R453" s="914"/>
    </row>
    <row r="454" spans="1:18" s="178" customFormat="1" x14ac:dyDescent="0.25">
      <c r="A454" s="225" t="s">
        <v>1076</v>
      </c>
      <c r="B454" s="319" t="s">
        <v>1433</v>
      </c>
      <c r="C454" s="178">
        <v>225</v>
      </c>
      <c r="D454" s="178">
        <v>38</v>
      </c>
      <c r="E454" s="213" t="s">
        <v>1403</v>
      </c>
      <c r="F454" s="232">
        <v>39</v>
      </c>
      <c r="G454" s="213">
        <v>6066</v>
      </c>
      <c r="H454" s="232">
        <v>6015</v>
      </c>
      <c r="I454" s="695">
        <f t="shared" si="130"/>
        <v>38.672106824925812</v>
      </c>
      <c r="J454" s="696">
        <f t="shared" si="131"/>
        <v>77.672106824925805</v>
      </c>
      <c r="K454" s="612">
        <v>0.4</v>
      </c>
      <c r="L454" s="611">
        <f t="shared" si="132"/>
        <v>108.74094955489612</v>
      </c>
      <c r="M454" s="232">
        <v>125</v>
      </c>
      <c r="N454" s="631"/>
      <c r="O454" s="590"/>
      <c r="P454" s="178" t="s">
        <v>12</v>
      </c>
      <c r="Q454" s="836">
        <v>45495</v>
      </c>
      <c r="R454" s="914"/>
    </row>
    <row r="455" spans="1:18" s="178" customFormat="1" x14ac:dyDescent="0.25">
      <c r="A455" s="225" t="s">
        <v>1076</v>
      </c>
      <c r="B455" s="319" t="s">
        <v>1433</v>
      </c>
      <c r="C455" s="178">
        <v>226</v>
      </c>
      <c r="D455" s="178">
        <v>40</v>
      </c>
      <c r="E455" s="178" t="s">
        <v>1403</v>
      </c>
      <c r="F455" s="226">
        <v>39</v>
      </c>
      <c r="G455" s="178">
        <v>6066</v>
      </c>
      <c r="H455" s="226">
        <v>6015</v>
      </c>
      <c r="I455" s="338">
        <f t="shared" si="130"/>
        <v>38.672106824925812</v>
      </c>
      <c r="J455" s="614">
        <f t="shared" si="131"/>
        <v>77.672106824925805</v>
      </c>
      <c r="K455" s="316">
        <v>0.4</v>
      </c>
      <c r="L455" s="174">
        <f t="shared" si="132"/>
        <v>108.74094955489612</v>
      </c>
      <c r="M455" s="226">
        <v>125</v>
      </c>
      <c r="N455" s="631"/>
      <c r="O455" s="590"/>
      <c r="Q455" s="836"/>
      <c r="R455" s="914"/>
    </row>
    <row r="456" spans="1:18" s="178" customFormat="1" x14ac:dyDescent="0.25">
      <c r="A456" s="225" t="s">
        <v>1076</v>
      </c>
      <c r="B456" s="319" t="s">
        <v>1438</v>
      </c>
      <c r="C456" s="178">
        <v>227</v>
      </c>
      <c r="D456" s="178">
        <v>42</v>
      </c>
      <c r="E456" s="178" t="s">
        <v>1405</v>
      </c>
      <c r="F456" s="226">
        <v>33</v>
      </c>
      <c r="G456" s="178">
        <v>6066</v>
      </c>
      <c r="H456" s="226">
        <v>6015</v>
      </c>
      <c r="I456" s="338">
        <f t="shared" si="130"/>
        <v>32.722551928783382</v>
      </c>
      <c r="J456" s="614">
        <f t="shared" si="131"/>
        <v>65.722551928783389</v>
      </c>
      <c r="K456" s="316">
        <v>0.4</v>
      </c>
      <c r="L456" s="174">
        <f t="shared" si="132"/>
        <v>92.011572700296739</v>
      </c>
      <c r="M456" s="226">
        <v>110</v>
      </c>
      <c r="N456" s="631"/>
      <c r="O456" s="590"/>
      <c r="Q456" s="836"/>
      <c r="R456" s="914"/>
    </row>
    <row r="457" spans="1:18" s="178" customFormat="1" x14ac:dyDescent="0.25">
      <c r="A457" s="225" t="s">
        <v>1076</v>
      </c>
      <c r="B457" s="319" t="s">
        <v>1438</v>
      </c>
      <c r="C457" s="178">
        <v>228</v>
      </c>
      <c r="D457" s="178">
        <v>48</v>
      </c>
      <c r="E457" s="178" t="s">
        <v>1405</v>
      </c>
      <c r="F457" s="226">
        <v>33</v>
      </c>
      <c r="G457" s="178">
        <v>6066</v>
      </c>
      <c r="H457" s="226">
        <v>6015</v>
      </c>
      <c r="I457" s="338">
        <f t="shared" si="130"/>
        <v>32.722551928783382</v>
      </c>
      <c r="J457" s="614">
        <f t="shared" si="131"/>
        <v>65.722551928783389</v>
      </c>
      <c r="K457" s="316">
        <v>0.4</v>
      </c>
      <c r="L457" s="174">
        <f t="shared" si="132"/>
        <v>92.011572700296739</v>
      </c>
      <c r="M457" s="226">
        <v>110</v>
      </c>
      <c r="N457" s="631"/>
      <c r="O457" s="590"/>
      <c r="Q457" s="836"/>
      <c r="R457" s="914"/>
    </row>
    <row r="458" spans="1:18" s="178" customFormat="1" x14ac:dyDescent="0.25">
      <c r="A458" s="225" t="s">
        <v>1406</v>
      </c>
      <c r="B458" s="225" t="s">
        <v>1406</v>
      </c>
      <c r="C458" s="178">
        <v>229</v>
      </c>
      <c r="D458" s="178">
        <v>50</v>
      </c>
      <c r="E458" s="178" t="s">
        <v>1404</v>
      </c>
      <c r="F458" s="226">
        <v>37</v>
      </c>
      <c r="G458" s="178">
        <v>6066</v>
      </c>
      <c r="H458" s="226">
        <v>6015</v>
      </c>
      <c r="I458" s="338">
        <f t="shared" si="130"/>
        <v>36.688921859545005</v>
      </c>
      <c r="J458" s="614">
        <f t="shared" si="131"/>
        <v>73.688921859545005</v>
      </c>
      <c r="K458" s="316">
        <v>0.4</v>
      </c>
      <c r="L458" s="174">
        <f t="shared" si="132"/>
        <v>103.16449060336301</v>
      </c>
      <c r="M458" s="226">
        <v>110</v>
      </c>
      <c r="N458" s="631"/>
      <c r="O458" s="590"/>
      <c r="Q458" s="836"/>
      <c r="R458" s="914"/>
    </row>
    <row r="459" spans="1:18" s="178" customFormat="1" x14ac:dyDescent="0.25">
      <c r="A459" s="225" t="s">
        <v>1406</v>
      </c>
      <c r="B459" s="225" t="s">
        <v>1406</v>
      </c>
      <c r="C459" s="178">
        <v>230</v>
      </c>
      <c r="D459" s="178">
        <v>52</v>
      </c>
      <c r="E459" s="178" t="s">
        <v>1404</v>
      </c>
      <c r="F459" s="226">
        <v>37</v>
      </c>
      <c r="G459" s="178">
        <v>6066</v>
      </c>
      <c r="H459" s="226">
        <v>6015</v>
      </c>
      <c r="I459" s="338">
        <f t="shared" si="130"/>
        <v>36.688921859545005</v>
      </c>
      <c r="J459" s="614">
        <f t="shared" si="131"/>
        <v>73.688921859545005</v>
      </c>
      <c r="K459" s="316">
        <v>0.4</v>
      </c>
      <c r="L459" s="174">
        <f t="shared" si="132"/>
        <v>103.16449060336301</v>
      </c>
      <c r="M459" s="226">
        <v>110</v>
      </c>
      <c r="N459" s="631"/>
      <c r="O459" s="590"/>
      <c r="Q459" s="836"/>
      <c r="R459" s="914"/>
    </row>
    <row r="460" spans="1:18" s="178" customFormat="1" x14ac:dyDescent="0.25">
      <c r="A460" s="225" t="s">
        <v>884</v>
      </c>
      <c r="B460" s="225" t="s">
        <v>884</v>
      </c>
      <c r="C460" s="178">
        <v>231</v>
      </c>
      <c r="D460" s="178">
        <v>44</v>
      </c>
      <c r="E460" s="178" t="s">
        <v>1407</v>
      </c>
      <c r="F460" s="226">
        <v>21</v>
      </c>
      <c r="G460" s="178">
        <v>6066</v>
      </c>
      <c r="H460" s="226">
        <v>6015</v>
      </c>
      <c r="I460" s="338">
        <f t="shared" si="130"/>
        <v>20.823442136498517</v>
      </c>
      <c r="J460" s="614">
        <f t="shared" si="131"/>
        <v>41.823442136498514</v>
      </c>
      <c r="K460" s="316">
        <v>0.4</v>
      </c>
      <c r="L460" s="174">
        <f t="shared" si="132"/>
        <v>58.552818991097915</v>
      </c>
      <c r="M460" s="226">
        <v>110</v>
      </c>
      <c r="N460" s="631"/>
      <c r="O460" s="590"/>
      <c r="Q460" s="836"/>
      <c r="R460" s="914"/>
    </row>
    <row r="461" spans="1:18" s="178" customFormat="1" x14ac:dyDescent="0.25">
      <c r="A461" s="225" t="s">
        <v>884</v>
      </c>
      <c r="B461" s="225" t="s">
        <v>884</v>
      </c>
      <c r="C461" s="178">
        <v>232</v>
      </c>
      <c r="D461" s="178">
        <v>46</v>
      </c>
      <c r="E461" s="178" t="s">
        <v>1407</v>
      </c>
      <c r="F461" s="226">
        <v>21</v>
      </c>
      <c r="G461" s="178">
        <v>6066</v>
      </c>
      <c r="H461" s="226">
        <v>6015</v>
      </c>
      <c r="I461" s="338">
        <f t="shared" si="130"/>
        <v>20.823442136498517</v>
      </c>
      <c r="J461" s="614">
        <f t="shared" si="131"/>
        <v>41.823442136498514</v>
      </c>
      <c r="K461" s="316">
        <v>0.4</v>
      </c>
      <c r="L461" s="174">
        <f t="shared" si="132"/>
        <v>58.552818991097915</v>
      </c>
      <c r="M461" s="226">
        <v>110</v>
      </c>
      <c r="N461" s="631"/>
      <c r="O461" s="590"/>
      <c r="Q461" s="836"/>
      <c r="R461" s="914"/>
    </row>
    <row r="462" spans="1:18" s="178" customFormat="1" x14ac:dyDescent="0.25">
      <c r="A462" s="225" t="s">
        <v>884</v>
      </c>
      <c r="B462" s="225" t="s">
        <v>884</v>
      </c>
      <c r="C462" s="178">
        <v>233</v>
      </c>
      <c r="D462" s="178">
        <v>50</v>
      </c>
      <c r="E462" s="178" t="s">
        <v>1407</v>
      </c>
      <c r="F462" s="226">
        <v>21</v>
      </c>
      <c r="G462" s="178">
        <v>6066</v>
      </c>
      <c r="H462" s="226">
        <v>6015</v>
      </c>
      <c r="I462" s="338">
        <f t="shared" si="130"/>
        <v>20.823442136498517</v>
      </c>
      <c r="J462" s="614">
        <f t="shared" si="131"/>
        <v>41.823442136498514</v>
      </c>
      <c r="K462" s="316">
        <v>0.4</v>
      </c>
      <c r="L462" s="174">
        <f t="shared" si="132"/>
        <v>58.552818991097915</v>
      </c>
      <c r="M462" s="226">
        <v>110</v>
      </c>
      <c r="N462" s="631"/>
      <c r="O462" s="590"/>
      <c r="Q462" s="836"/>
      <c r="R462" s="914"/>
    </row>
    <row r="463" spans="1:18" s="178" customFormat="1" x14ac:dyDescent="0.25">
      <c r="A463" s="225" t="s">
        <v>1041</v>
      </c>
      <c r="B463" s="225" t="s">
        <v>1041</v>
      </c>
      <c r="C463" s="178">
        <v>234</v>
      </c>
      <c r="D463" s="178">
        <v>44</v>
      </c>
      <c r="E463" s="178" t="s">
        <v>1408</v>
      </c>
      <c r="F463" s="226">
        <v>75</v>
      </c>
      <c r="G463" s="178">
        <v>6066</v>
      </c>
      <c r="H463" s="226">
        <v>6015</v>
      </c>
      <c r="I463" s="338">
        <f t="shared" si="130"/>
        <v>74.369436201780417</v>
      </c>
      <c r="J463" s="614">
        <f t="shared" si="131"/>
        <v>149.36943620178042</v>
      </c>
      <c r="K463" s="316">
        <v>0.4</v>
      </c>
      <c r="L463" s="174">
        <f t="shared" si="132"/>
        <v>209.11721068249258</v>
      </c>
      <c r="M463" s="226">
        <v>200</v>
      </c>
      <c r="N463" s="631"/>
      <c r="O463" s="590"/>
      <c r="Q463" s="836"/>
      <c r="R463" s="914"/>
    </row>
    <row r="464" spans="1:18" s="178" customFormat="1" x14ac:dyDescent="0.25">
      <c r="A464" s="225" t="s">
        <v>1041</v>
      </c>
      <c r="B464" s="225" t="s">
        <v>1041</v>
      </c>
      <c r="C464" s="178">
        <v>235</v>
      </c>
      <c r="D464" s="178">
        <v>46</v>
      </c>
      <c r="E464" s="178" t="s">
        <v>1408</v>
      </c>
      <c r="F464" s="226">
        <v>75</v>
      </c>
      <c r="G464" s="178">
        <v>6066</v>
      </c>
      <c r="H464" s="226">
        <v>6015</v>
      </c>
      <c r="I464" s="338">
        <f t="shared" si="130"/>
        <v>74.369436201780417</v>
      </c>
      <c r="J464" s="614">
        <f t="shared" si="131"/>
        <v>149.36943620178042</v>
      </c>
      <c r="K464" s="316">
        <v>0.4</v>
      </c>
      <c r="L464" s="174">
        <f t="shared" si="132"/>
        <v>209.11721068249258</v>
      </c>
      <c r="M464" s="226">
        <v>200</v>
      </c>
      <c r="N464" s="631"/>
      <c r="O464" s="590"/>
      <c r="Q464" s="836"/>
      <c r="R464" s="914"/>
    </row>
    <row r="465" spans="1:18" s="178" customFormat="1" x14ac:dyDescent="0.25">
      <c r="A465" s="225" t="s">
        <v>1409</v>
      </c>
      <c r="B465" s="319" t="s">
        <v>1436</v>
      </c>
      <c r="C465" s="178">
        <v>236</v>
      </c>
      <c r="D465" s="178">
        <v>44</v>
      </c>
      <c r="E465" s="178" t="s">
        <v>1410</v>
      </c>
      <c r="F465" s="226">
        <v>22</v>
      </c>
      <c r="G465" s="178">
        <v>6066</v>
      </c>
      <c r="H465" s="226">
        <v>6015</v>
      </c>
      <c r="I465" s="338">
        <f t="shared" si="130"/>
        <v>21.815034619188921</v>
      </c>
      <c r="J465" s="614">
        <f t="shared" si="131"/>
        <v>43.815034619188921</v>
      </c>
      <c r="K465" s="316">
        <v>0.4</v>
      </c>
      <c r="L465" s="174">
        <f t="shared" si="132"/>
        <v>61.341048466864486</v>
      </c>
      <c r="M465" s="226">
        <v>90</v>
      </c>
      <c r="N465" s="631"/>
      <c r="O465" s="590"/>
      <c r="P465" s="784"/>
      <c r="Q465" s="836">
        <v>45330</v>
      </c>
      <c r="R465" s="914">
        <f>+M465*8000</f>
        <v>720000</v>
      </c>
    </row>
    <row r="466" spans="1:18" s="178" customFormat="1" x14ac:dyDescent="0.25">
      <c r="A466" s="225" t="s">
        <v>1409</v>
      </c>
      <c r="B466" s="319" t="s">
        <v>1436</v>
      </c>
      <c r="C466" s="178">
        <v>237</v>
      </c>
      <c r="D466" s="178">
        <v>46</v>
      </c>
      <c r="E466" s="178" t="s">
        <v>1410</v>
      </c>
      <c r="F466" s="226">
        <v>22</v>
      </c>
      <c r="G466" s="178">
        <v>6066</v>
      </c>
      <c r="H466" s="226">
        <v>6015</v>
      </c>
      <c r="I466" s="338">
        <f t="shared" si="130"/>
        <v>21.815034619188921</v>
      </c>
      <c r="J466" s="614">
        <f t="shared" si="131"/>
        <v>43.815034619188921</v>
      </c>
      <c r="K466" s="316">
        <v>0.4</v>
      </c>
      <c r="L466" s="174">
        <f t="shared" si="132"/>
        <v>61.341048466864486</v>
      </c>
      <c r="M466" s="226">
        <v>90</v>
      </c>
      <c r="N466" s="631"/>
      <c r="O466" s="590"/>
      <c r="Q466" s="836"/>
      <c r="R466" s="914"/>
    </row>
    <row r="467" spans="1:18" s="178" customFormat="1" x14ac:dyDescent="0.25">
      <c r="A467" s="225" t="s">
        <v>1409</v>
      </c>
      <c r="B467" s="319" t="s">
        <v>1436</v>
      </c>
      <c r="C467" s="178">
        <v>238</v>
      </c>
      <c r="D467" s="178">
        <v>48</v>
      </c>
      <c r="E467" s="178" t="s">
        <v>1410</v>
      </c>
      <c r="F467" s="226">
        <v>22</v>
      </c>
      <c r="G467" s="178">
        <v>6066</v>
      </c>
      <c r="H467" s="226">
        <v>6015</v>
      </c>
      <c r="I467" s="338">
        <f t="shared" si="130"/>
        <v>21.815034619188921</v>
      </c>
      <c r="J467" s="614">
        <f t="shared" si="131"/>
        <v>43.815034619188921</v>
      </c>
      <c r="K467" s="316">
        <v>0.4</v>
      </c>
      <c r="L467" s="174">
        <f t="shared" si="132"/>
        <v>61.341048466864486</v>
      </c>
      <c r="M467" s="226">
        <v>90</v>
      </c>
      <c r="N467" s="631"/>
      <c r="O467" s="590"/>
      <c r="Q467" s="836"/>
      <c r="R467" s="914"/>
    </row>
    <row r="468" spans="1:18" s="178" customFormat="1" x14ac:dyDescent="0.25">
      <c r="A468" s="894" t="s">
        <v>1409</v>
      </c>
      <c r="B468" s="319" t="s">
        <v>1435</v>
      </c>
      <c r="C468" s="178">
        <v>239</v>
      </c>
      <c r="D468" s="178">
        <v>48</v>
      </c>
      <c r="E468" s="178" t="s">
        <v>1411</v>
      </c>
      <c r="F468" s="226">
        <v>36</v>
      </c>
      <c r="G468" s="178">
        <v>6066</v>
      </c>
      <c r="H468" s="226">
        <v>6015</v>
      </c>
      <c r="I468" s="338">
        <f t="shared" si="130"/>
        <v>35.697329376854597</v>
      </c>
      <c r="J468" s="614">
        <f t="shared" si="131"/>
        <v>71.697329376854597</v>
      </c>
      <c r="K468" s="316">
        <v>0.4</v>
      </c>
      <c r="L468" s="174">
        <f t="shared" si="132"/>
        <v>100.37626112759644</v>
      </c>
      <c r="M468" s="226">
        <v>110</v>
      </c>
      <c r="N468" s="631"/>
      <c r="O468" s="590"/>
      <c r="Q468" s="836"/>
      <c r="R468" s="914"/>
    </row>
    <row r="469" spans="1:18" s="178" customFormat="1" hidden="1" x14ac:dyDescent="0.25">
      <c r="A469" s="225" t="s">
        <v>1416</v>
      </c>
      <c r="B469" s="319" t="s">
        <v>1434</v>
      </c>
      <c r="C469" s="178">
        <v>240</v>
      </c>
      <c r="D469" s="178">
        <v>38</v>
      </c>
      <c r="E469" s="213" t="s">
        <v>1417</v>
      </c>
      <c r="F469" s="232">
        <v>45</v>
      </c>
      <c r="G469" s="213">
        <v>6066</v>
      </c>
      <c r="H469" s="232">
        <v>6015</v>
      </c>
      <c r="I469" s="695">
        <f t="shared" si="130"/>
        <v>44.62166172106825</v>
      </c>
      <c r="J469" s="696">
        <f t="shared" si="131"/>
        <v>89.62166172106825</v>
      </c>
      <c r="K469" s="612">
        <v>0.4</v>
      </c>
      <c r="L469" s="611">
        <f t="shared" si="132"/>
        <v>125.47032640949554</v>
      </c>
      <c r="M469" s="232">
        <v>110</v>
      </c>
      <c r="N469" s="631"/>
      <c r="O469" s="590"/>
      <c r="P469" s="178" t="s">
        <v>1893</v>
      </c>
      <c r="Q469" s="836">
        <v>45332</v>
      </c>
      <c r="R469" s="914">
        <f>+M469*8000</f>
        <v>880000</v>
      </c>
    </row>
    <row r="470" spans="1:18" s="178" customFormat="1" hidden="1" x14ac:dyDescent="0.25">
      <c r="A470" s="225" t="s">
        <v>1416</v>
      </c>
      <c r="B470" s="319" t="s">
        <v>1434</v>
      </c>
      <c r="C470" s="178">
        <v>241</v>
      </c>
      <c r="D470" s="178">
        <v>40</v>
      </c>
      <c r="E470" s="213" t="s">
        <v>1417</v>
      </c>
      <c r="F470" s="232">
        <v>45</v>
      </c>
      <c r="G470" s="213">
        <v>6066</v>
      </c>
      <c r="H470" s="232">
        <v>6015</v>
      </c>
      <c r="I470" s="695">
        <f t="shared" si="130"/>
        <v>44.62166172106825</v>
      </c>
      <c r="J470" s="696">
        <f t="shared" si="131"/>
        <v>89.62166172106825</v>
      </c>
      <c r="K470" s="612">
        <v>0.4</v>
      </c>
      <c r="L470" s="611">
        <f t="shared" si="132"/>
        <v>125.47032640949554</v>
      </c>
      <c r="M470" s="232">
        <v>125</v>
      </c>
      <c r="N470" s="226"/>
      <c r="O470" s="590"/>
      <c r="P470" s="178" t="s">
        <v>1994</v>
      </c>
      <c r="Q470" s="836">
        <v>45332</v>
      </c>
      <c r="R470" s="914">
        <f>+M470*8000</f>
        <v>1000000</v>
      </c>
    </row>
    <row r="471" spans="1:18" s="178" customFormat="1" hidden="1" x14ac:dyDescent="0.25">
      <c r="A471" s="225" t="s">
        <v>1418</v>
      </c>
      <c r="B471" s="225" t="s">
        <v>1418</v>
      </c>
      <c r="C471" s="178">
        <v>242</v>
      </c>
      <c r="D471" s="178">
        <v>42</v>
      </c>
      <c r="E471" s="213" t="s">
        <v>1419</v>
      </c>
      <c r="F471" s="232">
        <v>50</v>
      </c>
      <c r="G471" s="213">
        <v>6066</v>
      </c>
      <c r="H471" s="232">
        <v>6015</v>
      </c>
      <c r="I471" s="695">
        <f t="shared" ref="I471:I480" si="133">+F471/G471*H471</f>
        <v>49.579624134520273</v>
      </c>
      <c r="J471" s="696">
        <f t="shared" ref="J471:J480" si="134">+F471+I471</f>
        <v>99.579624134520273</v>
      </c>
      <c r="K471" s="612">
        <v>0.4</v>
      </c>
      <c r="L471" s="611">
        <f t="shared" ref="L471:L480" si="135">+J471*1.4</f>
        <v>139.41147378832838</v>
      </c>
      <c r="M471" s="232">
        <v>125</v>
      </c>
      <c r="N471" s="631"/>
      <c r="O471" s="590"/>
      <c r="P471" s="178" t="s">
        <v>12</v>
      </c>
      <c r="Q471" s="836">
        <v>45314</v>
      </c>
      <c r="R471" s="914">
        <f>+M471*7000</f>
        <v>875000</v>
      </c>
    </row>
    <row r="472" spans="1:18" s="178" customFormat="1" hidden="1" x14ac:dyDescent="0.25">
      <c r="A472" s="225" t="s">
        <v>259</v>
      </c>
      <c r="B472" s="319" t="s">
        <v>1441</v>
      </c>
      <c r="C472" s="178">
        <v>243</v>
      </c>
      <c r="D472" s="178">
        <v>44</v>
      </c>
      <c r="E472" s="213" t="s">
        <v>1422</v>
      </c>
      <c r="F472" s="232">
        <v>15</v>
      </c>
      <c r="G472" s="213">
        <v>6066</v>
      </c>
      <c r="H472" s="232">
        <v>6015</v>
      </c>
      <c r="I472" s="695">
        <f t="shared" si="133"/>
        <v>14.873887240356082</v>
      </c>
      <c r="J472" s="696">
        <f t="shared" si="134"/>
        <v>29.873887240356083</v>
      </c>
      <c r="K472" s="612">
        <v>0.4</v>
      </c>
      <c r="L472" s="611">
        <f t="shared" si="135"/>
        <v>41.823442136498514</v>
      </c>
      <c r="M472" s="232">
        <v>110</v>
      </c>
      <c r="N472" s="631"/>
      <c r="O472" s="590"/>
      <c r="P472" s="178" t="s">
        <v>2305</v>
      </c>
      <c r="Q472" s="836">
        <v>45385</v>
      </c>
      <c r="R472" s="914">
        <f>+M472*35000</f>
        <v>3850000</v>
      </c>
    </row>
    <row r="473" spans="1:18" s="178" customFormat="1" x14ac:dyDescent="0.25">
      <c r="A473" s="225" t="s">
        <v>259</v>
      </c>
      <c r="B473" s="319" t="s">
        <v>1441</v>
      </c>
      <c r="C473" s="178">
        <v>244</v>
      </c>
      <c r="D473" s="178">
        <v>46</v>
      </c>
      <c r="E473" s="178" t="s">
        <v>1422</v>
      </c>
      <c r="F473" s="226">
        <v>15</v>
      </c>
      <c r="G473" s="178">
        <v>6066</v>
      </c>
      <c r="H473" s="226">
        <v>6015</v>
      </c>
      <c r="I473" s="338">
        <f t="shared" si="133"/>
        <v>14.873887240356082</v>
      </c>
      <c r="J473" s="614">
        <f t="shared" si="134"/>
        <v>29.873887240356083</v>
      </c>
      <c r="K473" s="316">
        <v>0.4</v>
      </c>
      <c r="L473" s="174">
        <f t="shared" si="135"/>
        <v>41.823442136498514</v>
      </c>
      <c r="M473" s="226">
        <v>110</v>
      </c>
      <c r="N473" s="631"/>
      <c r="O473" s="590"/>
      <c r="Q473" s="836"/>
      <c r="R473" s="914"/>
    </row>
    <row r="474" spans="1:18" s="178" customFormat="1" x14ac:dyDescent="0.25">
      <c r="A474" s="225" t="s">
        <v>259</v>
      </c>
      <c r="B474" s="319" t="s">
        <v>1441</v>
      </c>
      <c r="C474" s="178">
        <v>245</v>
      </c>
      <c r="D474" s="178">
        <v>48</v>
      </c>
      <c r="E474" s="178" t="s">
        <v>1422</v>
      </c>
      <c r="F474" s="226">
        <v>15</v>
      </c>
      <c r="G474" s="178">
        <v>6066</v>
      </c>
      <c r="H474" s="226">
        <v>6015</v>
      </c>
      <c r="I474" s="338">
        <f t="shared" si="133"/>
        <v>14.873887240356082</v>
      </c>
      <c r="J474" s="614">
        <f t="shared" si="134"/>
        <v>29.873887240356083</v>
      </c>
      <c r="K474" s="316">
        <v>0.4</v>
      </c>
      <c r="L474" s="174">
        <f t="shared" si="135"/>
        <v>41.823442136498514</v>
      </c>
      <c r="M474" s="226">
        <v>110</v>
      </c>
      <c r="N474" s="631"/>
      <c r="O474" s="590"/>
      <c r="Q474" s="836"/>
      <c r="R474" s="914"/>
    </row>
    <row r="475" spans="1:18" s="178" customFormat="1" x14ac:dyDescent="0.25">
      <c r="A475" s="225" t="s">
        <v>259</v>
      </c>
      <c r="B475" s="319" t="s">
        <v>1441</v>
      </c>
      <c r="C475" s="178">
        <v>246</v>
      </c>
      <c r="D475" s="178">
        <v>50</v>
      </c>
      <c r="E475" s="178" t="s">
        <v>1422</v>
      </c>
      <c r="F475" s="226">
        <v>15</v>
      </c>
      <c r="G475" s="178">
        <v>6066</v>
      </c>
      <c r="H475" s="226">
        <v>6015</v>
      </c>
      <c r="I475" s="338">
        <f t="shared" si="133"/>
        <v>14.873887240356082</v>
      </c>
      <c r="J475" s="614">
        <f t="shared" si="134"/>
        <v>29.873887240356083</v>
      </c>
      <c r="K475" s="316">
        <v>0.4</v>
      </c>
      <c r="L475" s="174">
        <f t="shared" si="135"/>
        <v>41.823442136498514</v>
      </c>
      <c r="M475" s="226">
        <v>110</v>
      </c>
      <c r="N475" s="631"/>
      <c r="O475" s="590"/>
      <c r="Q475" s="836"/>
      <c r="R475" s="914"/>
    </row>
    <row r="476" spans="1:18" s="178" customFormat="1" hidden="1" x14ac:dyDescent="0.25">
      <c r="A476" s="225" t="s">
        <v>259</v>
      </c>
      <c r="B476" s="319" t="s">
        <v>1439</v>
      </c>
      <c r="C476" s="178">
        <v>247</v>
      </c>
      <c r="D476" s="178">
        <v>42</v>
      </c>
      <c r="E476" s="213" t="s">
        <v>1423</v>
      </c>
      <c r="F476" s="232">
        <v>28</v>
      </c>
      <c r="G476" s="213">
        <v>6066</v>
      </c>
      <c r="H476" s="232">
        <v>6015</v>
      </c>
      <c r="I476" s="695">
        <f t="shared" si="133"/>
        <v>27.764589515331355</v>
      </c>
      <c r="J476" s="696">
        <f t="shared" si="134"/>
        <v>55.764589515331352</v>
      </c>
      <c r="K476" s="612">
        <v>0.4</v>
      </c>
      <c r="L476" s="611">
        <f t="shared" si="135"/>
        <v>78.070425321463887</v>
      </c>
      <c r="M476" s="232">
        <v>110</v>
      </c>
      <c r="N476" s="631"/>
      <c r="O476" s="590"/>
      <c r="P476" s="178" t="s">
        <v>12</v>
      </c>
      <c r="Q476" s="836">
        <v>45355</v>
      </c>
      <c r="R476" s="914">
        <f>+M476*18000</f>
        <v>1980000</v>
      </c>
    </row>
    <row r="477" spans="1:18" s="178" customFormat="1" x14ac:dyDescent="0.25">
      <c r="A477" s="225" t="s">
        <v>259</v>
      </c>
      <c r="B477" s="319" t="s">
        <v>223</v>
      </c>
      <c r="C477" s="178">
        <v>248</v>
      </c>
      <c r="D477" s="178">
        <v>52</v>
      </c>
      <c r="E477" s="178" t="s">
        <v>1424</v>
      </c>
      <c r="F477" s="226">
        <v>41</v>
      </c>
      <c r="G477" s="178">
        <v>6066</v>
      </c>
      <c r="H477" s="226">
        <v>6015</v>
      </c>
      <c r="I477" s="338">
        <f t="shared" si="133"/>
        <v>40.655291790306627</v>
      </c>
      <c r="J477" s="614">
        <f t="shared" si="134"/>
        <v>81.65529179030662</v>
      </c>
      <c r="K477" s="316">
        <v>0.4</v>
      </c>
      <c r="L477" s="174">
        <f t="shared" si="135"/>
        <v>114.31740850642926</v>
      </c>
      <c r="M477" s="226">
        <v>125</v>
      </c>
      <c r="N477" s="631"/>
      <c r="O477" s="590"/>
      <c r="Q477" s="836"/>
      <c r="R477" s="914"/>
    </row>
    <row r="478" spans="1:18" s="178" customFormat="1" x14ac:dyDescent="0.25">
      <c r="A478" s="225" t="s">
        <v>259</v>
      </c>
      <c r="B478" s="319" t="s">
        <v>223</v>
      </c>
      <c r="C478" s="178">
        <v>249</v>
      </c>
      <c r="D478" s="178">
        <v>54</v>
      </c>
      <c r="E478" s="178" t="s">
        <v>1424</v>
      </c>
      <c r="F478" s="226">
        <v>41</v>
      </c>
      <c r="G478" s="178">
        <v>6066</v>
      </c>
      <c r="H478" s="226">
        <v>6015</v>
      </c>
      <c r="I478" s="338">
        <f t="shared" si="133"/>
        <v>40.655291790306627</v>
      </c>
      <c r="J478" s="614">
        <f t="shared" si="134"/>
        <v>81.65529179030662</v>
      </c>
      <c r="K478" s="316">
        <v>0.4</v>
      </c>
      <c r="L478" s="174">
        <f t="shared" si="135"/>
        <v>114.31740850642926</v>
      </c>
      <c r="M478" s="226">
        <v>125</v>
      </c>
      <c r="N478" s="631"/>
      <c r="O478" s="590"/>
      <c r="Q478" s="836"/>
      <c r="R478" s="914"/>
    </row>
    <row r="479" spans="1:18" s="178" customFormat="1" x14ac:dyDescent="0.25">
      <c r="A479" s="225" t="s">
        <v>259</v>
      </c>
      <c r="B479" s="319" t="s">
        <v>1440</v>
      </c>
      <c r="C479" s="178">
        <v>250</v>
      </c>
      <c r="D479" s="178">
        <v>44</v>
      </c>
      <c r="E479" s="178" t="s">
        <v>1425</v>
      </c>
      <c r="F479" s="226">
        <v>20</v>
      </c>
      <c r="G479" s="178">
        <v>6066</v>
      </c>
      <c r="H479" s="226">
        <v>6015</v>
      </c>
      <c r="I479" s="338">
        <f t="shared" si="133"/>
        <v>19.831849653808113</v>
      </c>
      <c r="J479" s="614">
        <f t="shared" si="134"/>
        <v>39.831849653808113</v>
      </c>
      <c r="K479" s="316">
        <v>0.4</v>
      </c>
      <c r="L479" s="174">
        <f t="shared" si="135"/>
        <v>55.764589515331359</v>
      </c>
      <c r="M479" s="226">
        <v>110</v>
      </c>
      <c r="N479" s="631"/>
      <c r="O479" s="590"/>
      <c r="Q479" s="836"/>
      <c r="R479" s="914"/>
    </row>
    <row r="480" spans="1:18" s="178" customFormat="1" x14ac:dyDescent="0.25">
      <c r="A480" s="225" t="s">
        <v>259</v>
      </c>
      <c r="B480" s="319" t="s">
        <v>1440</v>
      </c>
      <c r="C480" s="178">
        <v>251</v>
      </c>
      <c r="D480" s="178">
        <v>48</v>
      </c>
      <c r="E480" s="178" t="s">
        <v>1425</v>
      </c>
      <c r="F480" s="226">
        <v>20</v>
      </c>
      <c r="G480" s="178">
        <v>6066</v>
      </c>
      <c r="H480" s="226">
        <v>6015</v>
      </c>
      <c r="I480" s="338">
        <f t="shared" si="133"/>
        <v>19.831849653808113</v>
      </c>
      <c r="J480" s="614">
        <f t="shared" si="134"/>
        <v>39.831849653808113</v>
      </c>
      <c r="K480" s="316">
        <v>0.4</v>
      </c>
      <c r="L480" s="174">
        <f t="shared" si="135"/>
        <v>55.764589515331359</v>
      </c>
      <c r="M480" s="226">
        <v>110</v>
      </c>
      <c r="N480" s="631"/>
      <c r="O480" s="590"/>
      <c r="Q480" s="836"/>
      <c r="R480" s="914"/>
    </row>
    <row r="481" spans="1:18" s="178" customFormat="1" hidden="1" x14ac:dyDescent="0.25">
      <c r="B481" s="225" t="s">
        <v>1495</v>
      </c>
      <c r="C481" s="319"/>
      <c r="E481" s="174"/>
      <c r="F481" s="225" t="s">
        <v>1494</v>
      </c>
      <c r="G481" s="226"/>
      <c r="I481" s="226"/>
      <c r="J481" s="174"/>
      <c r="K481" s="174"/>
      <c r="L481" s="316"/>
      <c r="M481" s="174"/>
      <c r="N481" s="663"/>
      <c r="Q481" s="836"/>
      <c r="R481" s="914"/>
    </row>
    <row r="482" spans="1:18" s="178" customFormat="1" hidden="1" x14ac:dyDescent="0.25">
      <c r="A482" s="178" t="s">
        <v>1493</v>
      </c>
      <c r="B482" s="319" t="s">
        <v>1491</v>
      </c>
      <c r="C482" s="178">
        <v>252</v>
      </c>
      <c r="D482" s="174">
        <v>46</v>
      </c>
      <c r="E482" s="694" t="s">
        <v>1492</v>
      </c>
      <c r="F482" s="232">
        <v>64</v>
      </c>
      <c r="G482" s="213">
        <v>328</v>
      </c>
      <c r="H482" s="232">
        <f t="shared" ref="H482" si="136">328*0.045+118</f>
        <v>132.76</v>
      </c>
      <c r="I482" s="695">
        <f t="shared" ref="I482" si="137">+F482/G482*H482</f>
        <v>25.904390243902437</v>
      </c>
      <c r="J482" s="696">
        <f t="shared" ref="J482" si="138">+F482+I482</f>
        <v>89.904390243902441</v>
      </c>
      <c r="K482" s="612">
        <v>0.4</v>
      </c>
      <c r="L482" s="611">
        <f t="shared" ref="L482" si="139">+J482*1.4</f>
        <v>125.86614634146341</v>
      </c>
      <c r="M482" s="232">
        <v>190</v>
      </c>
      <c r="N482" s="631"/>
      <c r="O482" s="590"/>
      <c r="P482" s="178" t="s">
        <v>12</v>
      </c>
      <c r="Q482" s="836">
        <v>45294</v>
      </c>
      <c r="R482" s="914">
        <f>+M482*10000</f>
        <v>1900000</v>
      </c>
    </row>
    <row r="483" spans="1:18" s="225" customFormat="1" x14ac:dyDescent="0.25">
      <c r="B483" s="318" t="s">
        <v>1519</v>
      </c>
      <c r="C483" s="318"/>
      <c r="F483" s="225" t="s">
        <v>1516</v>
      </c>
      <c r="G483" s="175"/>
      <c r="H483" s="175"/>
      <c r="I483" s="175"/>
      <c r="J483" s="175"/>
      <c r="K483" s="175"/>
      <c r="L483" s="624"/>
      <c r="M483" s="175"/>
      <c r="N483" s="633"/>
      <c r="Q483" s="839"/>
      <c r="R483" s="916"/>
    </row>
    <row r="484" spans="1:18" s="178" customFormat="1" x14ac:dyDescent="0.25">
      <c r="A484" s="895" t="s">
        <v>436</v>
      </c>
      <c r="B484" s="319" t="s">
        <v>436</v>
      </c>
      <c r="C484" s="178">
        <v>253</v>
      </c>
      <c r="D484" s="178">
        <v>48</v>
      </c>
      <c r="E484" s="178" t="s">
        <v>1517</v>
      </c>
      <c r="F484" s="175">
        <v>27</v>
      </c>
      <c r="G484" s="2">
        <v>835</v>
      </c>
      <c r="H484" s="2">
        <f t="shared" ref="H484:H485" si="140">835*0.045+427</f>
        <v>464.57499999999999</v>
      </c>
      <c r="I484" s="623">
        <f t="shared" ref="I484:I485" si="141">+F484/G484*H484</f>
        <v>15.022185628742514</v>
      </c>
      <c r="J484" s="2">
        <f t="shared" ref="J484:J485" si="142">+F484+I484</f>
        <v>42.022185628742513</v>
      </c>
      <c r="K484" s="316">
        <v>0.4</v>
      </c>
      <c r="L484" s="622">
        <f t="shared" ref="L484:L485" si="143">+J484*1.4</f>
        <v>58.831059880239515</v>
      </c>
      <c r="M484" s="226">
        <v>90</v>
      </c>
      <c r="N484" s="631"/>
      <c r="O484" s="590"/>
      <c r="Q484" s="836"/>
      <c r="R484" s="914"/>
    </row>
    <row r="485" spans="1:18" s="178" customFormat="1" hidden="1" x14ac:dyDescent="0.25">
      <c r="A485" s="895" t="s">
        <v>436</v>
      </c>
      <c r="B485" s="319" t="s">
        <v>436</v>
      </c>
      <c r="C485" s="178">
        <v>254</v>
      </c>
      <c r="D485" s="178">
        <v>46</v>
      </c>
      <c r="E485" s="752" t="s">
        <v>1518</v>
      </c>
      <c r="F485" s="698">
        <v>27</v>
      </c>
      <c r="G485" s="61">
        <v>835</v>
      </c>
      <c r="H485" s="61">
        <f t="shared" si="140"/>
        <v>464.57499999999999</v>
      </c>
      <c r="I485" s="897">
        <f t="shared" si="141"/>
        <v>15.022185628742514</v>
      </c>
      <c r="J485" s="61">
        <f t="shared" si="142"/>
        <v>42.022185628742513</v>
      </c>
      <c r="K485" s="612">
        <v>0.4</v>
      </c>
      <c r="L485" s="898">
        <f t="shared" si="143"/>
        <v>58.831059880239515</v>
      </c>
      <c r="M485" s="232">
        <v>90</v>
      </c>
      <c r="N485" s="631"/>
      <c r="O485" s="590"/>
      <c r="P485" s="178" t="s">
        <v>12</v>
      </c>
      <c r="Q485" s="836">
        <v>45412</v>
      </c>
      <c r="R485" s="914">
        <f>+M485*36000</f>
        <v>3240000</v>
      </c>
    </row>
    <row r="486" spans="1:18" s="178" customFormat="1" hidden="1" x14ac:dyDescent="0.25">
      <c r="A486" s="178" t="s">
        <v>763</v>
      </c>
      <c r="B486" s="319" t="s">
        <v>926</v>
      </c>
      <c r="C486" s="178">
        <v>255</v>
      </c>
      <c r="D486" s="178">
        <v>42</v>
      </c>
      <c r="E486" s="752" t="s">
        <v>1704</v>
      </c>
      <c r="F486" s="698">
        <v>27</v>
      </c>
      <c r="G486" s="305">
        <v>5278</v>
      </c>
      <c r="H486" s="232">
        <v>7702</v>
      </c>
      <c r="I486" s="695">
        <f t="shared" ref="I486:I519" si="144">+F486/G486*H486</f>
        <v>39.400151572565363</v>
      </c>
      <c r="J486" s="696">
        <f t="shared" ref="J486:J519" si="145">+F486+I486</f>
        <v>66.400151572565363</v>
      </c>
      <c r="K486" s="612">
        <v>0.4</v>
      </c>
      <c r="L486" s="611">
        <f t="shared" ref="L486:L519" si="146">+J486*1.4</f>
        <v>92.960212201591503</v>
      </c>
      <c r="M486" s="232">
        <v>100</v>
      </c>
      <c r="N486" s="631"/>
      <c r="O486" s="590"/>
      <c r="P486" s="178" t="s">
        <v>2499</v>
      </c>
      <c r="Q486" s="836">
        <v>45405</v>
      </c>
      <c r="R486" s="914">
        <f>+M486*36000</f>
        <v>3600000</v>
      </c>
    </row>
    <row r="487" spans="1:18" s="178" customFormat="1" x14ac:dyDescent="0.25">
      <c r="A487" s="895" t="s">
        <v>763</v>
      </c>
      <c r="B487" s="319" t="s">
        <v>926</v>
      </c>
      <c r="C487" s="178">
        <v>256</v>
      </c>
      <c r="D487" s="178">
        <v>44</v>
      </c>
      <c r="E487" s="347" t="s">
        <v>1704</v>
      </c>
      <c r="F487" s="175">
        <v>27</v>
      </c>
      <c r="G487" s="227">
        <v>5278</v>
      </c>
      <c r="H487" s="226">
        <v>7702</v>
      </c>
      <c r="I487" s="338">
        <f t="shared" si="144"/>
        <v>39.400151572565363</v>
      </c>
      <c r="J487" s="614">
        <f t="shared" si="145"/>
        <v>66.400151572565363</v>
      </c>
      <c r="K487" s="316">
        <v>0.4</v>
      </c>
      <c r="L487" s="174">
        <f t="shared" si="146"/>
        <v>92.960212201591503</v>
      </c>
      <c r="M487" s="226">
        <v>110</v>
      </c>
      <c r="N487" s="631"/>
      <c r="O487" s="590"/>
      <c r="Q487" s="836"/>
      <c r="R487" s="914"/>
    </row>
    <row r="488" spans="1:18" s="178" customFormat="1" x14ac:dyDescent="0.25">
      <c r="A488" s="178" t="s">
        <v>763</v>
      </c>
      <c r="B488" s="319" t="s">
        <v>926</v>
      </c>
      <c r="C488" s="178">
        <v>257</v>
      </c>
      <c r="D488" s="178">
        <v>42</v>
      </c>
      <c r="E488" s="347" t="s">
        <v>1528</v>
      </c>
      <c r="F488" s="175">
        <v>27</v>
      </c>
      <c r="G488" s="227">
        <v>5278</v>
      </c>
      <c r="H488" s="226">
        <v>7702</v>
      </c>
      <c r="I488" s="338">
        <f t="shared" si="144"/>
        <v>39.400151572565363</v>
      </c>
      <c r="J488" s="614">
        <f t="shared" si="145"/>
        <v>66.400151572565363</v>
      </c>
      <c r="K488" s="316">
        <v>0.4</v>
      </c>
      <c r="L488" s="174">
        <f t="shared" si="146"/>
        <v>92.960212201591503</v>
      </c>
      <c r="M488" s="226">
        <v>110</v>
      </c>
      <c r="N488" s="631"/>
      <c r="O488" s="590"/>
      <c r="Q488" s="836"/>
      <c r="R488" s="914"/>
    </row>
    <row r="489" spans="1:18" s="178" customFormat="1" x14ac:dyDescent="0.25">
      <c r="A489" s="178" t="s">
        <v>763</v>
      </c>
      <c r="B489" s="319" t="s">
        <v>926</v>
      </c>
      <c r="C489" s="178">
        <v>258</v>
      </c>
      <c r="D489" s="178">
        <v>44</v>
      </c>
      <c r="E489" s="347" t="s">
        <v>1528</v>
      </c>
      <c r="F489" s="175">
        <v>27</v>
      </c>
      <c r="G489" s="227">
        <v>5278</v>
      </c>
      <c r="H489" s="226">
        <v>7702</v>
      </c>
      <c r="I489" s="338">
        <f t="shared" si="144"/>
        <v>39.400151572565363</v>
      </c>
      <c r="J489" s="614">
        <f t="shared" si="145"/>
        <v>66.400151572565363</v>
      </c>
      <c r="K489" s="316">
        <v>0.4</v>
      </c>
      <c r="L489" s="174">
        <f t="shared" si="146"/>
        <v>92.960212201591503</v>
      </c>
      <c r="M489" s="226">
        <v>110</v>
      </c>
      <c r="N489" s="631"/>
      <c r="O489" s="590"/>
      <c r="Q489" s="836"/>
      <c r="R489" s="914"/>
    </row>
    <row r="490" spans="1:18" s="178" customFormat="1" hidden="1" x14ac:dyDescent="0.25">
      <c r="A490" s="178" t="s">
        <v>763</v>
      </c>
      <c r="B490" s="319" t="s">
        <v>926</v>
      </c>
      <c r="C490" s="178">
        <v>259</v>
      </c>
      <c r="D490" s="178">
        <v>38</v>
      </c>
      <c r="E490" s="752" t="s">
        <v>1529</v>
      </c>
      <c r="F490" s="698">
        <v>25</v>
      </c>
      <c r="G490" s="305">
        <v>5278</v>
      </c>
      <c r="H490" s="232">
        <v>7702</v>
      </c>
      <c r="I490" s="695">
        <f t="shared" si="144"/>
        <v>36.481621826449413</v>
      </c>
      <c r="J490" s="696">
        <f t="shared" si="145"/>
        <v>61.481621826449413</v>
      </c>
      <c r="K490" s="612">
        <v>0.4</v>
      </c>
      <c r="L490" s="611">
        <f t="shared" si="146"/>
        <v>86.074270557029166</v>
      </c>
      <c r="M490" s="232">
        <v>110</v>
      </c>
      <c r="N490" s="631"/>
      <c r="O490" s="590"/>
      <c r="P490" s="178" t="s">
        <v>12</v>
      </c>
      <c r="Q490" s="836">
        <v>45416</v>
      </c>
      <c r="R490" s="914">
        <f>+M490*14.5</f>
        <v>1595</v>
      </c>
    </row>
    <row r="491" spans="1:18" s="178" customFormat="1" x14ac:dyDescent="0.25">
      <c r="A491" s="895" t="s">
        <v>763</v>
      </c>
      <c r="B491" s="319" t="s">
        <v>926</v>
      </c>
      <c r="C491" s="178">
        <v>260</v>
      </c>
      <c r="D491" s="178">
        <v>40</v>
      </c>
      <c r="E491" s="347" t="s">
        <v>1529</v>
      </c>
      <c r="F491" s="175">
        <v>25</v>
      </c>
      <c r="G491" s="227">
        <v>5278</v>
      </c>
      <c r="H491" s="226">
        <v>7702</v>
      </c>
      <c r="I491" s="338">
        <f t="shared" si="144"/>
        <v>36.481621826449413</v>
      </c>
      <c r="J491" s="614">
        <f t="shared" si="145"/>
        <v>61.481621826449413</v>
      </c>
      <c r="K491" s="316">
        <v>0.4</v>
      </c>
      <c r="L491" s="174">
        <f t="shared" si="146"/>
        <v>86.074270557029166</v>
      </c>
      <c r="M491" s="226">
        <v>110</v>
      </c>
      <c r="N491" s="631"/>
      <c r="O491" s="590"/>
      <c r="Q491" s="836"/>
      <c r="R491" s="914"/>
    </row>
    <row r="492" spans="1:18" s="178" customFormat="1" hidden="1" x14ac:dyDescent="0.25">
      <c r="A492" s="178" t="s">
        <v>1531</v>
      </c>
      <c r="B492" s="178" t="s">
        <v>1531</v>
      </c>
      <c r="C492" s="178">
        <v>261</v>
      </c>
      <c r="D492" s="178">
        <v>44</v>
      </c>
      <c r="E492" s="752" t="s">
        <v>1532</v>
      </c>
      <c r="F492" s="698">
        <v>35</v>
      </c>
      <c r="G492" s="305">
        <v>5278</v>
      </c>
      <c r="H492" s="232">
        <v>7702</v>
      </c>
      <c r="I492" s="695">
        <f t="shared" si="144"/>
        <v>51.07427055702918</v>
      </c>
      <c r="J492" s="696">
        <f t="shared" si="145"/>
        <v>86.07427055702918</v>
      </c>
      <c r="K492" s="612">
        <v>0.4</v>
      </c>
      <c r="L492" s="611">
        <f t="shared" si="146"/>
        <v>120.50397877984085</v>
      </c>
      <c r="M492" s="232">
        <v>115</v>
      </c>
      <c r="N492" s="631"/>
      <c r="O492" s="590"/>
      <c r="P492" s="178" t="s">
        <v>12</v>
      </c>
      <c r="Q492" s="836">
        <v>45318</v>
      </c>
      <c r="R492" s="914">
        <f>+M492*7000</f>
        <v>805000</v>
      </c>
    </row>
    <row r="493" spans="1:18" s="178" customFormat="1" x14ac:dyDescent="0.25">
      <c r="A493" s="895" t="s">
        <v>1531</v>
      </c>
      <c r="B493" s="178" t="s">
        <v>1531</v>
      </c>
      <c r="C493" s="178">
        <v>262</v>
      </c>
      <c r="D493" s="178">
        <v>50</v>
      </c>
      <c r="E493" s="347" t="s">
        <v>1532</v>
      </c>
      <c r="F493" s="175">
        <v>35</v>
      </c>
      <c r="G493" s="227">
        <v>5278</v>
      </c>
      <c r="H493" s="226">
        <v>7702</v>
      </c>
      <c r="I493" s="338">
        <f t="shared" si="144"/>
        <v>51.07427055702918</v>
      </c>
      <c r="J493" s="614">
        <f t="shared" si="145"/>
        <v>86.07427055702918</v>
      </c>
      <c r="K493" s="316">
        <v>0.4</v>
      </c>
      <c r="L493" s="174">
        <f t="shared" si="146"/>
        <v>120.50397877984085</v>
      </c>
      <c r="M493" s="226">
        <v>125</v>
      </c>
      <c r="N493" s="631"/>
      <c r="O493" s="590"/>
      <c r="Q493" s="836"/>
      <c r="R493" s="914"/>
    </row>
    <row r="494" spans="1:18" s="178" customFormat="1" hidden="1" x14ac:dyDescent="0.25">
      <c r="A494" s="178" t="s">
        <v>1215</v>
      </c>
      <c r="B494" s="319" t="s">
        <v>1533</v>
      </c>
      <c r="C494" s="178">
        <v>263</v>
      </c>
      <c r="D494" s="178">
        <v>42</v>
      </c>
      <c r="E494" s="752" t="s">
        <v>1534</v>
      </c>
      <c r="F494" s="698">
        <v>35</v>
      </c>
      <c r="G494" s="305">
        <v>5278</v>
      </c>
      <c r="H494" s="232">
        <v>7702</v>
      </c>
      <c r="I494" s="695">
        <f t="shared" si="144"/>
        <v>51.07427055702918</v>
      </c>
      <c r="J494" s="696">
        <f t="shared" si="145"/>
        <v>86.07427055702918</v>
      </c>
      <c r="K494" s="612">
        <v>0.4</v>
      </c>
      <c r="L494" s="611">
        <f t="shared" si="146"/>
        <v>120.50397877984085</v>
      </c>
      <c r="M494" s="232">
        <v>150</v>
      </c>
      <c r="N494" s="631"/>
      <c r="O494" s="590"/>
      <c r="P494" s="178" t="s">
        <v>2214</v>
      </c>
      <c r="Q494" s="836">
        <v>45374</v>
      </c>
      <c r="R494" s="914">
        <f>+M494*20000</f>
        <v>3000000</v>
      </c>
    </row>
    <row r="495" spans="1:18" s="178" customFormat="1" x14ac:dyDescent="0.25">
      <c r="A495" s="178" t="s">
        <v>1215</v>
      </c>
      <c r="B495" s="319" t="s">
        <v>1533</v>
      </c>
      <c r="C495" s="178">
        <v>264</v>
      </c>
      <c r="D495" s="178">
        <v>44</v>
      </c>
      <c r="E495" s="752" t="s">
        <v>1534</v>
      </c>
      <c r="F495" s="698">
        <v>35</v>
      </c>
      <c r="G495" s="305">
        <v>5278</v>
      </c>
      <c r="H495" s="232">
        <v>7702</v>
      </c>
      <c r="I495" s="695">
        <f t="shared" si="144"/>
        <v>51.07427055702918</v>
      </c>
      <c r="J495" s="696">
        <f t="shared" si="145"/>
        <v>86.07427055702918</v>
      </c>
      <c r="K495" s="612">
        <v>0.4</v>
      </c>
      <c r="L495" s="611">
        <f t="shared" si="146"/>
        <v>120.50397877984085</v>
      </c>
      <c r="M495" s="232">
        <v>150</v>
      </c>
      <c r="N495" s="631"/>
      <c r="O495" s="590"/>
      <c r="P495" s="178" t="s">
        <v>2955</v>
      </c>
      <c r="Q495" s="836">
        <v>45476</v>
      </c>
      <c r="R495" s="914"/>
    </row>
    <row r="496" spans="1:18" s="178" customFormat="1" hidden="1" x14ac:dyDescent="0.25">
      <c r="A496" s="178" t="s">
        <v>1215</v>
      </c>
      <c r="B496" s="319" t="s">
        <v>934</v>
      </c>
      <c r="C496" s="178">
        <v>265</v>
      </c>
      <c r="D496" s="178">
        <v>42</v>
      </c>
      <c r="E496" s="752" t="s">
        <v>1535</v>
      </c>
      <c r="F496" s="698">
        <v>25</v>
      </c>
      <c r="G496" s="305">
        <v>5278</v>
      </c>
      <c r="H496" s="232">
        <v>7702</v>
      </c>
      <c r="I496" s="695">
        <f t="shared" si="144"/>
        <v>36.481621826449413</v>
      </c>
      <c r="J496" s="696">
        <f t="shared" si="145"/>
        <v>61.481621826449413</v>
      </c>
      <c r="K496" s="612">
        <v>0.4</v>
      </c>
      <c r="L496" s="611">
        <f t="shared" si="146"/>
        <v>86.074270557029166</v>
      </c>
      <c r="M496" s="766">
        <v>110</v>
      </c>
      <c r="N496" s="743"/>
      <c r="O496" s="590"/>
      <c r="P496" s="178" t="s">
        <v>1994</v>
      </c>
      <c r="Q496" s="836">
        <v>45349</v>
      </c>
      <c r="R496" s="914">
        <f>+M496*15000</f>
        <v>1650000</v>
      </c>
    </row>
    <row r="497" spans="1:21" s="178" customFormat="1" x14ac:dyDescent="0.25">
      <c r="B497" s="319" t="s">
        <v>934</v>
      </c>
      <c r="C497" s="178">
        <v>266</v>
      </c>
      <c r="D497" s="178">
        <v>42</v>
      </c>
      <c r="E497" s="347" t="s">
        <v>1535</v>
      </c>
      <c r="F497" s="175">
        <v>25</v>
      </c>
      <c r="G497" s="227">
        <v>5278</v>
      </c>
      <c r="H497" s="226">
        <v>7702</v>
      </c>
      <c r="I497" s="338">
        <f t="shared" ref="I497" si="147">+F497/G497*H497</f>
        <v>36.481621826449413</v>
      </c>
      <c r="J497" s="614">
        <f t="shared" ref="J497" si="148">+F497+I497</f>
        <v>61.481621826449413</v>
      </c>
      <c r="K497" s="316">
        <v>0.4</v>
      </c>
      <c r="L497" s="174">
        <f t="shared" ref="L497" si="149">+J497*1.4</f>
        <v>86.074270557029166</v>
      </c>
      <c r="M497" s="230">
        <v>110</v>
      </c>
      <c r="N497" s="743"/>
      <c r="O497" s="590"/>
      <c r="P497" s="178" t="s">
        <v>1821</v>
      </c>
      <c r="Q497" s="836"/>
      <c r="R497" s="914"/>
    </row>
    <row r="498" spans="1:21" s="178" customFormat="1" hidden="1" x14ac:dyDescent="0.25">
      <c r="A498" s="178" t="s">
        <v>1215</v>
      </c>
      <c r="B498" s="319" t="s">
        <v>934</v>
      </c>
      <c r="C498" s="178">
        <v>267</v>
      </c>
      <c r="D498" s="178">
        <v>46</v>
      </c>
      <c r="E498" s="752" t="s">
        <v>1535</v>
      </c>
      <c r="F498" s="698">
        <v>25</v>
      </c>
      <c r="G498" s="305">
        <v>5278</v>
      </c>
      <c r="H498" s="232">
        <v>7702</v>
      </c>
      <c r="I498" s="695">
        <f t="shared" si="144"/>
        <v>36.481621826449413</v>
      </c>
      <c r="J498" s="696">
        <f t="shared" si="145"/>
        <v>61.481621826449413</v>
      </c>
      <c r="K498" s="612">
        <v>0.4</v>
      </c>
      <c r="L498" s="611">
        <f t="shared" si="146"/>
        <v>86.074270557029166</v>
      </c>
      <c r="M498" s="766">
        <v>105</v>
      </c>
      <c r="N498" s="743"/>
      <c r="O498" s="590"/>
      <c r="P498" s="178" t="s">
        <v>12</v>
      </c>
      <c r="Q498" s="836">
        <v>45324</v>
      </c>
      <c r="R498" s="914">
        <f>+M498*8000</f>
        <v>840000</v>
      </c>
    </row>
    <row r="499" spans="1:21" s="178" customFormat="1" x14ac:dyDescent="0.25">
      <c r="A499" s="178" t="s">
        <v>1215</v>
      </c>
      <c r="B499" s="319" t="s">
        <v>934</v>
      </c>
      <c r="C499" s="178">
        <v>268</v>
      </c>
      <c r="D499" s="178">
        <v>48</v>
      </c>
      <c r="E499" s="347" t="s">
        <v>1535</v>
      </c>
      <c r="F499" s="175">
        <v>25</v>
      </c>
      <c r="G499" s="227">
        <v>5278</v>
      </c>
      <c r="H499" s="226">
        <v>7702</v>
      </c>
      <c r="I499" s="338">
        <f t="shared" si="144"/>
        <v>36.481621826449413</v>
      </c>
      <c r="J499" s="614">
        <f t="shared" si="145"/>
        <v>61.481621826449413</v>
      </c>
      <c r="K499" s="316">
        <v>0.4</v>
      </c>
      <c r="L499" s="174">
        <f t="shared" si="146"/>
        <v>86.074270557029166</v>
      </c>
      <c r="M499" s="230">
        <v>110</v>
      </c>
      <c r="N499" s="743"/>
      <c r="O499" s="590"/>
      <c r="Q499" s="836"/>
      <c r="R499" s="914"/>
      <c r="U499" s="229"/>
    </row>
    <row r="500" spans="1:21" s="178" customFormat="1" x14ac:dyDescent="0.25">
      <c r="A500" s="178" t="s">
        <v>1536</v>
      </c>
      <c r="B500" s="319" t="s">
        <v>1611</v>
      </c>
      <c r="C500" s="178">
        <v>269</v>
      </c>
      <c r="D500" s="178">
        <v>44</v>
      </c>
      <c r="E500" s="347" t="s">
        <v>1537</v>
      </c>
      <c r="F500" s="175">
        <v>29</v>
      </c>
      <c r="G500" s="227">
        <v>5278</v>
      </c>
      <c r="H500" s="226">
        <v>7702</v>
      </c>
      <c r="I500" s="338">
        <f t="shared" si="144"/>
        <v>42.318681318681321</v>
      </c>
      <c r="J500" s="614">
        <f t="shared" si="145"/>
        <v>71.318681318681314</v>
      </c>
      <c r="K500" s="316">
        <v>0.4</v>
      </c>
      <c r="L500" s="174">
        <f t="shared" si="146"/>
        <v>99.84615384615384</v>
      </c>
      <c r="M500" s="338">
        <v>110</v>
      </c>
      <c r="N500" s="660"/>
      <c r="O500" s="590"/>
      <c r="Q500" s="836"/>
      <c r="R500" s="914"/>
    </row>
    <row r="501" spans="1:21" s="178" customFormat="1" x14ac:dyDescent="0.25">
      <c r="A501" s="178" t="s">
        <v>1536</v>
      </c>
      <c r="B501" s="319" t="s">
        <v>1611</v>
      </c>
      <c r="C501" s="178">
        <v>270</v>
      </c>
      <c r="D501" s="178">
        <v>48</v>
      </c>
      <c r="E501" s="347" t="s">
        <v>1537</v>
      </c>
      <c r="F501" s="175">
        <v>29</v>
      </c>
      <c r="G501" s="227">
        <v>5278</v>
      </c>
      <c r="H501" s="226">
        <v>7702</v>
      </c>
      <c r="I501" s="338">
        <f t="shared" si="144"/>
        <v>42.318681318681321</v>
      </c>
      <c r="J501" s="614">
        <f t="shared" si="145"/>
        <v>71.318681318681314</v>
      </c>
      <c r="K501" s="316">
        <v>0.4</v>
      </c>
      <c r="L501" s="174">
        <f t="shared" si="146"/>
        <v>99.84615384615384</v>
      </c>
      <c r="M501" s="338">
        <v>110</v>
      </c>
      <c r="N501" s="660"/>
      <c r="O501" s="590"/>
      <c r="Q501" s="836"/>
      <c r="R501" s="914"/>
    </row>
    <row r="502" spans="1:21" s="178" customFormat="1" x14ac:dyDescent="0.25">
      <c r="A502" s="178" t="s">
        <v>1536</v>
      </c>
      <c r="B502" s="319" t="s">
        <v>1611</v>
      </c>
      <c r="C502" s="178">
        <v>271</v>
      </c>
      <c r="D502" s="178">
        <v>50</v>
      </c>
      <c r="E502" s="347" t="s">
        <v>1537</v>
      </c>
      <c r="F502" s="175">
        <v>29</v>
      </c>
      <c r="G502" s="227">
        <v>5278</v>
      </c>
      <c r="H502" s="226">
        <v>7702</v>
      </c>
      <c r="I502" s="338">
        <f t="shared" si="144"/>
        <v>42.318681318681321</v>
      </c>
      <c r="J502" s="614">
        <f t="shared" si="145"/>
        <v>71.318681318681314</v>
      </c>
      <c r="K502" s="316">
        <v>0.4</v>
      </c>
      <c r="L502" s="174">
        <f t="shared" si="146"/>
        <v>99.84615384615384</v>
      </c>
      <c r="M502" s="338">
        <v>110</v>
      </c>
      <c r="N502" s="660"/>
      <c r="O502" s="590"/>
      <c r="Q502" s="836"/>
      <c r="R502" s="914"/>
    </row>
    <row r="503" spans="1:21" s="178" customFormat="1" x14ac:dyDescent="0.25">
      <c r="A503" s="178" t="s">
        <v>255</v>
      </c>
      <c r="B503" s="319" t="s">
        <v>1595</v>
      </c>
      <c r="C503" s="178">
        <v>272</v>
      </c>
      <c r="D503" s="178">
        <v>50</v>
      </c>
      <c r="E503" s="347" t="s">
        <v>1596</v>
      </c>
      <c r="F503" s="175">
        <v>26</v>
      </c>
      <c r="G503" s="227">
        <v>5278</v>
      </c>
      <c r="H503" s="226">
        <v>7702</v>
      </c>
      <c r="I503" s="338">
        <f t="shared" si="144"/>
        <v>37.940886699507388</v>
      </c>
      <c r="J503" s="614">
        <f t="shared" si="145"/>
        <v>63.940886699507388</v>
      </c>
      <c r="K503" s="316">
        <v>0.4</v>
      </c>
      <c r="L503" s="174">
        <f t="shared" si="146"/>
        <v>89.517241379310335</v>
      </c>
      <c r="M503" s="338">
        <v>125</v>
      </c>
      <c r="N503" s="660"/>
      <c r="O503" s="590"/>
      <c r="Q503" s="836"/>
      <c r="R503" s="914"/>
    </row>
    <row r="504" spans="1:21" s="178" customFormat="1" x14ac:dyDescent="0.25">
      <c r="A504" s="178" t="s">
        <v>255</v>
      </c>
      <c r="B504" s="319" t="s">
        <v>1595</v>
      </c>
      <c r="C504" s="178">
        <v>273</v>
      </c>
      <c r="D504" s="178">
        <v>52</v>
      </c>
      <c r="E504" s="347" t="s">
        <v>1596</v>
      </c>
      <c r="F504" s="175">
        <v>26</v>
      </c>
      <c r="G504" s="227">
        <v>5278</v>
      </c>
      <c r="H504" s="226">
        <v>7702</v>
      </c>
      <c r="I504" s="338">
        <f t="shared" si="144"/>
        <v>37.940886699507388</v>
      </c>
      <c r="J504" s="614">
        <f t="shared" si="145"/>
        <v>63.940886699507388</v>
      </c>
      <c r="K504" s="316">
        <v>0.4</v>
      </c>
      <c r="L504" s="174">
        <f t="shared" si="146"/>
        <v>89.517241379310335</v>
      </c>
      <c r="M504" s="338">
        <v>125</v>
      </c>
      <c r="N504" s="660"/>
      <c r="O504" s="590"/>
      <c r="Q504" s="836"/>
      <c r="R504" s="914"/>
    </row>
    <row r="505" spans="1:21" s="178" customFormat="1" x14ac:dyDescent="0.25">
      <c r="A505" s="178" t="s">
        <v>255</v>
      </c>
      <c r="B505" s="319" t="s">
        <v>1595</v>
      </c>
      <c r="C505" s="178">
        <v>274</v>
      </c>
      <c r="D505" s="178">
        <v>54</v>
      </c>
      <c r="E505" s="347" t="s">
        <v>1596</v>
      </c>
      <c r="F505" s="175">
        <v>26</v>
      </c>
      <c r="G505" s="227">
        <v>5278</v>
      </c>
      <c r="H505" s="226">
        <v>7702</v>
      </c>
      <c r="I505" s="338">
        <f t="shared" si="144"/>
        <v>37.940886699507388</v>
      </c>
      <c r="J505" s="614">
        <f t="shared" si="145"/>
        <v>63.940886699507388</v>
      </c>
      <c r="K505" s="316">
        <v>0.4</v>
      </c>
      <c r="L505" s="174">
        <f t="shared" si="146"/>
        <v>89.517241379310335</v>
      </c>
      <c r="M505" s="338">
        <v>125</v>
      </c>
      <c r="N505" s="660"/>
      <c r="O505" s="590"/>
      <c r="Q505" s="836"/>
      <c r="R505" s="914"/>
    </row>
    <row r="506" spans="1:21" s="178" customFormat="1" x14ac:dyDescent="0.25">
      <c r="A506" s="178" t="s">
        <v>255</v>
      </c>
      <c r="B506" s="319" t="s">
        <v>1595</v>
      </c>
      <c r="C506" s="178">
        <v>275</v>
      </c>
      <c r="D506" s="178">
        <v>56</v>
      </c>
      <c r="E506" s="347" t="s">
        <v>1596</v>
      </c>
      <c r="F506" s="175">
        <v>26</v>
      </c>
      <c r="G506" s="227">
        <v>5278</v>
      </c>
      <c r="H506" s="226">
        <v>7702</v>
      </c>
      <c r="I506" s="338">
        <f t="shared" si="144"/>
        <v>37.940886699507388</v>
      </c>
      <c r="J506" s="614">
        <f t="shared" si="145"/>
        <v>63.940886699507388</v>
      </c>
      <c r="K506" s="316">
        <v>0.4</v>
      </c>
      <c r="L506" s="174">
        <f t="shared" si="146"/>
        <v>89.517241379310335</v>
      </c>
      <c r="M506" s="338">
        <v>125</v>
      </c>
      <c r="N506" s="660"/>
      <c r="O506" s="590"/>
      <c r="Q506" s="836"/>
      <c r="R506" s="914"/>
    </row>
    <row r="507" spans="1:21" s="178" customFormat="1" x14ac:dyDescent="0.25">
      <c r="A507" s="178" t="s">
        <v>255</v>
      </c>
      <c r="B507" s="319" t="s">
        <v>1595</v>
      </c>
      <c r="C507" s="178">
        <v>276</v>
      </c>
      <c r="D507" s="178">
        <v>56</v>
      </c>
      <c r="E507" s="347" t="s">
        <v>1597</v>
      </c>
      <c r="F507" s="175">
        <v>43</v>
      </c>
      <c r="G507" s="227">
        <v>5278</v>
      </c>
      <c r="H507" s="226">
        <v>7702</v>
      </c>
      <c r="I507" s="338">
        <f t="shared" si="144"/>
        <v>62.748389541492998</v>
      </c>
      <c r="J507" s="614">
        <f t="shared" si="145"/>
        <v>105.748389541493</v>
      </c>
      <c r="K507" s="316">
        <v>0.4</v>
      </c>
      <c r="L507" s="174">
        <f t="shared" si="146"/>
        <v>148.0477453580902</v>
      </c>
      <c r="M507" s="226">
        <v>150</v>
      </c>
      <c r="N507" s="631"/>
      <c r="O507" s="590"/>
      <c r="Q507" s="836"/>
      <c r="R507" s="914"/>
    </row>
    <row r="508" spans="1:21" s="178" customFormat="1" x14ac:dyDescent="0.25">
      <c r="A508" s="178" t="s">
        <v>255</v>
      </c>
      <c r="B508" s="319" t="s">
        <v>1595</v>
      </c>
      <c r="C508" s="178">
        <v>277</v>
      </c>
      <c r="D508" s="178">
        <v>58</v>
      </c>
      <c r="E508" s="347" t="s">
        <v>1597</v>
      </c>
      <c r="F508" s="175">
        <v>43</v>
      </c>
      <c r="G508" s="227">
        <v>5278</v>
      </c>
      <c r="H508" s="226">
        <v>7702</v>
      </c>
      <c r="I508" s="338">
        <f t="shared" si="144"/>
        <v>62.748389541492998</v>
      </c>
      <c r="J508" s="614">
        <f t="shared" si="145"/>
        <v>105.748389541493</v>
      </c>
      <c r="K508" s="316">
        <v>0.4</v>
      </c>
      <c r="L508" s="174">
        <f t="shared" si="146"/>
        <v>148.0477453580902</v>
      </c>
      <c r="M508" s="226">
        <v>150</v>
      </c>
      <c r="N508" s="631"/>
      <c r="O508" s="590"/>
      <c r="Q508" s="836"/>
      <c r="R508" s="914"/>
    </row>
    <row r="509" spans="1:21" s="178" customFormat="1" x14ac:dyDescent="0.25">
      <c r="A509" s="178" t="s">
        <v>255</v>
      </c>
      <c r="B509" s="319" t="s">
        <v>1595</v>
      </c>
      <c r="C509" s="178">
        <v>278</v>
      </c>
      <c r="D509" s="178">
        <v>62</v>
      </c>
      <c r="E509" s="347" t="s">
        <v>1597</v>
      </c>
      <c r="F509" s="175">
        <v>43</v>
      </c>
      <c r="G509" s="227">
        <v>5278</v>
      </c>
      <c r="H509" s="226">
        <v>7702</v>
      </c>
      <c r="I509" s="338">
        <f t="shared" si="144"/>
        <v>62.748389541492998</v>
      </c>
      <c r="J509" s="614">
        <f t="shared" si="145"/>
        <v>105.748389541493</v>
      </c>
      <c r="K509" s="316">
        <v>0.4</v>
      </c>
      <c r="L509" s="174">
        <f t="shared" si="146"/>
        <v>148.0477453580902</v>
      </c>
      <c r="M509" s="226">
        <v>150</v>
      </c>
      <c r="N509" s="631"/>
      <c r="O509" s="590"/>
      <c r="Q509" s="836"/>
      <c r="R509" s="914"/>
    </row>
    <row r="510" spans="1:21" s="178" customFormat="1" hidden="1" x14ac:dyDescent="0.25">
      <c r="A510" s="178" t="s">
        <v>255</v>
      </c>
      <c r="B510" s="319" t="s">
        <v>1703</v>
      </c>
      <c r="C510" s="178">
        <v>279</v>
      </c>
      <c r="D510" s="178">
        <v>44</v>
      </c>
      <c r="E510" s="752" t="s">
        <v>1598</v>
      </c>
      <c r="F510" s="698">
        <v>43</v>
      </c>
      <c r="G510" s="305">
        <v>5278</v>
      </c>
      <c r="H510" s="232">
        <v>7702</v>
      </c>
      <c r="I510" s="695">
        <f t="shared" si="144"/>
        <v>62.748389541492998</v>
      </c>
      <c r="J510" s="696">
        <f t="shared" si="145"/>
        <v>105.748389541493</v>
      </c>
      <c r="K510" s="612">
        <v>0.4</v>
      </c>
      <c r="L510" s="611">
        <f t="shared" si="146"/>
        <v>148.0477453580902</v>
      </c>
      <c r="M510" s="232">
        <v>150</v>
      </c>
      <c r="N510" s="631"/>
      <c r="O510" s="590"/>
      <c r="P510" s="178" t="s">
        <v>2333</v>
      </c>
      <c r="Q510" s="836">
        <v>45390</v>
      </c>
      <c r="R510" s="914">
        <f>+M510*36000</f>
        <v>5400000</v>
      </c>
    </row>
    <row r="511" spans="1:21" s="178" customFormat="1" x14ac:dyDescent="0.25">
      <c r="A511" s="178" t="s">
        <v>255</v>
      </c>
      <c r="B511" s="319" t="s">
        <v>1703</v>
      </c>
      <c r="C511" s="178">
        <v>280</v>
      </c>
      <c r="D511" s="178">
        <v>46</v>
      </c>
      <c r="E511" s="347" t="s">
        <v>1598</v>
      </c>
      <c r="F511" s="175">
        <v>43</v>
      </c>
      <c r="G511" s="227">
        <v>5278</v>
      </c>
      <c r="H511" s="226">
        <v>7702</v>
      </c>
      <c r="I511" s="338">
        <f t="shared" si="144"/>
        <v>62.748389541492998</v>
      </c>
      <c r="J511" s="614">
        <f t="shared" si="145"/>
        <v>105.748389541493</v>
      </c>
      <c r="K511" s="316">
        <v>0.4</v>
      </c>
      <c r="L511" s="174">
        <f t="shared" si="146"/>
        <v>148.0477453580902</v>
      </c>
      <c r="M511" s="226">
        <v>150</v>
      </c>
      <c r="N511" s="631"/>
      <c r="O511" s="590"/>
      <c r="Q511" s="836"/>
      <c r="R511" s="914"/>
    </row>
    <row r="512" spans="1:21" s="178" customFormat="1" hidden="1" x14ac:dyDescent="0.25">
      <c r="A512" s="178" t="s">
        <v>255</v>
      </c>
      <c r="B512" s="319" t="s">
        <v>223</v>
      </c>
      <c r="C512" s="178">
        <v>281</v>
      </c>
      <c r="D512" s="178">
        <v>50</v>
      </c>
      <c r="E512" s="752" t="s">
        <v>1599</v>
      </c>
      <c r="F512" s="698">
        <v>49</v>
      </c>
      <c r="G512" s="305">
        <v>5278</v>
      </c>
      <c r="H512" s="232">
        <v>7702</v>
      </c>
      <c r="I512" s="695">
        <f t="shared" si="144"/>
        <v>71.50397877984085</v>
      </c>
      <c r="J512" s="696">
        <f t="shared" si="145"/>
        <v>120.50397877984085</v>
      </c>
      <c r="K512" s="612">
        <v>0.4</v>
      </c>
      <c r="L512" s="611">
        <f t="shared" si="146"/>
        <v>168.70557029177718</v>
      </c>
      <c r="M512" s="232">
        <v>150</v>
      </c>
      <c r="N512" s="631"/>
      <c r="O512" s="590"/>
      <c r="P512" s="178" t="s">
        <v>12</v>
      </c>
      <c r="Q512" s="836">
        <v>45429</v>
      </c>
      <c r="R512" s="914">
        <f>+M512*14.5</f>
        <v>2175</v>
      </c>
    </row>
    <row r="513" spans="1:18" s="178" customFormat="1" hidden="1" x14ac:dyDescent="0.25">
      <c r="A513" s="178" t="s">
        <v>255</v>
      </c>
      <c r="B513" s="319" t="s">
        <v>223</v>
      </c>
      <c r="C513" s="178">
        <v>282</v>
      </c>
      <c r="D513" s="178">
        <v>54</v>
      </c>
      <c r="E513" s="752" t="s">
        <v>1599</v>
      </c>
      <c r="F513" s="698">
        <v>49</v>
      </c>
      <c r="G513" s="305">
        <v>5278</v>
      </c>
      <c r="H513" s="232">
        <v>7702</v>
      </c>
      <c r="I513" s="695">
        <f t="shared" si="144"/>
        <v>71.50397877984085</v>
      </c>
      <c r="J513" s="696">
        <f t="shared" si="145"/>
        <v>120.50397877984085</v>
      </c>
      <c r="K513" s="612">
        <v>0.4</v>
      </c>
      <c r="L513" s="611">
        <f t="shared" si="146"/>
        <v>168.70557029177718</v>
      </c>
      <c r="M513" s="232">
        <v>150</v>
      </c>
      <c r="N513" s="631"/>
      <c r="O513" s="590"/>
      <c r="P513" s="178" t="s">
        <v>2408</v>
      </c>
      <c r="Q513" s="836">
        <v>45397</v>
      </c>
      <c r="R513" s="914">
        <f>+M513*36000</f>
        <v>5400000</v>
      </c>
    </row>
    <row r="514" spans="1:18" s="178" customFormat="1" hidden="1" x14ac:dyDescent="0.25">
      <c r="A514" s="895" t="s">
        <v>255</v>
      </c>
      <c r="B514" s="319" t="s">
        <v>173</v>
      </c>
      <c r="C514" s="178">
        <v>283</v>
      </c>
      <c r="D514" s="178">
        <v>54</v>
      </c>
      <c r="E514" s="752" t="s">
        <v>1600</v>
      </c>
      <c r="F514" s="698">
        <v>40</v>
      </c>
      <c r="G514" s="305">
        <v>5278</v>
      </c>
      <c r="H514" s="232">
        <v>7702</v>
      </c>
      <c r="I514" s="695">
        <f t="shared" si="144"/>
        <v>58.370594922319064</v>
      </c>
      <c r="J514" s="696">
        <f t="shared" si="145"/>
        <v>98.370594922319071</v>
      </c>
      <c r="K514" s="612">
        <v>0.4</v>
      </c>
      <c r="L514" s="611">
        <f t="shared" si="146"/>
        <v>137.71883289124668</v>
      </c>
      <c r="M514" s="232">
        <v>150</v>
      </c>
      <c r="N514" s="631"/>
      <c r="O514" s="590"/>
      <c r="Q514" s="836"/>
      <c r="R514" s="914"/>
    </row>
    <row r="515" spans="1:18" s="178" customFormat="1" hidden="1" x14ac:dyDescent="0.25">
      <c r="A515" s="178" t="s">
        <v>255</v>
      </c>
      <c r="B515" s="319" t="s">
        <v>173</v>
      </c>
      <c r="C515" s="178">
        <v>284</v>
      </c>
      <c r="D515" s="178">
        <v>56</v>
      </c>
      <c r="E515" s="752" t="s">
        <v>1600</v>
      </c>
      <c r="F515" s="698">
        <v>40</v>
      </c>
      <c r="G515" s="305">
        <v>5278</v>
      </c>
      <c r="H515" s="232">
        <v>7702</v>
      </c>
      <c r="I515" s="695">
        <f t="shared" si="144"/>
        <v>58.370594922319064</v>
      </c>
      <c r="J515" s="696">
        <f t="shared" si="145"/>
        <v>98.370594922319071</v>
      </c>
      <c r="K515" s="612">
        <v>0.4</v>
      </c>
      <c r="L515" s="611">
        <f t="shared" si="146"/>
        <v>137.71883289124668</v>
      </c>
      <c r="M515" s="232">
        <v>150</v>
      </c>
      <c r="N515" s="631"/>
      <c r="O515" s="590"/>
      <c r="P515" s="178" t="s">
        <v>12</v>
      </c>
      <c r="Q515" s="836">
        <v>45377</v>
      </c>
      <c r="R515" s="914">
        <f>+M515*20000</f>
        <v>3000000</v>
      </c>
    </row>
    <row r="516" spans="1:18" s="178" customFormat="1" x14ac:dyDescent="0.25">
      <c r="A516" s="178" t="s">
        <v>255</v>
      </c>
      <c r="B516" s="319" t="s">
        <v>223</v>
      </c>
      <c r="C516" s="178">
        <v>285</v>
      </c>
      <c r="D516" s="178">
        <v>50</v>
      </c>
      <c r="E516" s="347" t="s">
        <v>1678</v>
      </c>
      <c r="F516" s="175">
        <v>27</v>
      </c>
      <c r="G516" s="227">
        <v>5278</v>
      </c>
      <c r="H516" s="226">
        <v>7702</v>
      </c>
      <c r="I516" s="338">
        <f t="shared" si="144"/>
        <v>39.400151572565363</v>
      </c>
      <c r="J516" s="614">
        <f t="shared" si="145"/>
        <v>66.400151572565363</v>
      </c>
      <c r="K516" s="316">
        <v>0.4</v>
      </c>
      <c r="L516" s="174">
        <f t="shared" si="146"/>
        <v>92.960212201591503</v>
      </c>
      <c r="M516" s="226">
        <v>125</v>
      </c>
      <c r="N516" s="631"/>
      <c r="O516" s="590"/>
      <c r="Q516" s="836"/>
      <c r="R516" s="914"/>
    </row>
    <row r="517" spans="1:18" s="178" customFormat="1" x14ac:dyDescent="0.25">
      <c r="A517" s="178" t="s">
        <v>255</v>
      </c>
      <c r="B517" s="319" t="s">
        <v>223</v>
      </c>
      <c r="C517" s="178">
        <v>286</v>
      </c>
      <c r="D517" s="178">
        <v>52</v>
      </c>
      <c r="E517" s="347" t="s">
        <v>1678</v>
      </c>
      <c r="F517" s="175">
        <v>27</v>
      </c>
      <c r="G517" s="227">
        <v>5278</v>
      </c>
      <c r="H517" s="226">
        <v>7702</v>
      </c>
      <c r="I517" s="338">
        <f t="shared" si="144"/>
        <v>39.400151572565363</v>
      </c>
      <c r="J517" s="614">
        <f t="shared" si="145"/>
        <v>66.400151572565363</v>
      </c>
      <c r="K517" s="316">
        <v>0.4</v>
      </c>
      <c r="L517" s="174">
        <f t="shared" si="146"/>
        <v>92.960212201591503</v>
      </c>
      <c r="M517" s="226">
        <v>125</v>
      </c>
      <c r="N517" s="631"/>
      <c r="O517" s="590"/>
      <c r="Q517" s="836"/>
      <c r="R517" s="914"/>
    </row>
    <row r="518" spans="1:18" s="178" customFormat="1" hidden="1" x14ac:dyDescent="0.25">
      <c r="A518" s="178" t="s">
        <v>255</v>
      </c>
      <c r="B518" s="319" t="s">
        <v>223</v>
      </c>
      <c r="C518" s="178">
        <v>287</v>
      </c>
      <c r="D518" s="178">
        <v>54</v>
      </c>
      <c r="E518" s="752" t="s">
        <v>1678</v>
      </c>
      <c r="F518" s="698">
        <v>27</v>
      </c>
      <c r="G518" s="305">
        <v>5278</v>
      </c>
      <c r="H518" s="232">
        <v>7702</v>
      </c>
      <c r="I518" s="695">
        <f t="shared" si="144"/>
        <v>39.400151572565363</v>
      </c>
      <c r="J518" s="696">
        <f t="shared" si="145"/>
        <v>66.400151572565363</v>
      </c>
      <c r="K518" s="612">
        <v>0.4</v>
      </c>
      <c r="L518" s="611">
        <f t="shared" si="146"/>
        <v>92.960212201591503</v>
      </c>
      <c r="M518" s="232">
        <v>125</v>
      </c>
      <c r="N518" s="631"/>
      <c r="O518" s="590"/>
      <c r="P518" s="178" t="s">
        <v>2408</v>
      </c>
      <c r="Q518" s="836">
        <v>45397</v>
      </c>
      <c r="R518" s="914">
        <f>+M518*36000</f>
        <v>4500000</v>
      </c>
    </row>
    <row r="519" spans="1:18" s="178" customFormat="1" hidden="1" x14ac:dyDescent="0.25">
      <c r="A519" s="178" t="s">
        <v>255</v>
      </c>
      <c r="B519" s="319" t="s">
        <v>223</v>
      </c>
      <c r="C519" s="178">
        <v>288</v>
      </c>
      <c r="D519" s="178">
        <v>56</v>
      </c>
      <c r="E519" s="752" t="s">
        <v>1678</v>
      </c>
      <c r="F519" s="698">
        <v>27</v>
      </c>
      <c r="G519" s="305">
        <v>5278</v>
      </c>
      <c r="H519" s="232">
        <v>7702</v>
      </c>
      <c r="I519" s="695">
        <f t="shared" si="144"/>
        <v>39.400151572565363</v>
      </c>
      <c r="J519" s="696">
        <f t="shared" si="145"/>
        <v>66.400151572565363</v>
      </c>
      <c r="K519" s="612">
        <v>0.4</v>
      </c>
      <c r="L519" s="611">
        <f t="shared" si="146"/>
        <v>92.960212201591503</v>
      </c>
      <c r="M519" s="232">
        <v>125</v>
      </c>
      <c r="N519" s="631"/>
      <c r="O519" s="590"/>
      <c r="P519" s="178" t="s">
        <v>12</v>
      </c>
      <c r="Q519" s="836">
        <v>45369</v>
      </c>
      <c r="R519" s="914">
        <f>+M519*18000</f>
        <v>2250000</v>
      </c>
    </row>
    <row r="520" spans="1:18" s="178" customFormat="1" hidden="1" x14ac:dyDescent="0.25">
      <c r="A520" s="178" t="s">
        <v>997</v>
      </c>
      <c r="B520" s="178" t="s">
        <v>997</v>
      </c>
      <c r="C520" s="178">
        <v>289</v>
      </c>
      <c r="D520" s="178">
        <v>1</v>
      </c>
      <c r="E520" s="752" t="s">
        <v>1541</v>
      </c>
      <c r="F520" s="698">
        <v>38</v>
      </c>
      <c r="G520" s="305">
        <v>5278</v>
      </c>
      <c r="H520" s="232">
        <v>7702</v>
      </c>
      <c r="I520" s="695">
        <f t="shared" ref="I520:I535" si="150">+F520/G520*H520</f>
        <v>55.452065176203106</v>
      </c>
      <c r="J520" s="696">
        <f t="shared" ref="J520:J535" si="151">+F520+I520</f>
        <v>93.452065176203106</v>
      </c>
      <c r="K520" s="612">
        <v>0.4</v>
      </c>
      <c r="L520" s="611">
        <f t="shared" ref="L520:L535" si="152">+J520*1.4</f>
        <v>130.83289124668434</v>
      </c>
      <c r="M520" s="232">
        <v>120</v>
      </c>
      <c r="N520" s="631"/>
      <c r="O520" s="590"/>
      <c r="P520" s="178" t="s">
        <v>12</v>
      </c>
      <c r="Q520" s="836">
        <v>45420</v>
      </c>
      <c r="R520" s="914">
        <f>+M520*14.5</f>
        <v>1740</v>
      </c>
    </row>
    <row r="521" spans="1:18" s="178" customFormat="1" x14ac:dyDescent="0.25">
      <c r="A521" s="895" t="s">
        <v>997</v>
      </c>
      <c r="B521" s="178" t="s">
        <v>997</v>
      </c>
      <c r="C521" s="178">
        <v>290</v>
      </c>
      <c r="D521" s="178">
        <v>2</v>
      </c>
      <c r="E521" s="347" t="s">
        <v>1541</v>
      </c>
      <c r="F521" s="175">
        <v>38</v>
      </c>
      <c r="G521" s="227">
        <v>5278</v>
      </c>
      <c r="H521" s="226">
        <v>7702</v>
      </c>
      <c r="I521" s="338">
        <f t="shared" ref="I521" si="153">+F521/G521*H521</f>
        <v>55.452065176203106</v>
      </c>
      <c r="J521" s="614">
        <f t="shared" ref="J521" si="154">+F521+I521</f>
        <v>93.452065176203106</v>
      </c>
      <c r="K521" s="316">
        <v>0.4</v>
      </c>
      <c r="L521" s="174">
        <f t="shared" ref="L521" si="155">+J521*1.4</f>
        <v>130.83289124668434</v>
      </c>
      <c r="M521" s="226">
        <v>125</v>
      </c>
      <c r="N521" s="631"/>
      <c r="O521" s="590"/>
      <c r="Q521" s="836"/>
      <c r="R521" s="914"/>
    </row>
    <row r="522" spans="1:18" s="178" customFormat="1" hidden="1" x14ac:dyDescent="0.25">
      <c r="A522" s="178" t="s">
        <v>14</v>
      </c>
      <c r="B522" s="178" t="s">
        <v>14</v>
      </c>
      <c r="C522" s="178">
        <v>291</v>
      </c>
      <c r="D522" s="178">
        <v>42</v>
      </c>
      <c r="E522" s="799" t="s">
        <v>1549</v>
      </c>
      <c r="F522" s="800">
        <v>35</v>
      </c>
      <c r="G522" s="801">
        <v>5278</v>
      </c>
      <c r="H522" s="713">
        <v>7702</v>
      </c>
      <c r="I522" s="802">
        <f t="shared" si="150"/>
        <v>51.07427055702918</v>
      </c>
      <c r="J522" s="803">
        <f t="shared" si="151"/>
        <v>86.07427055702918</v>
      </c>
      <c r="K522" s="714">
        <v>0.4</v>
      </c>
      <c r="L522" s="712">
        <f t="shared" si="152"/>
        <v>120.50397877984085</v>
      </c>
      <c r="M522" s="713">
        <v>125</v>
      </c>
      <c r="N522" s="631"/>
      <c r="O522" s="590"/>
      <c r="P522" s="178" t="s">
        <v>1823</v>
      </c>
      <c r="Q522" s="836">
        <v>45351</v>
      </c>
      <c r="R522" s="914"/>
    </row>
    <row r="523" spans="1:18" s="178" customFormat="1" x14ac:dyDescent="0.25">
      <c r="A523" s="178" t="s">
        <v>14</v>
      </c>
      <c r="B523" s="178" t="s">
        <v>14</v>
      </c>
      <c r="C523" s="178">
        <v>292</v>
      </c>
      <c r="D523" s="178">
        <v>42</v>
      </c>
      <c r="E523" s="347" t="s">
        <v>1550</v>
      </c>
      <c r="F523" s="629">
        <v>35</v>
      </c>
      <c r="G523" s="227">
        <v>5278</v>
      </c>
      <c r="H523" s="226">
        <v>7702</v>
      </c>
      <c r="I523" s="338">
        <f t="shared" si="150"/>
        <v>51.07427055702918</v>
      </c>
      <c r="J523" s="614">
        <f t="shared" si="151"/>
        <v>86.07427055702918</v>
      </c>
      <c r="K523" s="316">
        <v>0.4</v>
      </c>
      <c r="L523" s="174">
        <f t="shared" si="152"/>
        <v>120.50397877984085</v>
      </c>
      <c r="M523" s="226">
        <v>125</v>
      </c>
      <c r="N523" s="631"/>
      <c r="O523" s="590"/>
      <c r="Q523" s="836"/>
      <c r="R523" s="914"/>
    </row>
    <row r="524" spans="1:18" s="178" customFormat="1" x14ac:dyDescent="0.25">
      <c r="A524" s="178" t="s">
        <v>14</v>
      </c>
      <c r="B524" s="178" t="s">
        <v>14</v>
      </c>
      <c r="C524" s="178">
        <v>293</v>
      </c>
      <c r="D524" s="178">
        <v>44</v>
      </c>
      <c r="E524" s="347" t="s">
        <v>1550</v>
      </c>
      <c r="F524" s="629">
        <v>35</v>
      </c>
      <c r="G524" s="227">
        <v>5278</v>
      </c>
      <c r="H524" s="226">
        <v>7702</v>
      </c>
      <c r="I524" s="338">
        <f t="shared" si="150"/>
        <v>51.07427055702918</v>
      </c>
      <c r="J524" s="614">
        <f t="shared" si="151"/>
        <v>86.07427055702918</v>
      </c>
      <c r="K524" s="316">
        <v>0.4</v>
      </c>
      <c r="L524" s="174">
        <f t="shared" si="152"/>
        <v>120.50397877984085</v>
      </c>
      <c r="M524" s="226">
        <v>125</v>
      </c>
      <c r="N524" s="631"/>
      <c r="O524" s="590"/>
      <c r="Q524" s="836"/>
      <c r="R524" s="914"/>
    </row>
    <row r="525" spans="1:18" s="178" customFormat="1" x14ac:dyDescent="0.25">
      <c r="A525" s="895" t="s">
        <v>14</v>
      </c>
      <c r="B525" s="178" t="s">
        <v>14</v>
      </c>
      <c r="C525" s="178">
        <v>294</v>
      </c>
      <c r="D525" s="178">
        <v>42</v>
      </c>
      <c r="E525" s="347" t="s">
        <v>1568</v>
      </c>
      <c r="F525" s="629">
        <v>50</v>
      </c>
      <c r="G525" s="227">
        <v>5278</v>
      </c>
      <c r="H525" s="226">
        <v>7702</v>
      </c>
      <c r="I525" s="338">
        <f t="shared" si="150"/>
        <v>72.963243652898825</v>
      </c>
      <c r="J525" s="614">
        <f t="shared" si="151"/>
        <v>122.96324365289883</v>
      </c>
      <c r="K525" s="316">
        <v>0.4</v>
      </c>
      <c r="L525" s="174">
        <f t="shared" si="152"/>
        <v>172.14854111405833</v>
      </c>
      <c r="M525" s="226">
        <v>150</v>
      </c>
      <c r="N525" s="631"/>
      <c r="O525" s="590"/>
      <c r="Q525" s="836"/>
      <c r="R525" s="914"/>
    </row>
    <row r="526" spans="1:18" s="178" customFormat="1" x14ac:dyDescent="0.25">
      <c r="A526" s="178" t="s">
        <v>436</v>
      </c>
      <c r="B526" s="178" t="s">
        <v>436</v>
      </c>
      <c r="C526" s="178">
        <v>295</v>
      </c>
      <c r="D526" s="178">
        <v>44</v>
      </c>
      <c r="E526" s="347" t="s">
        <v>1542</v>
      </c>
      <c r="F526" s="175">
        <v>27</v>
      </c>
      <c r="G526" s="227">
        <v>5278</v>
      </c>
      <c r="H526" s="226">
        <v>7702</v>
      </c>
      <c r="I526" s="338">
        <f t="shared" si="150"/>
        <v>39.400151572565363</v>
      </c>
      <c r="J526" s="614">
        <f t="shared" si="151"/>
        <v>66.400151572565363</v>
      </c>
      <c r="K526" s="316">
        <v>0.4</v>
      </c>
      <c r="L526" s="174">
        <f t="shared" si="152"/>
        <v>92.960212201591503</v>
      </c>
      <c r="M526" s="226">
        <v>90</v>
      </c>
      <c r="N526" s="631"/>
      <c r="O526" s="590"/>
      <c r="Q526" s="836"/>
      <c r="R526" s="914"/>
    </row>
    <row r="527" spans="1:18" s="178" customFormat="1" x14ac:dyDescent="0.25">
      <c r="A527" s="178" t="s">
        <v>436</v>
      </c>
      <c r="B527" s="178" t="s">
        <v>436</v>
      </c>
      <c r="C527" s="178">
        <v>296</v>
      </c>
      <c r="D527" s="178">
        <v>48</v>
      </c>
      <c r="E527" s="347" t="s">
        <v>1542</v>
      </c>
      <c r="F527" s="175">
        <v>27</v>
      </c>
      <c r="G527" s="227">
        <v>5278</v>
      </c>
      <c r="H527" s="226">
        <v>7702</v>
      </c>
      <c r="I527" s="338">
        <f t="shared" si="150"/>
        <v>39.400151572565363</v>
      </c>
      <c r="J527" s="614">
        <f t="shared" si="151"/>
        <v>66.400151572565363</v>
      </c>
      <c r="K527" s="316">
        <v>0.4</v>
      </c>
      <c r="L527" s="174">
        <f t="shared" si="152"/>
        <v>92.960212201591503</v>
      </c>
      <c r="M527" s="226">
        <v>90</v>
      </c>
      <c r="N527" s="631"/>
      <c r="O527" s="590"/>
      <c r="Q527" s="836"/>
      <c r="R527" s="914"/>
    </row>
    <row r="528" spans="1:18" s="178" customFormat="1" x14ac:dyDescent="0.25">
      <c r="A528" s="178" t="s">
        <v>436</v>
      </c>
      <c r="B528" s="178" t="s">
        <v>436</v>
      </c>
      <c r="C528" s="178">
        <v>297</v>
      </c>
      <c r="D528" s="178">
        <v>50</v>
      </c>
      <c r="E528" s="347" t="s">
        <v>1542</v>
      </c>
      <c r="F528" s="175">
        <v>27</v>
      </c>
      <c r="G528" s="227">
        <v>5278</v>
      </c>
      <c r="H528" s="226">
        <v>7702</v>
      </c>
      <c r="I528" s="338">
        <f t="shared" si="150"/>
        <v>39.400151572565363</v>
      </c>
      <c r="J528" s="614">
        <f t="shared" si="151"/>
        <v>66.400151572565363</v>
      </c>
      <c r="K528" s="316">
        <v>0.4</v>
      </c>
      <c r="L528" s="174">
        <f t="shared" si="152"/>
        <v>92.960212201591503</v>
      </c>
      <c r="M528" s="226">
        <v>90</v>
      </c>
      <c r="N528" s="631"/>
      <c r="O528" s="590"/>
      <c r="Q528" s="836"/>
      <c r="R528" s="914"/>
    </row>
    <row r="529" spans="1:18" s="178" customFormat="1" hidden="1" x14ac:dyDescent="0.25">
      <c r="A529" s="178" t="s">
        <v>436</v>
      </c>
      <c r="B529" s="178" t="s">
        <v>436</v>
      </c>
      <c r="C529" s="178">
        <v>298</v>
      </c>
      <c r="D529" s="178">
        <v>48</v>
      </c>
      <c r="E529" s="752" t="s">
        <v>1543</v>
      </c>
      <c r="F529" s="698">
        <v>27</v>
      </c>
      <c r="G529" s="305">
        <v>5278</v>
      </c>
      <c r="H529" s="232">
        <v>7702</v>
      </c>
      <c r="I529" s="695">
        <f t="shared" si="150"/>
        <v>39.400151572565363</v>
      </c>
      <c r="J529" s="696">
        <f t="shared" si="151"/>
        <v>66.400151572565363</v>
      </c>
      <c r="K529" s="612">
        <v>0.4</v>
      </c>
      <c r="L529" s="611">
        <f t="shared" si="152"/>
        <v>92.960212201591503</v>
      </c>
      <c r="M529" s="232">
        <v>90</v>
      </c>
      <c r="N529" s="631"/>
      <c r="O529" s="590"/>
      <c r="P529" s="178" t="s">
        <v>2214</v>
      </c>
      <c r="Q529" s="836">
        <v>45374</v>
      </c>
      <c r="R529" s="914">
        <f>+M529*20000</f>
        <v>1800000</v>
      </c>
    </row>
    <row r="530" spans="1:18" s="178" customFormat="1" x14ac:dyDescent="0.25">
      <c r="A530" s="178" t="s">
        <v>436</v>
      </c>
      <c r="B530" s="178" t="s">
        <v>436</v>
      </c>
      <c r="C530" s="178">
        <v>299</v>
      </c>
      <c r="D530" s="178">
        <v>42</v>
      </c>
      <c r="E530" s="347" t="s">
        <v>1544</v>
      </c>
      <c r="F530" s="175">
        <v>27</v>
      </c>
      <c r="G530" s="227">
        <v>5278</v>
      </c>
      <c r="H530" s="226">
        <v>7702</v>
      </c>
      <c r="I530" s="338">
        <f t="shared" si="150"/>
        <v>39.400151572565363</v>
      </c>
      <c r="J530" s="614">
        <f t="shared" si="151"/>
        <v>66.400151572565363</v>
      </c>
      <c r="K530" s="316">
        <v>0.4</v>
      </c>
      <c r="L530" s="174">
        <f t="shared" si="152"/>
        <v>92.960212201591503</v>
      </c>
      <c r="M530" s="226">
        <v>110</v>
      </c>
      <c r="N530" s="631"/>
      <c r="O530" s="590"/>
      <c r="Q530" s="836"/>
      <c r="R530" s="914"/>
    </row>
    <row r="531" spans="1:18" s="178" customFormat="1" x14ac:dyDescent="0.25">
      <c r="A531" s="178" t="s">
        <v>436</v>
      </c>
      <c r="B531" s="178" t="s">
        <v>436</v>
      </c>
      <c r="C531" s="178">
        <v>300</v>
      </c>
      <c r="D531" s="178">
        <v>44</v>
      </c>
      <c r="E531" s="347" t="s">
        <v>1544</v>
      </c>
      <c r="F531" s="175">
        <v>27</v>
      </c>
      <c r="G531" s="227">
        <v>5278</v>
      </c>
      <c r="H531" s="226">
        <v>7702</v>
      </c>
      <c r="I531" s="338">
        <f t="shared" si="150"/>
        <v>39.400151572565363</v>
      </c>
      <c r="J531" s="614">
        <f t="shared" si="151"/>
        <v>66.400151572565363</v>
      </c>
      <c r="K531" s="316">
        <v>0.4</v>
      </c>
      <c r="L531" s="174">
        <f t="shared" si="152"/>
        <v>92.960212201591503</v>
      </c>
      <c r="M531" s="226">
        <v>110</v>
      </c>
      <c r="N531" s="631"/>
      <c r="O531" s="590"/>
      <c r="Q531" s="836"/>
      <c r="R531" s="914"/>
    </row>
    <row r="532" spans="1:18" s="178" customFormat="1" hidden="1" x14ac:dyDescent="0.25">
      <c r="A532" s="178" t="s">
        <v>436</v>
      </c>
      <c r="B532" s="178" t="s">
        <v>436</v>
      </c>
      <c r="C532" s="178">
        <v>301</v>
      </c>
      <c r="D532" s="178">
        <v>46</v>
      </c>
      <c r="E532" s="752" t="s">
        <v>1544</v>
      </c>
      <c r="F532" s="698">
        <v>27</v>
      </c>
      <c r="G532" s="305">
        <v>5278</v>
      </c>
      <c r="H532" s="232">
        <v>7702</v>
      </c>
      <c r="I532" s="695">
        <f t="shared" si="150"/>
        <v>39.400151572565363</v>
      </c>
      <c r="J532" s="696">
        <f t="shared" si="151"/>
        <v>66.400151572565363</v>
      </c>
      <c r="K532" s="612">
        <v>0.4</v>
      </c>
      <c r="L532" s="611">
        <f t="shared" si="152"/>
        <v>92.960212201591503</v>
      </c>
      <c r="M532" s="232">
        <v>110</v>
      </c>
      <c r="N532" s="631"/>
      <c r="O532" s="590"/>
      <c r="P532" s="178" t="s">
        <v>2333</v>
      </c>
      <c r="Q532" s="836">
        <v>45388</v>
      </c>
      <c r="R532" s="914">
        <f>+M532*36000</f>
        <v>3960000</v>
      </c>
    </row>
    <row r="533" spans="1:18" s="178" customFormat="1" hidden="1" x14ac:dyDescent="0.25">
      <c r="A533" s="178" t="s">
        <v>1547</v>
      </c>
      <c r="B533" s="178" t="s">
        <v>1547</v>
      </c>
      <c r="C533" s="178">
        <v>302</v>
      </c>
      <c r="D533" s="178">
        <v>42</v>
      </c>
      <c r="E533" s="752" t="s">
        <v>1548</v>
      </c>
      <c r="F533" s="698">
        <v>45</v>
      </c>
      <c r="G533" s="305">
        <v>5278</v>
      </c>
      <c r="H533" s="232">
        <v>7702</v>
      </c>
      <c r="I533" s="695">
        <f t="shared" si="150"/>
        <v>65.666919287608948</v>
      </c>
      <c r="J533" s="696">
        <f t="shared" si="151"/>
        <v>110.66691928760895</v>
      </c>
      <c r="K533" s="612">
        <v>0.4</v>
      </c>
      <c r="L533" s="611">
        <f t="shared" si="152"/>
        <v>154.9336870026525</v>
      </c>
      <c r="M533" s="232">
        <v>150</v>
      </c>
      <c r="N533" s="631"/>
      <c r="O533" s="590"/>
      <c r="P533" s="178" t="s">
        <v>12</v>
      </c>
      <c r="Q533" s="836">
        <v>45437</v>
      </c>
      <c r="R533" s="914">
        <f>+M533*14.5</f>
        <v>2175</v>
      </c>
    </row>
    <row r="534" spans="1:18" s="178" customFormat="1" x14ac:dyDescent="0.25">
      <c r="A534" s="178" t="s">
        <v>1547</v>
      </c>
      <c r="B534" s="178" t="s">
        <v>1547</v>
      </c>
      <c r="C534" s="178">
        <v>303</v>
      </c>
      <c r="D534" s="178">
        <v>44</v>
      </c>
      <c r="E534" s="347" t="s">
        <v>1548</v>
      </c>
      <c r="F534" s="175">
        <v>45</v>
      </c>
      <c r="G534" s="227">
        <v>5278</v>
      </c>
      <c r="H534" s="226">
        <v>7702</v>
      </c>
      <c r="I534" s="338">
        <f t="shared" si="150"/>
        <v>65.666919287608948</v>
      </c>
      <c r="J534" s="614">
        <f t="shared" si="151"/>
        <v>110.66691928760895</v>
      </c>
      <c r="K534" s="316">
        <v>0.4</v>
      </c>
      <c r="L534" s="174">
        <f t="shared" si="152"/>
        <v>154.9336870026525</v>
      </c>
      <c r="M534" s="226">
        <v>150</v>
      </c>
      <c r="N534" s="631"/>
      <c r="O534" s="590"/>
      <c r="Q534" s="836"/>
      <c r="R534" s="914"/>
    </row>
    <row r="535" spans="1:18" s="178" customFormat="1" x14ac:dyDescent="0.25">
      <c r="A535" s="178" t="s">
        <v>1547</v>
      </c>
      <c r="B535" s="178" t="s">
        <v>1547</v>
      </c>
      <c r="C535" s="178">
        <v>304</v>
      </c>
      <c r="D535" s="178">
        <v>46</v>
      </c>
      <c r="E535" s="347" t="s">
        <v>1548</v>
      </c>
      <c r="F535" s="175">
        <v>45</v>
      </c>
      <c r="G535" s="227">
        <v>5278</v>
      </c>
      <c r="H535" s="226">
        <v>7702</v>
      </c>
      <c r="I535" s="338">
        <f t="shared" si="150"/>
        <v>65.666919287608948</v>
      </c>
      <c r="J535" s="614">
        <f t="shared" si="151"/>
        <v>110.66691928760895</v>
      </c>
      <c r="K535" s="316">
        <v>0.4</v>
      </c>
      <c r="L535" s="174">
        <f t="shared" si="152"/>
        <v>154.9336870026525</v>
      </c>
      <c r="M535" s="226">
        <v>150</v>
      </c>
      <c r="N535" s="631"/>
      <c r="O535" s="590"/>
      <c r="Q535" s="836"/>
      <c r="R535" s="914"/>
    </row>
    <row r="536" spans="1:18" s="178" customFormat="1" x14ac:dyDescent="0.25">
      <c r="B536" s="654">
        <v>45170</v>
      </c>
      <c r="E536" s="379" t="s">
        <v>1553</v>
      </c>
      <c r="F536" s="175"/>
      <c r="G536" s="226"/>
      <c r="H536" s="226"/>
      <c r="I536" s="174"/>
      <c r="J536" s="174"/>
      <c r="K536" s="316"/>
      <c r="L536" s="174"/>
      <c r="M536" s="226"/>
      <c r="N536" s="631"/>
      <c r="Q536" s="836"/>
      <c r="R536" s="914"/>
    </row>
    <row r="537" spans="1:18" s="178" customFormat="1" x14ac:dyDescent="0.25">
      <c r="A537" s="178" t="s">
        <v>1554</v>
      </c>
      <c r="B537" s="319" t="s">
        <v>1555</v>
      </c>
      <c r="C537" s="178">
        <v>305</v>
      </c>
      <c r="D537" s="178">
        <v>14</v>
      </c>
      <c r="E537" s="379" t="s">
        <v>1556</v>
      </c>
      <c r="F537" s="175">
        <v>35</v>
      </c>
      <c r="G537" s="226">
        <v>1162</v>
      </c>
      <c r="H537" s="226">
        <v>2629</v>
      </c>
      <c r="I537" s="338">
        <f t="shared" ref="I537:I553" si="156">+F537/G537*H537</f>
        <v>79.186746987951807</v>
      </c>
      <c r="J537" s="614">
        <f t="shared" ref="J537:J553" si="157">+F537+I537</f>
        <v>114.18674698795181</v>
      </c>
      <c r="K537" s="316">
        <v>0.4</v>
      </c>
      <c r="L537" s="174">
        <f t="shared" ref="L537:L553" si="158">+J537*1.4</f>
        <v>159.86144578313252</v>
      </c>
      <c r="M537" s="226">
        <v>125</v>
      </c>
      <c r="N537" s="631"/>
      <c r="O537" s="590"/>
      <c r="Q537" s="836"/>
      <c r="R537" s="914"/>
    </row>
    <row r="538" spans="1:18" s="178" customFormat="1" x14ac:dyDescent="0.25">
      <c r="A538" s="178" t="s">
        <v>1554</v>
      </c>
      <c r="B538" s="319" t="s">
        <v>1555</v>
      </c>
      <c r="C538" s="178">
        <v>306</v>
      </c>
      <c r="D538" s="178">
        <v>14</v>
      </c>
      <c r="E538" s="379" t="s">
        <v>1556</v>
      </c>
      <c r="F538" s="175">
        <v>35</v>
      </c>
      <c r="G538" s="226">
        <v>1162</v>
      </c>
      <c r="H538" s="226">
        <v>2629</v>
      </c>
      <c r="I538" s="338">
        <f t="shared" si="156"/>
        <v>79.186746987951807</v>
      </c>
      <c r="J538" s="614">
        <f t="shared" si="157"/>
        <v>114.18674698795181</v>
      </c>
      <c r="K538" s="316">
        <v>0.4</v>
      </c>
      <c r="L538" s="174">
        <f t="shared" si="158"/>
        <v>159.86144578313252</v>
      </c>
      <c r="M538" s="226">
        <v>125</v>
      </c>
      <c r="N538" s="631"/>
      <c r="O538" s="590"/>
      <c r="Q538" s="836"/>
      <c r="R538" s="914"/>
    </row>
    <row r="539" spans="1:18" s="178" customFormat="1" x14ac:dyDescent="0.25">
      <c r="A539" s="178" t="s">
        <v>1554</v>
      </c>
      <c r="B539" s="319" t="s">
        <v>1555</v>
      </c>
      <c r="C539" s="178">
        <v>307</v>
      </c>
      <c r="D539" s="178">
        <v>14</v>
      </c>
      <c r="E539" s="379" t="s">
        <v>1557</v>
      </c>
      <c r="F539" s="175">
        <v>39</v>
      </c>
      <c r="G539" s="226">
        <v>1162</v>
      </c>
      <c r="H539" s="226">
        <v>2629</v>
      </c>
      <c r="I539" s="338">
        <f t="shared" si="156"/>
        <v>88.23666092943202</v>
      </c>
      <c r="J539" s="614">
        <f t="shared" si="157"/>
        <v>127.23666092943202</v>
      </c>
      <c r="K539" s="316">
        <v>0.4</v>
      </c>
      <c r="L539" s="174">
        <f t="shared" si="158"/>
        <v>178.13132530120481</v>
      </c>
      <c r="M539" s="226">
        <v>125</v>
      </c>
      <c r="N539" s="631"/>
      <c r="O539" s="590"/>
      <c r="Q539" s="836"/>
      <c r="R539" s="914"/>
    </row>
    <row r="540" spans="1:18" s="178" customFormat="1" x14ac:dyDescent="0.25">
      <c r="A540" s="178" t="s">
        <v>1554</v>
      </c>
      <c r="B540" s="319" t="s">
        <v>1555</v>
      </c>
      <c r="C540" s="178">
        <v>308</v>
      </c>
      <c r="D540" s="178">
        <v>14</v>
      </c>
      <c r="E540" s="379" t="s">
        <v>1557</v>
      </c>
      <c r="F540" s="175">
        <v>39</v>
      </c>
      <c r="G540" s="226">
        <v>1162</v>
      </c>
      <c r="H540" s="226">
        <v>2629</v>
      </c>
      <c r="I540" s="338">
        <f t="shared" si="156"/>
        <v>88.23666092943202</v>
      </c>
      <c r="J540" s="614">
        <f t="shared" si="157"/>
        <v>127.23666092943202</v>
      </c>
      <c r="K540" s="316">
        <v>0.4</v>
      </c>
      <c r="L540" s="174">
        <f t="shared" si="158"/>
        <v>178.13132530120481</v>
      </c>
      <c r="M540" s="226">
        <v>125</v>
      </c>
      <c r="N540" s="631"/>
      <c r="O540" s="590"/>
      <c r="Q540" s="836"/>
      <c r="R540" s="914"/>
    </row>
    <row r="541" spans="1:18" s="178" customFormat="1" x14ac:dyDescent="0.25">
      <c r="A541" s="178" t="s">
        <v>1554</v>
      </c>
      <c r="B541" s="319" t="s">
        <v>1555</v>
      </c>
      <c r="C541" s="178">
        <v>309</v>
      </c>
      <c r="D541" s="178">
        <v>16</v>
      </c>
      <c r="E541" s="379" t="s">
        <v>1557</v>
      </c>
      <c r="F541" s="175">
        <v>39</v>
      </c>
      <c r="G541" s="226">
        <v>1162</v>
      </c>
      <c r="H541" s="226">
        <v>2629</v>
      </c>
      <c r="I541" s="338">
        <f t="shared" si="156"/>
        <v>88.23666092943202</v>
      </c>
      <c r="J541" s="614">
        <f t="shared" si="157"/>
        <v>127.23666092943202</v>
      </c>
      <c r="K541" s="316">
        <v>0.4</v>
      </c>
      <c r="L541" s="174">
        <f t="shared" si="158"/>
        <v>178.13132530120481</v>
      </c>
      <c r="M541" s="226">
        <v>125</v>
      </c>
      <c r="N541" s="631"/>
      <c r="O541" s="590"/>
      <c r="Q541" s="836"/>
      <c r="R541" s="914"/>
    </row>
    <row r="542" spans="1:18" s="178" customFormat="1" x14ac:dyDescent="0.25">
      <c r="A542" s="178" t="s">
        <v>1554</v>
      </c>
      <c r="B542" s="319" t="s">
        <v>1555</v>
      </c>
      <c r="C542" s="178">
        <v>310</v>
      </c>
      <c r="D542" s="178">
        <v>12</v>
      </c>
      <c r="E542" s="379" t="s">
        <v>1558</v>
      </c>
      <c r="F542" s="175">
        <v>39</v>
      </c>
      <c r="G542" s="226">
        <v>1162</v>
      </c>
      <c r="H542" s="226">
        <v>2629</v>
      </c>
      <c r="I542" s="338">
        <f t="shared" si="156"/>
        <v>88.23666092943202</v>
      </c>
      <c r="J542" s="614">
        <f t="shared" si="157"/>
        <v>127.23666092943202</v>
      </c>
      <c r="K542" s="316">
        <v>0.4</v>
      </c>
      <c r="L542" s="174">
        <f t="shared" si="158"/>
        <v>178.13132530120481</v>
      </c>
      <c r="M542" s="226">
        <v>150</v>
      </c>
      <c r="N542" s="631"/>
      <c r="O542" s="590"/>
      <c r="Q542" s="836"/>
      <c r="R542" s="914"/>
    </row>
    <row r="543" spans="1:18" s="178" customFormat="1" x14ac:dyDescent="0.25">
      <c r="A543" s="178" t="s">
        <v>1554</v>
      </c>
      <c r="B543" s="319" t="s">
        <v>1555</v>
      </c>
      <c r="C543" s="178">
        <v>311</v>
      </c>
      <c r="D543" s="178">
        <v>14</v>
      </c>
      <c r="E543" s="379" t="s">
        <v>1558</v>
      </c>
      <c r="F543" s="175">
        <v>39</v>
      </c>
      <c r="G543" s="226">
        <v>1162</v>
      </c>
      <c r="H543" s="226">
        <v>2629</v>
      </c>
      <c r="I543" s="338">
        <f t="shared" si="156"/>
        <v>88.23666092943202</v>
      </c>
      <c r="J543" s="614">
        <f t="shared" si="157"/>
        <v>127.23666092943202</v>
      </c>
      <c r="K543" s="316">
        <v>0.4</v>
      </c>
      <c r="L543" s="174">
        <f t="shared" si="158"/>
        <v>178.13132530120481</v>
      </c>
      <c r="M543" s="226">
        <v>150</v>
      </c>
      <c r="N543" s="631"/>
      <c r="O543" s="590"/>
      <c r="Q543" s="836"/>
      <c r="R543" s="914"/>
    </row>
    <row r="544" spans="1:18" s="178" customFormat="1" hidden="1" x14ac:dyDescent="0.25">
      <c r="A544" s="178" t="s">
        <v>1562</v>
      </c>
      <c r="B544" s="319" t="s">
        <v>1606</v>
      </c>
      <c r="C544" s="178">
        <v>312</v>
      </c>
      <c r="D544" s="178">
        <v>12</v>
      </c>
      <c r="E544" s="697" t="s">
        <v>1559</v>
      </c>
      <c r="F544" s="698">
        <v>29</v>
      </c>
      <c r="G544" s="232">
        <v>1162</v>
      </c>
      <c r="H544" s="232">
        <v>2629</v>
      </c>
      <c r="I544" s="695">
        <f t="shared" si="156"/>
        <v>65.611876075731487</v>
      </c>
      <c r="J544" s="696">
        <f t="shared" si="157"/>
        <v>94.611876075731487</v>
      </c>
      <c r="K544" s="612">
        <v>0.4</v>
      </c>
      <c r="L544" s="611">
        <f t="shared" si="158"/>
        <v>132.45662650602407</v>
      </c>
      <c r="M544" s="232">
        <v>100</v>
      </c>
      <c r="N544" s="631"/>
      <c r="O544" s="590"/>
      <c r="P544" s="178" t="s">
        <v>2057</v>
      </c>
      <c r="Q544" s="836">
        <v>45349</v>
      </c>
      <c r="R544" s="914">
        <f>+M544*15000</f>
        <v>1500000</v>
      </c>
    </row>
    <row r="545" spans="1:20" s="178" customFormat="1" hidden="1" x14ac:dyDescent="0.25">
      <c r="A545" s="178" t="s">
        <v>1562</v>
      </c>
      <c r="B545" s="319" t="s">
        <v>1603</v>
      </c>
      <c r="C545" s="178">
        <v>313</v>
      </c>
      <c r="E545" s="697" t="s">
        <v>1560</v>
      </c>
      <c r="F545" s="698">
        <v>29</v>
      </c>
      <c r="G545" s="232">
        <v>1162</v>
      </c>
      <c r="H545" s="232">
        <v>2629</v>
      </c>
      <c r="I545" s="695">
        <f t="shared" si="156"/>
        <v>65.611876075731487</v>
      </c>
      <c r="J545" s="696">
        <f t="shared" si="157"/>
        <v>94.611876075731487</v>
      </c>
      <c r="K545" s="612">
        <v>0.4</v>
      </c>
      <c r="L545" s="611">
        <f t="shared" si="158"/>
        <v>132.45662650602407</v>
      </c>
      <c r="M545" s="232">
        <v>105</v>
      </c>
      <c r="N545" s="631"/>
      <c r="O545" s="590"/>
      <c r="P545" s="178" t="s">
        <v>12</v>
      </c>
      <c r="Q545" s="836">
        <v>45385</v>
      </c>
      <c r="R545" s="914">
        <f>+M545*35000</f>
        <v>3675000</v>
      </c>
    </row>
    <row r="546" spans="1:20" s="178" customFormat="1" hidden="1" x14ac:dyDescent="0.25">
      <c r="A546" s="178" t="s">
        <v>1562</v>
      </c>
      <c r="B546" s="319" t="s">
        <v>1605</v>
      </c>
      <c r="C546" s="178">
        <v>314</v>
      </c>
      <c r="D546" s="178">
        <v>16</v>
      </c>
      <c r="E546" s="697" t="s">
        <v>1561</v>
      </c>
      <c r="F546" s="698">
        <v>32</v>
      </c>
      <c r="G546" s="232">
        <v>1162</v>
      </c>
      <c r="H546" s="232">
        <v>2629</v>
      </c>
      <c r="I546" s="695">
        <f t="shared" si="156"/>
        <v>72.399311531841661</v>
      </c>
      <c r="J546" s="696">
        <f t="shared" si="157"/>
        <v>104.39931153184166</v>
      </c>
      <c r="K546" s="612">
        <v>0.4</v>
      </c>
      <c r="L546" s="611">
        <f t="shared" si="158"/>
        <v>146.15903614457832</v>
      </c>
      <c r="M546" s="232">
        <v>110</v>
      </c>
      <c r="N546" s="631"/>
      <c r="O546" s="590"/>
      <c r="P546" s="178" t="s">
        <v>12</v>
      </c>
      <c r="Q546" s="836">
        <v>45359</v>
      </c>
      <c r="R546" s="914">
        <f>+M546*18000</f>
        <v>1980000</v>
      </c>
    </row>
    <row r="547" spans="1:20" s="178" customFormat="1" x14ac:dyDescent="0.25">
      <c r="A547" s="895" t="s">
        <v>1562</v>
      </c>
      <c r="B547" s="319" t="s">
        <v>1605</v>
      </c>
      <c r="C547" s="178">
        <v>315</v>
      </c>
      <c r="D547" s="178">
        <v>16</v>
      </c>
      <c r="E547" s="697" t="s">
        <v>1561</v>
      </c>
      <c r="F547" s="698">
        <v>32</v>
      </c>
      <c r="G547" s="232">
        <v>1162</v>
      </c>
      <c r="H547" s="232">
        <v>2629</v>
      </c>
      <c r="I547" s="695">
        <f t="shared" si="156"/>
        <v>72.399311531841661</v>
      </c>
      <c r="J547" s="696">
        <f t="shared" si="157"/>
        <v>104.39931153184166</v>
      </c>
      <c r="K547" s="612">
        <v>0.4</v>
      </c>
      <c r="L547" s="611">
        <f t="shared" si="158"/>
        <v>146.15903614457832</v>
      </c>
      <c r="M547" s="232">
        <v>110</v>
      </c>
      <c r="N547" s="631"/>
      <c r="O547" s="590"/>
      <c r="P547" s="178" t="s">
        <v>12</v>
      </c>
      <c r="Q547" s="836">
        <v>45478</v>
      </c>
      <c r="R547" s="914"/>
    </row>
    <row r="548" spans="1:20" s="178" customFormat="1" x14ac:dyDescent="0.25">
      <c r="A548" s="895" t="s">
        <v>1562</v>
      </c>
      <c r="B548" s="319" t="s">
        <v>1609</v>
      </c>
      <c r="C548" s="178">
        <v>316</v>
      </c>
      <c r="D548" s="178" t="s">
        <v>1608</v>
      </c>
      <c r="E548" s="379" t="s">
        <v>1607</v>
      </c>
      <c r="F548" s="175">
        <v>32</v>
      </c>
      <c r="G548" s="226">
        <v>1162</v>
      </c>
      <c r="H548" s="226">
        <v>2629</v>
      </c>
      <c r="I548" s="338">
        <f t="shared" si="156"/>
        <v>72.399311531841661</v>
      </c>
      <c r="J548" s="614">
        <f t="shared" si="157"/>
        <v>104.39931153184166</v>
      </c>
      <c r="K548" s="316">
        <v>0.4</v>
      </c>
      <c r="L548" s="174">
        <f t="shared" si="158"/>
        <v>146.15903614457832</v>
      </c>
      <c r="M548" s="226">
        <v>110</v>
      </c>
      <c r="N548" s="631"/>
      <c r="Q548" s="836"/>
      <c r="R548" s="914"/>
    </row>
    <row r="549" spans="1:20" s="178" customFormat="1" x14ac:dyDescent="0.25">
      <c r="A549" s="895" t="s">
        <v>1563</v>
      </c>
      <c r="B549" s="319" t="s">
        <v>336</v>
      </c>
      <c r="C549" s="178">
        <v>317</v>
      </c>
      <c r="D549" s="178" t="s">
        <v>1604</v>
      </c>
      <c r="E549" s="379" t="s">
        <v>1564</v>
      </c>
      <c r="F549" s="175">
        <v>29</v>
      </c>
      <c r="G549" s="226">
        <v>1162</v>
      </c>
      <c r="H549" s="226">
        <v>2629</v>
      </c>
      <c r="I549" s="338">
        <f t="shared" si="156"/>
        <v>65.611876075731487</v>
      </c>
      <c r="J549" s="614">
        <f t="shared" si="157"/>
        <v>94.611876075731487</v>
      </c>
      <c r="K549" s="316">
        <v>0.4</v>
      </c>
      <c r="L549" s="174">
        <f t="shared" si="158"/>
        <v>132.45662650602407</v>
      </c>
      <c r="M549" s="226">
        <v>150</v>
      </c>
      <c r="N549" s="631"/>
      <c r="O549" s="590"/>
      <c r="Q549" s="836"/>
      <c r="R549" s="914"/>
    </row>
    <row r="550" spans="1:20" s="178" customFormat="1" x14ac:dyDescent="0.25">
      <c r="A550" s="895" t="s">
        <v>1563</v>
      </c>
      <c r="B550" s="319" t="s">
        <v>336</v>
      </c>
      <c r="C550" s="178">
        <v>318</v>
      </c>
      <c r="D550" s="178">
        <v>16</v>
      </c>
      <c r="E550" s="379" t="s">
        <v>1565</v>
      </c>
      <c r="F550" s="175">
        <v>45</v>
      </c>
      <c r="G550" s="226">
        <v>1162</v>
      </c>
      <c r="H550" s="226">
        <v>2629</v>
      </c>
      <c r="I550" s="338">
        <f t="shared" si="156"/>
        <v>101.81153184165233</v>
      </c>
      <c r="J550" s="614">
        <f t="shared" si="157"/>
        <v>146.81153184165231</v>
      </c>
      <c r="K550" s="316">
        <v>0.4</v>
      </c>
      <c r="L550" s="174">
        <f t="shared" si="158"/>
        <v>205.53614457831321</v>
      </c>
      <c r="M550" s="226">
        <v>150</v>
      </c>
      <c r="N550" s="631"/>
      <c r="O550" s="590"/>
      <c r="Q550" s="836"/>
      <c r="R550" s="914"/>
    </row>
    <row r="551" spans="1:20" s="178" customFormat="1" x14ac:dyDescent="0.25">
      <c r="A551" s="178" t="s">
        <v>1566</v>
      </c>
      <c r="B551" s="319" t="s">
        <v>1445</v>
      </c>
      <c r="C551" s="178">
        <v>319</v>
      </c>
      <c r="D551" s="178" t="s">
        <v>506</v>
      </c>
      <c r="E551" s="379" t="s">
        <v>1567</v>
      </c>
      <c r="F551" s="175">
        <v>25</v>
      </c>
      <c r="G551" s="226">
        <v>1162</v>
      </c>
      <c r="H551" s="226">
        <v>2629</v>
      </c>
      <c r="I551" s="338">
        <f t="shared" si="156"/>
        <v>56.561962134251289</v>
      </c>
      <c r="J551" s="614">
        <f t="shared" si="157"/>
        <v>81.561962134251289</v>
      </c>
      <c r="K551" s="316">
        <v>0.4</v>
      </c>
      <c r="L551" s="174">
        <f t="shared" si="158"/>
        <v>114.18674698795179</v>
      </c>
      <c r="M551" s="226">
        <v>90</v>
      </c>
      <c r="N551" s="631"/>
      <c r="O551" s="590"/>
      <c r="Q551" s="836"/>
      <c r="R551" s="914"/>
    </row>
    <row r="552" spans="1:20" s="178" customFormat="1" x14ac:dyDescent="0.25">
      <c r="A552" s="178" t="s">
        <v>1566</v>
      </c>
      <c r="B552" s="319" t="s">
        <v>1445</v>
      </c>
      <c r="C552" s="178">
        <v>320</v>
      </c>
      <c r="D552" s="178" t="s">
        <v>1610</v>
      </c>
      <c r="E552" s="379" t="s">
        <v>1567</v>
      </c>
      <c r="F552" s="175">
        <v>25</v>
      </c>
      <c r="G552" s="226">
        <v>1162</v>
      </c>
      <c r="H552" s="226">
        <v>2629</v>
      </c>
      <c r="I552" s="338">
        <f t="shared" si="156"/>
        <v>56.561962134251289</v>
      </c>
      <c r="J552" s="614">
        <f t="shared" si="157"/>
        <v>81.561962134251289</v>
      </c>
      <c r="K552" s="316">
        <v>0.4</v>
      </c>
      <c r="L552" s="174">
        <f t="shared" si="158"/>
        <v>114.18674698795179</v>
      </c>
      <c r="M552" s="226">
        <v>90</v>
      </c>
      <c r="N552" s="631"/>
      <c r="O552" s="590"/>
      <c r="Q552" s="836"/>
      <c r="R552" s="914"/>
    </row>
    <row r="553" spans="1:20" s="178" customFormat="1" x14ac:dyDescent="0.25">
      <c r="A553" s="178" t="s">
        <v>1566</v>
      </c>
      <c r="B553" s="319" t="s">
        <v>1445</v>
      </c>
      <c r="C553" s="178">
        <v>321</v>
      </c>
      <c r="D553" s="178" t="s">
        <v>495</v>
      </c>
      <c r="E553" s="379" t="s">
        <v>1567</v>
      </c>
      <c r="F553" s="175">
        <v>25</v>
      </c>
      <c r="G553" s="226">
        <v>1162</v>
      </c>
      <c r="H553" s="226">
        <v>2629</v>
      </c>
      <c r="I553" s="338">
        <f t="shared" si="156"/>
        <v>56.561962134251289</v>
      </c>
      <c r="J553" s="614">
        <f t="shared" si="157"/>
        <v>81.561962134251289</v>
      </c>
      <c r="K553" s="316">
        <v>0.4</v>
      </c>
      <c r="L553" s="174">
        <f t="shared" si="158"/>
        <v>114.18674698795179</v>
      </c>
      <c r="M553" s="226">
        <v>90</v>
      </c>
      <c r="N553" s="631"/>
      <c r="O553" s="590"/>
      <c r="Q553" s="836"/>
      <c r="R553" s="914"/>
      <c r="S553" s="178" t="s">
        <v>2329</v>
      </c>
    </row>
    <row r="554" spans="1:20" s="178" customFormat="1" x14ac:dyDescent="0.25">
      <c r="B554" s="319"/>
      <c r="D554" s="656"/>
      <c r="E554" s="379" t="s">
        <v>1640</v>
      </c>
      <c r="F554" s="175"/>
      <c r="G554" s="226"/>
      <c r="H554" s="226"/>
      <c r="I554" s="174"/>
      <c r="J554" s="174"/>
      <c r="K554" s="316"/>
      <c r="L554" s="174"/>
      <c r="M554" s="226"/>
      <c r="N554" s="631"/>
      <c r="Q554" s="836"/>
      <c r="R554" s="914"/>
      <c r="S554" s="178">
        <v>100</v>
      </c>
    </row>
    <row r="555" spans="1:20" s="178" customFormat="1" x14ac:dyDescent="0.25">
      <c r="A555" s="895" t="s">
        <v>1641</v>
      </c>
      <c r="B555" s="319" t="s">
        <v>1685</v>
      </c>
      <c r="C555" s="178">
        <v>322</v>
      </c>
      <c r="D555" s="656">
        <v>38</v>
      </c>
      <c r="E555" s="379" t="s">
        <v>1642</v>
      </c>
      <c r="F555" s="175">
        <v>53</v>
      </c>
      <c r="G555" s="226">
        <v>3687</v>
      </c>
      <c r="H555" s="226">
        <v>3582</v>
      </c>
      <c r="I555" s="174">
        <f t="shared" ref="I555:I589" si="159">+F555/G555*H555</f>
        <v>51.490642799023597</v>
      </c>
      <c r="J555" s="174">
        <f t="shared" ref="J555:J589" si="160">+F555+I555</f>
        <v>104.49064279902359</v>
      </c>
      <c r="K555" s="316">
        <v>1.4</v>
      </c>
      <c r="L555" s="174">
        <f t="shared" ref="L555:L589" si="161">+J555*1.4</f>
        <v>146.28689991863303</v>
      </c>
      <c r="M555" s="226">
        <v>150</v>
      </c>
      <c r="N555" s="631"/>
      <c r="O555" s="590"/>
      <c r="Q555" s="836"/>
      <c r="R555" s="914"/>
      <c r="S555" s="178">
        <v>250</v>
      </c>
      <c r="T555" s="229"/>
    </row>
    <row r="556" spans="1:20" s="178" customFormat="1" x14ac:dyDescent="0.25">
      <c r="A556" s="178" t="s">
        <v>1641</v>
      </c>
      <c r="B556" s="319" t="s">
        <v>1685</v>
      </c>
      <c r="C556" s="178">
        <v>323</v>
      </c>
      <c r="D556" s="656">
        <v>42</v>
      </c>
      <c r="E556" s="379" t="s">
        <v>1643</v>
      </c>
      <c r="F556" s="175">
        <v>53</v>
      </c>
      <c r="G556" s="226">
        <v>3687</v>
      </c>
      <c r="H556" s="226">
        <v>3582</v>
      </c>
      <c r="I556" s="174">
        <f t="shared" si="159"/>
        <v>51.490642799023597</v>
      </c>
      <c r="J556" s="174">
        <f t="shared" si="160"/>
        <v>104.49064279902359</v>
      </c>
      <c r="K556" s="316">
        <v>1.4</v>
      </c>
      <c r="L556" s="174">
        <f t="shared" si="161"/>
        <v>146.28689991863303</v>
      </c>
      <c r="M556" s="226">
        <v>150</v>
      </c>
      <c r="N556" s="631"/>
      <c r="O556" s="590"/>
      <c r="Q556" s="836"/>
      <c r="R556" s="914"/>
    </row>
    <row r="557" spans="1:20" s="178" customFormat="1" x14ac:dyDescent="0.25">
      <c r="A557" s="178" t="s">
        <v>1641</v>
      </c>
      <c r="B557" s="319" t="s">
        <v>1685</v>
      </c>
      <c r="C557" s="178">
        <v>324</v>
      </c>
      <c r="D557" s="656">
        <v>44</v>
      </c>
      <c r="E557" s="379" t="s">
        <v>1643</v>
      </c>
      <c r="F557" s="175">
        <v>53</v>
      </c>
      <c r="G557" s="226">
        <v>3687</v>
      </c>
      <c r="H557" s="226">
        <v>3582</v>
      </c>
      <c r="I557" s="174">
        <f t="shared" si="159"/>
        <v>51.490642799023597</v>
      </c>
      <c r="J557" s="174">
        <f t="shared" si="160"/>
        <v>104.49064279902359</v>
      </c>
      <c r="K557" s="316">
        <v>1.4</v>
      </c>
      <c r="L557" s="174">
        <f t="shared" si="161"/>
        <v>146.28689991863303</v>
      </c>
      <c r="M557" s="226">
        <v>150</v>
      </c>
      <c r="N557" s="631"/>
      <c r="O557" s="590"/>
      <c r="Q557" s="836"/>
      <c r="R557" s="914"/>
    </row>
    <row r="558" spans="1:20" s="178" customFormat="1" x14ac:dyDescent="0.25">
      <c r="A558" s="178" t="s">
        <v>1641</v>
      </c>
      <c r="B558" s="319" t="s">
        <v>1685</v>
      </c>
      <c r="C558" s="178">
        <v>325</v>
      </c>
      <c r="D558" s="656">
        <v>46</v>
      </c>
      <c r="E558" s="379" t="s">
        <v>1643</v>
      </c>
      <c r="F558" s="175">
        <v>53</v>
      </c>
      <c r="G558" s="226">
        <v>3687</v>
      </c>
      <c r="H558" s="226">
        <v>3582</v>
      </c>
      <c r="I558" s="174">
        <f t="shared" si="159"/>
        <v>51.490642799023597</v>
      </c>
      <c r="J558" s="174">
        <f t="shared" si="160"/>
        <v>104.49064279902359</v>
      </c>
      <c r="K558" s="316">
        <v>1.4</v>
      </c>
      <c r="L558" s="174">
        <f t="shared" si="161"/>
        <v>146.28689991863303</v>
      </c>
      <c r="M558" s="226">
        <v>150</v>
      </c>
      <c r="N558" s="631"/>
      <c r="O558" s="590"/>
      <c r="Q558" s="836"/>
      <c r="R558" s="914"/>
    </row>
    <row r="559" spans="1:20" s="178" customFormat="1" x14ac:dyDescent="0.25">
      <c r="A559" s="178" t="s">
        <v>1641</v>
      </c>
      <c r="B559" s="319" t="s">
        <v>1685</v>
      </c>
      <c r="C559" s="178">
        <v>326</v>
      </c>
      <c r="D559" s="656">
        <v>48</v>
      </c>
      <c r="E559" s="379" t="s">
        <v>1643</v>
      </c>
      <c r="F559" s="175">
        <v>53</v>
      </c>
      <c r="G559" s="226">
        <v>3687</v>
      </c>
      <c r="H559" s="226">
        <v>3582</v>
      </c>
      <c r="I559" s="174">
        <f t="shared" si="159"/>
        <v>51.490642799023597</v>
      </c>
      <c r="J559" s="174">
        <f t="shared" si="160"/>
        <v>104.49064279902359</v>
      </c>
      <c r="K559" s="316">
        <v>1.4</v>
      </c>
      <c r="L559" s="174">
        <f t="shared" si="161"/>
        <v>146.28689991863303</v>
      </c>
      <c r="M559" s="226">
        <v>150</v>
      </c>
      <c r="N559" s="631"/>
      <c r="O559" s="590"/>
      <c r="Q559" s="836"/>
      <c r="R559" s="914"/>
    </row>
    <row r="560" spans="1:20" s="178" customFormat="1" hidden="1" x14ac:dyDescent="0.25">
      <c r="A560" s="178" t="s">
        <v>884</v>
      </c>
      <c r="B560" s="178" t="s">
        <v>884</v>
      </c>
      <c r="C560" s="178">
        <v>327</v>
      </c>
      <c r="D560" s="656">
        <v>44</v>
      </c>
      <c r="E560" s="697" t="s">
        <v>1644</v>
      </c>
      <c r="F560" s="698">
        <v>33</v>
      </c>
      <c r="G560" s="232">
        <v>3687</v>
      </c>
      <c r="H560" s="232">
        <v>3582</v>
      </c>
      <c r="I560" s="611">
        <f t="shared" si="159"/>
        <v>32.060211554109031</v>
      </c>
      <c r="J560" s="611">
        <f t="shared" si="160"/>
        <v>65.060211554109031</v>
      </c>
      <c r="K560" s="612">
        <v>1.4</v>
      </c>
      <c r="L560" s="611">
        <f t="shared" si="161"/>
        <v>91.084296175752641</v>
      </c>
      <c r="M560" s="232">
        <v>120</v>
      </c>
      <c r="N560" s="631"/>
      <c r="O560" s="590"/>
      <c r="P560" s="178" t="s">
        <v>12</v>
      </c>
      <c r="Q560" s="836">
        <v>45408</v>
      </c>
      <c r="R560" s="914">
        <f>+M560*36000</f>
        <v>4320000</v>
      </c>
    </row>
    <row r="561" spans="1:20" s="178" customFormat="1" x14ac:dyDescent="0.25">
      <c r="A561" s="178" t="s">
        <v>884</v>
      </c>
      <c r="B561" s="178" t="s">
        <v>884</v>
      </c>
      <c r="C561" s="178">
        <v>328</v>
      </c>
      <c r="D561" s="656">
        <v>46</v>
      </c>
      <c r="E561" s="379" t="s">
        <v>1644</v>
      </c>
      <c r="F561" s="175">
        <v>33</v>
      </c>
      <c r="G561" s="226">
        <v>3687</v>
      </c>
      <c r="H561" s="226">
        <v>3582</v>
      </c>
      <c r="I561" s="174">
        <f t="shared" si="159"/>
        <v>32.060211554109031</v>
      </c>
      <c r="J561" s="174">
        <f t="shared" si="160"/>
        <v>65.060211554109031</v>
      </c>
      <c r="K561" s="316">
        <v>1.4</v>
      </c>
      <c r="L561" s="174">
        <f t="shared" si="161"/>
        <v>91.084296175752641</v>
      </c>
      <c r="M561" s="226">
        <v>125</v>
      </c>
      <c r="N561" s="631"/>
      <c r="O561" s="590"/>
      <c r="Q561" s="836"/>
      <c r="R561" s="914"/>
    </row>
    <row r="562" spans="1:20" s="178" customFormat="1" x14ac:dyDescent="0.25">
      <c r="A562" s="178" t="s">
        <v>884</v>
      </c>
      <c r="B562" s="178" t="s">
        <v>884</v>
      </c>
      <c r="C562" s="178">
        <v>329</v>
      </c>
      <c r="D562" s="656">
        <v>50</v>
      </c>
      <c r="E562" s="379" t="s">
        <v>1644</v>
      </c>
      <c r="F562" s="175">
        <v>33</v>
      </c>
      <c r="G562" s="226">
        <v>3687</v>
      </c>
      <c r="H562" s="226">
        <v>3582</v>
      </c>
      <c r="I562" s="174">
        <f t="shared" si="159"/>
        <v>32.060211554109031</v>
      </c>
      <c r="J562" s="174">
        <f t="shared" si="160"/>
        <v>65.060211554109031</v>
      </c>
      <c r="K562" s="316">
        <v>1.4</v>
      </c>
      <c r="L562" s="174">
        <f t="shared" si="161"/>
        <v>91.084296175752641</v>
      </c>
      <c r="M562" s="226">
        <v>125</v>
      </c>
      <c r="N562" s="631"/>
      <c r="O562" s="590"/>
      <c r="Q562" s="836"/>
      <c r="R562" s="914"/>
    </row>
    <row r="563" spans="1:20" s="178" customFormat="1" x14ac:dyDescent="0.25">
      <c r="A563" s="178" t="s">
        <v>259</v>
      </c>
      <c r="B563" s="319" t="s">
        <v>173</v>
      </c>
      <c r="C563" s="178">
        <v>330</v>
      </c>
      <c r="D563" s="656">
        <v>50</v>
      </c>
      <c r="E563" s="379" t="s">
        <v>1645</v>
      </c>
      <c r="F563" s="175">
        <v>34</v>
      </c>
      <c r="G563" s="226">
        <v>3687</v>
      </c>
      <c r="H563" s="226">
        <v>3582</v>
      </c>
      <c r="I563" s="174">
        <f t="shared" si="159"/>
        <v>33.031733116354758</v>
      </c>
      <c r="J563" s="174">
        <f t="shared" si="160"/>
        <v>67.031733116354758</v>
      </c>
      <c r="K563" s="316">
        <v>1.4</v>
      </c>
      <c r="L563" s="174">
        <f t="shared" si="161"/>
        <v>93.844426362896655</v>
      </c>
      <c r="M563" s="226">
        <v>125</v>
      </c>
      <c r="N563" s="631"/>
      <c r="O563" s="590"/>
      <c r="Q563" s="836"/>
      <c r="R563" s="914"/>
    </row>
    <row r="564" spans="1:20" s="178" customFormat="1" x14ac:dyDescent="0.25">
      <c r="A564" s="178" t="s">
        <v>259</v>
      </c>
      <c r="B564" s="319" t="s">
        <v>173</v>
      </c>
      <c r="C564" s="178">
        <v>331</v>
      </c>
      <c r="D564" s="656">
        <v>52</v>
      </c>
      <c r="E564" s="379" t="s">
        <v>1645</v>
      </c>
      <c r="F564" s="175">
        <v>34</v>
      </c>
      <c r="G564" s="226">
        <v>3687</v>
      </c>
      <c r="H564" s="226">
        <v>3582</v>
      </c>
      <c r="I564" s="174">
        <f t="shared" si="159"/>
        <v>33.031733116354758</v>
      </c>
      <c r="J564" s="174">
        <f t="shared" si="160"/>
        <v>67.031733116354758</v>
      </c>
      <c r="K564" s="316">
        <v>1.4</v>
      </c>
      <c r="L564" s="174">
        <f t="shared" si="161"/>
        <v>93.844426362896655</v>
      </c>
      <c r="M564" s="226">
        <v>125</v>
      </c>
      <c r="N564" s="631"/>
      <c r="O564" s="590"/>
      <c r="Q564" s="836"/>
      <c r="R564" s="914"/>
    </row>
    <row r="565" spans="1:20" s="178" customFormat="1" x14ac:dyDescent="0.25">
      <c r="A565" s="178" t="s">
        <v>259</v>
      </c>
      <c r="B565" s="319" t="s">
        <v>173</v>
      </c>
      <c r="C565" s="178">
        <v>332</v>
      </c>
      <c r="D565" s="656">
        <v>54</v>
      </c>
      <c r="E565" s="379" t="s">
        <v>1645</v>
      </c>
      <c r="F565" s="175">
        <v>34</v>
      </c>
      <c r="G565" s="226">
        <v>3687</v>
      </c>
      <c r="H565" s="226">
        <v>3582</v>
      </c>
      <c r="I565" s="174">
        <f t="shared" si="159"/>
        <v>33.031733116354758</v>
      </c>
      <c r="J565" s="174">
        <f t="shared" si="160"/>
        <v>67.031733116354758</v>
      </c>
      <c r="K565" s="316">
        <v>1.4</v>
      </c>
      <c r="L565" s="174">
        <f t="shared" si="161"/>
        <v>93.844426362896655</v>
      </c>
      <c r="M565" s="226">
        <v>125</v>
      </c>
      <c r="N565" s="631"/>
      <c r="O565" s="590"/>
      <c r="Q565" s="836"/>
      <c r="R565" s="914"/>
    </row>
    <row r="566" spans="1:20" s="178" customFormat="1" x14ac:dyDescent="0.25">
      <c r="A566" s="178" t="s">
        <v>259</v>
      </c>
      <c r="B566" s="318" t="s">
        <v>173</v>
      </c>
      <c r="C566" s="178">
        <v>333</v>
      </c>
      <c r="D566" s="656">
        <v>56</v>
      </c>
      <c r="E566" s="379" t="s">
        <v>1645</v>
      </c>
      <c r="F566" s="175">
        <v>34</v>
      </c>
      <c r="G566" s="226">
        <v>3687</v>
      </c>
      <c r="H566" s="226">
        <v>3582</v>
      </c>
      <c r="I566" s="174">
        <f t="shared" si="159"/>
        <v>33.031733116354758</v>
      </c>
      <c r="J566" s="174">
        <f t="shared" si="160"/>
        <v>67.031733116354758</v>
      </c>
      <c r="K566" s="316">
        <v>1.4</v>
      </c>
      <c r="L566" s="174">
        <f t="shared" si="161"/>
        <v>93.844426362896655</v>
      </c>
      <c r="M566" s="226">
        <v>125</v>
      </c>
      <c r="N566" s="631"/>
      <c r="O566" s="590"/>
      <c r="Q566" s="836"/>
      <c r="R566" s="914"/>
    </row>
    <row r="567" spans="1:20" s="178" customFormat="1" hidden="1" x14ac:dyDescent="0.25">
      <c r="A567" s="178" t="s">
        <v>1493</v>
      </c>
      <c r="B567" s="319" t="s">
        <v>1686</v>
      </c>
      <c r="C567" s="178">
        <v>334</v>
      </c>
      <c r="D567" s="656">
        <v>42</v>
      </c>
      <c r="E567" s="697" t="s">
        <v>1646</v>
      </c>
      <c r="F567" s="698">
        <v>62</v>
      </c>
      <c r="G567" s="232">
        <v>3687</v>
      </c>
      <c r="H567" s="232">
        <v>3582</v>
      </c>
      <c r="I567" s="611">
        <f t="shared" si="159"/>
        <v>60.23433685923515</v>
      </c>
      <c r="J567" s="611">
        <f t="shared" si="160"/>
        <v>122.23433685923516</v>
      </c>
      <c r="K567" s="612">
        <v>1.4</v>
      </c>
      <c r="L567" s="611">
        <f t="shared" si="161"/>
        <v>171.1280716029292</v>
      </c>
      <c r="M567" s="232">
        <v>200</v>
      </c>
      <c r="N567" s="631"/>
      <c r="O567" s="590"/>
      <c r="P567" s="178" t="s">
        <v>1813</v>
      </c>
      <c r="Q567" s="836">
        <v>45294</v>
      </c>
      <c r="R567" s="914">
        <f>+M568*10000</f>
        <v>1900000</v>
      </c>
    </row>
    <row r="568" spans="1:20" s="178" customFormat="1" hidden="1" x14ac:dyDescent="0.25">
      <c r="A568" s="178" t="s">
        <v>1493</v>
      </c>
      <c r="B568" s="319" t="s">
        <v>1686</v>
      </c>
      <c r="C568" s="178">
        <v>335</v>
      </c>
      <c r="D568" s="656">
        <v>44</v>
      </c>
      <c r="E568" s="697" t="s">
        <v>1646</v>
      </c>
      <c r="F568" s="698">
        <v>62</v>
      </c>
      <c r="G568" s="232">
        <v>3687</v>
      </c>
      <c r="H568" s="232">
        <v>3582</v>
      </c>
      <c r="I568" s="611">
        <f t="shared" si="159"/>
        <v>60.23433685923515</v>
      </c>
      <c r="J568" s="611">
        <f t="shared" si="160"/>
        <v>122.23433685923516</v>
      </c>
      <c r="K568" s="612">
        <v>1.4</v>
      </c>
      <c r="L568" s="611">
        <f t="shared" si="161"/>
        <v>171.1280716029292</v>
      </c>
      <c r="M568" s="232">
        <v>190</v>
      </c>
      <c r="N568" s="631"/>
      <c r="O568" s="590"/>
      <c r="P568" s="178" t="s">
        <v>12</v>
      </c>
      <c r="Q568" s="229">
        <v>45356</v>
      </c>
      <c r="R568" s="914">
        <f>+M568*18000</f>
        <v>3420000</v>
      </c>
    </row>
    <row r="569" spans="1:20" s="178" customFormat="1" x14ac:dyDescent="0.25">
      <c r="A569" s="895" t="s">
        <v>1493</v>
      </c>
      <c r="B569" s="893" t="s">
        <v>1686</v>
      </c>
      <c r="C569" s="178">
        <v>336</v>
      </c>
      <c r="D569" s="656">
        <v>46</v>
      </c>
      <c r="E569" s="379" t="s">
        <v>1646</v>
      </c>
      <c r="F569" s="175">
        <v>62</v>
      </c>
      <c r="G569" s="226">
        <v>3687</v>
      </c>
      <c r="H569" s="226">
        <v>3582</v>
      </c>
      <c r="I569" s="174">
        <f t="shared" si="159"/>
        <v>60.23433685923515</v>
      </c>
      <c r="J569" s="174">
        <f t="shared" si="160"/>
        <v>122.23433685923516</v>
      </c>
      <c r="K569" s="316">
        <v>1.4</v>
      </c>
      <c r="L569" s="174">
        <f t="shared" si="161"/>
        <v>171.1280716029292</v>
      </c>
      <c r="M569" s="226">
        <v>200</v>
      </c>
      <c r="N569" s="631"/>
      <c r="O569" s="590"/>
      <c r="Q569" s="836"/>
      <c r="R569" s="914"/>
    </row>
    <row r="570" spans="1:20" s="178" customFormat="1" hidden="1" x14ac:dyDescent="0.25">
      <c r="A570" s="178" t="s">
        <v>1493</v>
      </c>
      <c r="B570" s="319" t="s">
        <v>1686</v>
      </c>
      <c r="C570" s="178">
        <v>337</v>
      </c>
      <c r="D570" s="656">
        <v>48</v>
      </c>
      <c r="E570" s="697" t="s">
        <v>1646</v>
      </c>
      <c r="F570" s="698">
        <v>62</v>
      </c>
      <c r="G570" s="232">
        <v>3687</v>
      </c>
      <c r="H570" s="232">
        <v>3582</v>
      </c>
      <c r="I570" s="611">
        <f t="shared" si="159"/>
        <v>60.23433685923515</v>
      </c>
      <c r="J570" s="611">
        <f t="shared" si="160"/>
        <v>122.23433685923516</v>
      </c>
      <c r="K570" s="612">
        <v>1.4</v>
      </c>
      <c r="L570" s="611">
        <f t="shared" si="161"/>
        <v>171.1280716029292</v>
      </c>
      <c r="M570" s="232">
        <v>200</v>
      </c>
      <c r="N570" s="631"/>
      <c r="O570" s="590"/>
      <c r="P570" s="178" t="s">
        <v>12</v>
      </c>
      <c r="Q570" s="836">
        <v>45418</v>
      </c>
      <c r="R570" s="914">
        <f>+M570*14.5</f>
        <v>2900</v>
      </c>
    </row>
    <row r="571" spans="1:20" s="178" customFormat="1" x14ac:dyDescent="0.25">
      <c r="A571" s="895" t="s">
        <v>1493</v>
      </c>
      <c r="B571" s="319" t="s">
        <v>956</v>
      </c>
      <c r="C571" s="178">
        <v>338</v>
      </c>
      <c r="D571" s="656">
        <v>38</v>
      </c>
      <c r="E571" s="379" t="s">
        <v>1647</v>
      </c>
      <c r="F571" s="226">
        <v>25</v>
      </c>
      <c r="G571" s="226">
        <v>3687</v>
      </c>
      <c r="H571" s="226">
        <v>3582</v>
      </c>
      <c r="I571" s="174">
        <f t="shared" si="159"/>
        <v>24.288039056143205</v>
      </c>
      <c r="J571" s="174">
        <f t="shared" si="160"/>
        <v>49.288039056143205</v>
      </c>
      <c r="K571" s="316">
        <v>1.4</v>
      </c>
      <c r="L571" s="174">
        <f t="shared" si="161"/>
        <v>69.003254678600484</v>
      </c>
      <c r="M571" s="226">
        <v>125</v>
      </c>
      <c r="N571" s="631"/>
      <c r="O571" s="590"/>
      <c r="Q571" s="836"/>
      <c r="R571" s="914"/>
    </row>
    <row r="572" spans="1:20" s="178" customFormat="1" hidden="1" x14ac:dyDescent="0.25">
      <c r="A572" s="178" t="s">
        <v>1493</v>
      </c>
      <c r="B572" s="319" t="s">
        <v>956</v>
      </c>
      <c r="C572" s="178">
        <v>339</v>
      </c>
      <c r="D572" s="656">
        <v>40</v>
      </c>
      <c r="E572" s="697" t="s">
        <v>1647</v>
      </c>
      <c r="F572" s="232">
        <v>25</v>
      </c>
      <c r="G572" s="232">
        <v>3687</v>
      </c>
      <c r="H572" s="232">
        <v>3582</v>
      </c>
      <c r="I572" s="611">
        <f t="shared" si="159"/>
        <v>24.288039056143205</v>
      </c>
      <c r="J572" s="611">
        <f t="shared" si="160"/>
        <v>49.288039056143205</v>
      </c>
      <c r="K572" s="612">
        <v>1.4</v>
      </c>
      <c r="L572" s="611">
        <f t="shared" si="161"/>
        <v>69.003254678600484</v>
      </c>
      <c r="M572" s="232">
        <v>125</v>
      </c>
      <c r="N572" s="631"/>
      <c r="O572" s="590"/>
      <c r="P572" s="178" t="s">
        <v>2062</v>
      </c>
      <c r="Q572" s="836">
        <v>45349</v>
      </c>
      <c r="R572" s="914">
        <f>+M572*15000</f>
        <v>1875000</v>
      </c>
    </row>
    <row r="573" spans="1:20" s="178" customFormat="1" hidden="1" x14ac:dyDescent="0.25">
      <c r="A573" s="895" t="s">
        <v>1062</v>
      </c>
      <c r="B573" s="319" t="s">
        <v>1688</v>
      </c>
      <c r="C573" s="178">
        <v>340</v>
      </c>
      <c r="D573" s="656">
        <v>48</v>
      </c>
      <c r="E573" s="697" t="s">
        <v>1648</v>
      </c>
      <c r="F573" s="232">
        <v>58</v>
      </c>
      <c r="G573" s="232">
        <v>3687</v>
      </c>
      <c r="H573" s="232">
        <v>3582</v>
      </c>
      <c r="I573" s="611">
        <f t="shared" si="159"/>
        <v>56.348250610252236</v>
      </c>
      <c r="J573" s="611">
        <f t="shared" si="160"/>
        <v>114.34825061025224</v>
      </c>
      <c r="K573" s="612">
        <v>1.4</v>
      </c>
      <c r="L573" s="611">
        <f t="shared" si="161"/>
        <v>160.08755085435311</v>
      </c>
      <c r="M573" s="232">
        <v>180</v>
      </c>
      <c r="N573" s="631"/>
      <c r="O573" s="590"/>
      <c r="P573" s="178" t="s">
        <v>12</v>
      </c>
      <c r="Q573" s="836">
        <v>45428</v>
      </c>
      <c r="R573" s="914">
        <f>+M573*14.5</f>
        <v>2610</v>
      </c>
    </row>
    <row r="574" spans="1:20" s="178" customFormat="1" x14ac:dyDescent="0.25">
      <c r="A574" s="895" t="s">
        <v>1062</v>
      </c>
      <c r="B574" s="893" t="s">
        <v>1691</v>
      </c>
      <c r="C574" s="178">
        <v>341</v>
      </c>
      <c r="D574" s="656">
        <v>46</v>
      </c>
      <c r="E574" s="379" t="s">
        <v>1649</v>
      </c>
      <c r="F574" s="175">
        <v>33</v>
      </c>
      <c r="G574" s="226">
        <v>3687</v>
      </c>
      <c r="H574" s="226">
        <v>3582</v>
      </c>
      <c r="I574" s="174">
        <f t="shared" si="159"/>
        <v>32.060211554109031</v>
      </c>
      <c r="J574" s="174">
        <f t="shared" si="160"/>
        <v>65.060211554109031</v>
      </c>
      <c r="K574" s="316">
        <v>1.4</v>
      </c>
      <c r="L574" s="174">
        <f t="shared" si="161"/>
        <v>91.084296175752641</v>
      </c>
      <c r="M574" s="226">
        <v>125</v>
      </c>
      <c r="N574" s="631"/>
      <c r="O574" s="590"/>
      <c r="Q574" s="836"/>
      <c r="R574" s="914"/>
    </row>
    <row r="575" spans="1:20" s="178" customFormat="1" hidden="1" x14ac:dyDescent="0.25">
      <c r="A575" s="178" t="s">
        <v>1062</v>
      </c>
      <c r="B575" s="319" t="s">
        <v>1691</v>
      </c>
      <c r="C575" s="178">
        <v>342</v>
      </c>
      <c r="D575" s="656">
        <v>48</v>
      </c>
      <c r="E575" s="697" t="s">
        <v>1649</v>
      </c>
      <c r="F575" s="698">
        <v>33</v>
      </c>
      <c r="G575" s="232">
        <v>3687</v>
      </c>
      <c r="H575" s="232">
        <v>3582</v>
      </c>
      <c r="I575" s="611">
        <f t="shared" si="159"/>
        <v>32.060211554109031</v>
      </c>
      <c r="J575" s="611">
        <f t="shared" si="160"/>
        <v>65.060211554109031</v>
      </c>
      <c r="K575" s="612">
        <v>1.4</v>
      </c>
      <c r="L575" s="611">
        <f t="shared" si="161"/>
        <v>91.084296175752641</v>
      </c>
      <c r="M575" s="232">
        <v>115</v>
      </c>
      <c r="N575" s="631"/>
      <c r="O575" s="590"/>
      <c r="P575" s="178" t="s">
        <v>12</v>
      </c>
      <c r="Q575" s="836">
        <v>45369</v>
      </c>
      <c r="R575" s="914">
        <f>+M575*18000</f>
        <v>2070000</v>
      </c>
      <c r="T575" s="229"/>
    </row>
    <row r="576" spans="1:20" s="178" customFormat="1" hidden="1" x14ac:dyDescent="0.25">
      <c r="A576" s="178" t="s">
        <v>229</v>
      </c>
      <c r="B576" s="319" t="s">
        <v>228</v>
      </c>
      <c r="C576" s="178">
        <v>343</v>
      </c>
      <c r="D576" s="656">
        <v>54</v>
      </c>
      <c r="E576" s="697" t="s">
        <v>1650</v>
      </c>
      <c r="F576" s="232">
        <v>20</v>
      </c>
      <c r="G576" s="232">
        <v>3687</v>
      </c>
      <c r="H576" s="232">
        <v>3582</v>
      </c>
      <c r="I576" s="611">
        <f t="shared" si="159"/>
        <v>19.430431244914566</v>
      </c>
      <c r="J576" s="611">
        <f t="shared" si="160"/>
        <v>39.430431244914566</v>
      </c>
      <c r="K576" s="612">
        <v>1.4</v>
      </c>
      <c r="L576" s="611">
        <f t="shared" si="161"/>
        <v>55.202603742880392</v>
      </c>
      <c r="M576" s="232">
        <v>75</v>
      </c>
      <c r="N576" s="631"/>
      <c r="O576" s="590"/>
      <c r="P576" s="178" t="s">
        <v>2029</v>
      </c>
      <c r="Q576" s="836">
        <v>45339</v>
      </c>
      <c r="R576" s="914">
        <f>+M576*10000</f>
        <v>750000</v>
      </c>
    </row>
    <row r="577" spans="1:18" s="178" customFormat="1" x14ac:dyDescent="0.25">
      <c r="A577" s="178" t="s">
        <v>229</v>
      </c>
      <c r="B577" s="319" t="s">
        <v>228</v>
      </c>
      <c r="C577" s="178">
        <v>344</v>
      </c>
      <c r="D577" s="656">
        <v>42</v>
      </c>
      <c r="E577" s="379" t="s">
        <v>1651</v>
      </c>
      <c r="F577" s="226">
        <v>20</v>
      </c>
      <c r="G577" s="226">
        <v>3687</v>
      </c>
      <c r="H577" s="226">
        <v>3582</v>
      </c>
      <c r="I577" s="174">
        <f t="shared" si="159"/>
        <v>19.430431244914566</v>
      </c>
      <c r="J577" s="174">
        <f t="shared" si="160"/>
        <v>39.430431244914566</v>
      </c>
      <c r="K577" s="316">
        <v>1.4</v>
      </c>
      <c r="L577" s="174">
        <f t="shared" si="161"/>
        <v>55.202603742880392</v>
      </c>
      <c r="M577" s="226">
        <v>75</v>
      </c>
      <c r="N577" s="631"/>
      <c r="O577" s="590"/>
      <c r="Q577" s="836"/>
      <c r="R577" s="914"/>
    </row>
    <row r="578" spans="1:18" s="178" customFormat="1" x14ac:dyDescent="0.25">
      <c r="A578" s="178" t="s">
        <v>229</v>
      </c>
      <c r="B578" s="319" t="s">
        <v>228</v>
      </c>
      <c r="C578" s="178">
        <v>345</v>
      </c>
      <c r="D578" s="656">
        <v>44</v>
      </c>
      <c r="E578" s="379" t="s">
        <v>1651</v>
      </c>
      <c r="F578" s="226">
        <v>20</v>
      </c>
      <c r="G578" s="226">
        <v>3687</v>
      </c>
      <c r="H578" s="226">
        <v>3582</v>
      </c>
      <c r="I578" s="174">
        <f t="shared" si="159"/>
        <v>19.430431244914566</v>
      </c>
      <c r="J578" s="174">
        <f t="shared" si="160"/>
        <v>39.430431244914566</v>
      </c>
      <c r="K578" s="316">
        <v>1.4</v>
      </c>
      <c r="L578" s="174">
        <f t="shared" si="161"/>
        <v>55.202603742880392</v>
      </c>
      <c r="M578" s="226">
        <v>75</v>
      </c>
      <c r="N578" s="631"/>
      <c r="O578" s="590"/>
      <c r="Q578" s="836"/>
      <c r="R578" s="914"/>
    </row>
    <row r="579" spans="1:18" s="178" customFormat="1" hidden="1" x14ac:dyDescent="0.25">
      <c r="A579" s="178" t="s">
        <v>229</v>
      </c>
      <c r="B579" s="319" t="s">
        <v>228</v>
      </c>
      <c r="C579" s="178">
        <v>346</v>
      </c>
      <c r="D579" s="656">
        <v>48</v>
      </c>
      <c r="E579" s="697" t="s">
        <v>1651</v>
      </c>
      <c r="F579" s="232">
        <v>20</v>
      </c>
      <c r="G579" s="232">
        <v>3687</v>
      </c>
      <c r="H579" s="232">
        <v>3582</v>
      </c>
      <c r="I579" s="611">
        <f t="shared" si="159"/>
        <v>19.430431244914566</v>
      </c>
      <c r="J579" s="611">
        <f t="shared" si="160"/>
        <v>39.430431244914566</v>
      </c>
      <c r="K579" s="612">
        <v>1.4</v>
      </c>
      <c r="L579" s="611">
        <f t="shared" si="161"/>
        <v>55.202603742880392</v>
      </c>
      <c r="M579" s="232">
        <v>75</v>
      </c>
      <c r="N579" s="631"/>
      <c r="O579" s="590"/>
      <c r="P579" s="178" t="s">
        <v>1865</v>
      </c>
      <c r="Q579" s="836">
        <v>45309</v>
      </c>
      <c r="R579" s="914">
        <f>+M579*7000</f>
        <v>525000</v>
      </c>
    </row>
    <row r="580" spans="1:18" s="178" customFormat="1" x14ac:dyDescent="0.25">
      <c r="A580" s="178" t="s">
        <v>229</v>
      </c>
      <c r="B580" s="319" t="s">
        <v>228</v>
      </c>
      <c r="C580" s="178">
        <v>347</v>
      </c>
      <c r="D580" s="656">
        <v>50</v>
      </c>
      <c r="E580" s="628" t="s">
        <v>1652</v>
      </c>
      <c r="F580" s="226">
        <v>20</v>
      </c>
      <c r="G580" s="226">
        <v>3687</v>
      </c>
      <c r="H580" s="226">
        <v>3582</v>
      </c>
      <c r="I580" s="174">
        <f t="shared" si="159"/>
        <v>19.430431244914566</v>
      </c>
      <c r="J580" s="174">
        <f t="shared" si="160"/>
        <v>39.430431244914566</v>
      </c>
      <c r="K580" s="316">
        <v>1.4</v>
      </c>
      <c r="L580" s="174">
        <f t="shared" si="161"/>
        <v>55.202603742880392</v>
      </c>
      <c r="M580" s="226">
        <v>75</v>
      </c>
      <c r="N580" s="631"/>
      <c r="O580" s="590"/>
      <c r="Q580" s="836"/>
      <c r="R580" s="914"/>
    </row>
    <row r="581" spans="1:18" s="178" customFormat="1" x14ac:dyDescent="0.25">
      <c r="A581" s="178" t="s">
        <v>229</v>
      </c>
      <c r="B581" s="319" t="s">
        <v>228</v>
      </c>
      <c r="C581" s="178">
        <v>348</v>
      </c>
      <c r="D581" s="656">
        <v>52</v>
      </c>
      <c r="E581" s="628" t="s">
        <v>1652</v>
      </c>
      <c r="F581" s="226">
        <v>20</v>
      </c>
      <c r="G581" s="226">
        <v>3687</v>
      </c>
      <c r="H581" s="226">
        <v>3582</v>
      </c>
      <c r="I581" s="174">
        <f t="shared" si="159"/>
        <v>19.430431244914566</v>
      </c>
      <c r="J581" s="174">
        <f t="shared" si="160"/>
        <v>39.430431244914566</v>
      </c>
      <c r="K581" s="316">
        <v>1.4</v>
      </c>
      <c r="L581" s="174">
        <f t="shared" si="161"/>
        <v>55.202603742880392</v>
      </c>
      <c r="M581" s="226">
        <v>75</v>
      </c>
      <c r="N581" s="631"/>
      <c r="O581" s="590"/>
      <c r="Q581" s="836"/>
      <c r="R581" s="914"/>
    </row>
    <row r="582" spans="1:18" s="178" customFormat="1" x14ac:dyDescent="0.25">
      <c r="A582" s="178" t="s">
        <v>229</v>
      </c>
      <c r="B582" s="319" t="s">
        <v>228</v>
      </c>
      <c r="C582" s="178">
        <v>349</v>
      </c>
      <c r="D582" s="656">
        <v>54</v>
      </c>
      <c r="E582" s="628" t="s">
        <v>1652</v>
      </c>
      <c r="F582" s="226">
        <v>20</v>
      </c>
      <c r="G582" s="226">
        <v>3687</v>
      </c>
      <c r="H582" s="226">
        <v>3582</v>
      </c>
      <c r="I582" s="174">
        <f t="shared" si="159"/>
        <v>19.430431244914566</v>
      </c>
      <c r="J582" s="174">
        <f t="shared" si="160"/>
        <v>39.430431244914566</v>
      </c>
      <c r="K582" s="316">
        <v>1.4</v>
      </c>
      <c r="L582" s="174">
        <f t="shared" si="161"/>
        <v>55.202603742880392</v>
      </c>
      <c r="M582" s="226">
        <v>75</v>
      </c>
      <c r="N582" s="631"/>
      <c r="O582" s="590"/>
      <c r="Q582" s="836"/>
      <c r="R582" s="914"/>
    </row>
    <row r="583" spans="1:18" s="178" customFormat="1" x14ac:dyDescent="0.25">
      <c r="A583" s="178" t="s">
        <v>229</v>
      </c>
      <c r="B583" s="319" t="s">
        <v>228</v>
      </c>
      <c r="C583" s="178">
        <v>350</v>
      </c>
      <c r="D583" s="656">
        <v>56</v>
      </c>
      <c r="E583" s="628" t="s">
        <v>1652</v>
      </c>
      <c r="F583" s="226">
        <v>20</v>
      </c>
      <c r="G583" s="226">
        <v>3687</v>
      </c>
      <c r="H583" s="226">
        <v>3582</v>
      </c>
      <c r="I583" s="174">
        <f t="shared" si="159"/>
        <v>19.430431244914566</v>
      </c>
      <c r="J583" s="174">
        <f t="shared" si="160"/>
        <v>39.430431244914566</v>
      </c>
      <c r="K583" s="316">
        <v>1.4</v>
      </c>
      <c r="L583" s="174">
        <f t="shared" si="161"/>
        <v>55.202603742880392</v>
      </c>
      <c r="M583" s="226">
        <v>75</v>
      </c>
      <c r="N583" s="631"/>
      <c r="O583" s="590"/>
      <c r="Q583" s="836"/>
      <c r="R583" s="914"/>
    </row>
    <row r="584" spans="1:18" s="178" customFormat="1" hidden="1" x14ac:dyDescent="0.25">
      <c r="A584" s="178" t="s">
        <v>675</v>
      </c>
      <c r="B584" s="178" t="s">
        <v>675</v>
      </c>
      <c r="C584" s="178">
        <v>351</v>
      </c>
      <c r="D584" s="656">
        <v>44</v>
      </c>
      <c r="E584" s="708" t="s">
        <v>1160</v>
      </c>
      <c r="F584" s="232">
        <v>50</v>
      </c>
      <c r="G584" s="232">
        <v>3687</v>
      </c>
      <c r="H584" s="232">
        <v>3582</v>
      </c>
      <c r="I584" s="611">
        <f t="shared" si="159"/>
        <v>48.57607811228641</v>
      </c>
      <c r="J584" s="611">
        <f t="shared" si="160"/>
        <v>98.57607811228641</v>
      </c>
      <c r="K584" s="612">
        <v>1.4</v>
      </c>
      <c r="L584" s="611">
        <f t="shared" si="161"/>
        <v>138.00650935720097</v>
      </c>
      <c r="M584" s="232">
        <v>150</v>
      </c>
      <c r="N584" s="631"/>
      <c r="O584" s="590"/>
      <c r="P584" s="178" t="s">
        <v>2308</v>
      </c>
      <c r="Q584" s="836">
        <v>45385</v>
      </c>
      <c r="R584" s="914">
        <f>+M584*35000</f>
        <v>5250000</v>
      </c>
    </row>
    <row r="585" spans="1:18" s="178" customFormat="1" hidden="1" x14ac:dyDescent="0.25">
      <c r="A585" s="895" t="s">
        <v>675</v>
      </c>
      <c r="B585" s="895" t="s">
        <v>675</v>
      </c>
      <c r="C585" s="178">
        <v>352</v>
      </c>
      <c r="D585" s="656">
        <v>46</v>
      </c>
      <c r="E585" s="708" t="s">
        <v>1160</v>
      </c>
      <c r="F585" s="232">
        <v>50</v>
      </c>
      <c r="G585" s="232">
        <v>3687</v>
      </c>
      <c r="H585" s="232">
        <v>3582</v>
      </c>
      <c r="I585" s="611">
        <f t="shared" si="159"/>
        <v>48.57607811228641</v>
      </c>
      <c r="J585" s="611">
        <f t="shared" si="160"/>
        <v>98.57607811228641</v>
      </c>
      <c r="K585" s="612">
        <v>1.4</v>
      </c>
      <c r="L585" s="611">
        <f t="shared" si="161"/>
        <v>138.00650935720097</v>
      </c>
      <c r="M585" s="232">
        <v>150</v>
      </c>
      <c r="N585" s="631"/>
      <c r="O585" s="590"/>
      <c r="P585" s="178" t="s">
        <v>2848</v>
      </c>
      <c r="Q585" s="836"/>
      <c r="R585" s="914"/>
    </row>
    <row r="586" spans="1:18" s="178" customFormat="1" hidden="1" x14ac:dyDescent="0.25">
      <c r="A586" s="178" t="s">
        <v>675</v>
      </c>
      <c r="B586" s="895" t="s">
        <v>675</v>
      </c>
      <c r="C586" s="178">
        <v>353</v>
      </c>
      <c r="D586" s="656">
        <v>48</v>
      </c>
      <c r="E586" s="708" t="s">
        <v>1160</v>
      </c>
      <c r="F586" s="232">
        <v>50</v>
      </c>
      <c r="G586" s="232">
        <v>3687</v>
      </c>
      <c r="H586" s="232">
        <v>3582</v>
      </c>
      <c r="I586" s="611">
        <f t="shared" si="159"/>
        <v>48.57607811228641</v>
      </c>
      <c r="J586" s="611">
        <f t="shared" si="160"/>
        <v>98.57607811228641</v>
      </c>
      <c r="K586" s="612">
        <v>1.4</v>
      </c>
      <c r="L586" s="611">
        <f t="shared" si="161"/>
        <v>138.00650935720097</v>
      </c>
      <c r="M586" s="232">
        <v>150</v>
      </c>
      <c r="N586" s="631"/>
      <c r="O586" s="590"/>
      <c r="P586" s="178" t="s">
        <v>1866</v>
      </c>
      <c r="Q586" s="836">
        <v>45309</v>
      </c>
      <c r="R586" s="914">
        <f>+M586*7000</f>
        <v>1050000</v>
      </c>
    </row>
    <row r="587" spans="1:18" s="178" customFormat="1" hidden="1" x14ac:dyDescent="0.25">
      <c r="A587" s="178" t="s">
        <v>675</v>
      </c>
      <c r="B587" s="895" t="s">
        <v>675</v>
      </c>
      <c r="C587" s="178">
        <v>354</v>
      </c>
      <c r="D587" s="656">
        <v>50</v>
      </c>
      <c r="E587" s="708" t="s">
        <v>1160</v>
      </c>
      <c r="F587" s="232">
        <v>50</v>
      </c>
      <c r="G587" s="232">
        <v>3687</v>
      </c>
      <c r="H587" s="232">
        <v>3582</v>
      </c>
      <c r="I587" s="611">
        <f t="shared" si="159"/>
        <v>48.57607811228641</v>
      </c>
      <c r="J587" s="611">
        <f t="shared" si="160"/>
        <v>98.57607811228641</v>
      </c>
      <c r="K587" s="612">
        <v>1.4</v>
      </c>
      <c r="L587" s="611">
        <f t="shared" si="161"/>
        <v>138.00650935720097</v>
      </c>
      <c r="M587" s="232">
        <v>140</v>
      </c>
      <c r="N587" s="631"/>
      <c r="O587" s="590"/>
      <c r="P587" s="178" t="s">
        <v>486</v>
      </c>
      <c r="Q587" s="836">
        <v>45334</v>
      </c>
      <c r="R587" s="914">
        <f>+M587*8000</f>
        <v>1120000</v>
      </c>
    </row>
    <row r="588" spans="1:18" s="178" customFormat="1" hidden="1" x14ac:dyDescent="0.25">
      <c r="A588" s="178" t="s">
        <v>675</v>
      </c>
      <c r="B588" s="895" t="s">
        <v>675</v>
      </c>
      <c r="C588" s="178">
        <v>355</v>
      </c>
      <c r="D588" s="656">
        <v>44</v>
      </c>
      <c r="E588" s="708" t="s">
        <v>1655</v>
      </c>
      <c r="F588" s="232">
        <v>40</v>
      </c>
      <c r="G588" s="232">
        <v>3687</v>
      </c>
      <c r="H588" s="232">
        <v>3582</v>
      </c>
      <c r="I588" s="611">
        <f t="shared" si="159"/>
        <v>38.860862489829131</v>
      </c>
      <c r="J588" s="611">
        <f t="shared" si="160"/>
        <v>78.860862489829131</v>
      </c>
      <c r="K588" s="612">
        <v>1.4</v>
      </c>
      <c r="L588" s="611">
        <f t="shared" si="161"/>
        <v>110.40520748576078</v>
      </c>
      <c r="M588" s="232">
        <v>150</v>
      </c>
      <c r="N588" s="631"/>
      <c r="O588" s="590"/>
      <c r="P588" s="178" t="s">
        <v>12</v>
      </c>
      <c r="Q588" s="836">
        <v>45301</v>
      </c>
      <c r="R588" s="914"/>
    </row>
    <row r="589" spans="1:18" s="178" customFormat="1" x14ac:dyDescent="0.25">
      <c r="A589" s="178" t="s">
        <v>675</v>
      </c>
      <c r="B589" s="895" t="s">
        <v>675</v>
      </c>
      <c r="C589" s="178">
        <v>356</v>
      </c>
      <c r="D589" s="656">
        <v>46</v>
      </c>
      <c r="E589" s="628" t="s">
        <v>1655</v>
      </c>
      <c r="F589" s="226">
        <v>40</v>
      </c>
      <c r="G589" s="226">
        <v>3687</v>
      </c>
      <c r="H589" s="226">
        <v>3582</v>
      </c>
      <c r="I589" s="174">
        <f t="shared" si="159"/>
        <v>38.860862489829131</v>
      </c>
      <c r="J589" s="174">
        <f t="shared" si="160"/>
        <v>78.860862489829131</v>
      </c>
      <c r="K589" s="316">
        <v>1.4</v>
      </c>
      <c r="L589" s="174">
        <f t="shared" si="161"/>
        <v>110.40520748576078</v>
      </c>
      <c r="M589" s="226">
        <v>150</v>
      </c>
      <c r="N589" s="631"/>
      <c r="O589" s="590"/>
      <c r="Q589" s="836"/>
      <c r="R589" s="914"/>
    </row>
    <row r="590" spans="1:18" s="178" customFormat="1" x14ac:dyDescent="0.25">
      <c r="A590" s="178" t="s">
        <v>587</v>
      </c>
      <c r="B590" s="318" t="s">
        <v>625</v>
      </c>
      <c r="C590" s="178">
        <v>357</v>
      </c>
      <c r="D590" s="656">
        <v>44</v>
      </c>
      <c r="E590" s="708" t="s">
        <v>1659</v>
      </c>
      <c r="F590" s="698">
        <v>28</v>
      </c>
      <c r="G590" s="232">
        <v>3687</v>
      </c>
      <c r="H590" s="232">
        <v>3582</v>
      </c>
      <c r="I590" s="611">
        <f t="shared" ref="I590:I600" si="162">+F590/G590*H590</f>
        <v>27.202603742880388</v>
      </c>
      <c r="J590" s="611">
        <f t="shared" ref="J590:J600" si="163">+F590+I590</f>
        <v>55.202603742880385</v>
      </c>
      <c r="K590" s="612">
        <v>1.4</v>
      </c>
      <c r="L590" s="611">
        <f t="shared" ref="L590:L600" si="164">+J590*1.4</f>
        <v>77.283645240032527</v>
      </c>
      <c r="M590" s="232">
        <v>125</v>
      </c>
      <c r="N590" s="631"/>
      <c r="O590" s="590"/>
      <c r="P590" s="178" t="s">
        <v>12</v>
      </c>
      <c r="Q590" s="836">
        <v>45503</v>
      </c>
      <c r="R590" s="914"/>
    </row>
    <row r="591" spans="1:18" s="178" customFormat="1" x14ac:dyDescent="0.25">
      <c r="A591" s="178" t="s">
        <v>587</v>
      </c>
      <c r="B591" s="977" t="s">
        <v>625</v>
      </c>
      <c r="C591" s="178">
        <v>358</v>
      </c>
      <c r="D591" s="656">
        <v>46</v>
      </c>
      <c r="E591" s="628" t="s">
        <v>1659</v>
      </c>
      <c r="F591" s="175">
        <v>28</v>
      </c>
      <c r="G591" s="226">
        <v>3687</v>
      </c>
      <c r="H591" s="226">
        <v>3582</v>
      </c>
      <c r="I591" s="174">
        <f t="shared" si="162"/>
        <v>27.202603742880388</v>
      </c>
      <c r="J591" s="174">
        <f t="shared" si="163"/>
        <v>55.202603742880385</v>
      </c>
      <c r="K591" s="316">
        <v>1.4</v>
      </c>
      <c r="L591" s="174">
        <f t="shared" si="164"/>
        <v>77.283645240032527</v>
      </c>
      <c r="M591" s="226">
        <v>110</v>
      </c>
      <c r="N591" s="631"/>
      <c r="O591" s="590"/>
      <c r="Q591" s="836"/>
      <c r="R591" s="914"/>
    </row>
    <row r="592" spans="1:18" s="178" customFormat="1" hidden="1" x14ac:dyDescent="0.25">
      <c r="A592" s="178" t="s">
        <v>587</v>
      </c>
      <c r="B592" s="318" t="s">
        <v>625</v>
      </c>
      <c r="C592" s="178">
        <v>359</v>
      </c>
      <c r="D592" s="656">
        <v>48</v>
      </c>
      <c r="E592" s="708" t="s">
        <v>1659</v>
      </c>
      <c r="F592" s="698">
        <v>28</v>
      </c>
      <c r="G592" s="232">
        <v>3687</v>
      </c>
      <c r="H592" s="232">
        <v>3582</v>
      </c>
      <c r="I592" s="611">
        <f t="shared" si="162"/>
        <v>27.202603742880388</v>
      </c>
      <c r="J592" s="611">
        <f t="shared" si="163"/>
        <v>55.202603742880385</v>
      </c>
      <c r="K592" s="612">
        <v>1.4</v>
      </c>
      <c r="L592" s="611">
        <f t="shared" si="164"/>
        <v>77.283645240032527</v>
      </c>
      <c r="M592" s="232">
        <v>125</v>
      </c>
      <c r="N592" s="631"/>
      <c r="O592" s="590"/>
      <c r="P592" s="178" t="s">
        <v>486</v>
      </c>
      <c r="Q592" s="836">
        <v>45418</v>
      </c>
      <c r="R592" s="914">
        <f>+M592*14.5</f>
        <v>1812.5</v>
      </c>
    </row>
    <row r="593" spans="1:25" s="178" customFormat="1" hidden="1" x14ac:dyDescent="0.25">
      <c r="A593" s="178" t="s">
        <v>587</v>
      </c>
      <c r="B593" s="319" t="s">
        <v>1684</v>
      </c>
      <c r="C593" s="178">
        <v>360</v>
      </c>
      <c r="D593" s="656">
        <v>48</v>
      </c>
      <c r="E593" s="708" t="s">
        <v>1660</v>
      </c>
      <c r="F593" s="611">
        <v>26</v>
      </c>
      <c r="G593" s="232">
        <v>3687</v>
      </c>
      <c r="H593" s="232">
        <v>3582</v>
      </c>
      <c r="I593" s="611">
        <f t="shared" si="162"/>
        <v>25.259560618388932</v>
      </c>
      <c r="J593" s="611">
        <f t="shared" si="163"/>
        <v>51.259560618388932</v>
      </c>
      <c r="K593" s="612">
        <v>1.4</v>
      </c>
      <c r="L593" s="611">
        <f t="shared" si="164"/>
        <v>71.763384865744499</v>
      </c>
      <c r="M593" s="232">
        <v>125</v>
      </c>
      <c r="N593" s="631"/>
      <c r="O593" s="590"/>
      <c r="P593" s="178" t="s">
        <v>1846</v>
      </c>
      <c r="Q593" s="836">
        <v>45302</v>
      </c>
      <c r="R593" s="914">
        <f>+M593*7000</f>
        <v>875000</v>
      </c>
      <c r="V593" s="178" t="s">
        <v>602</v>
      </c>
    </row>
    <row r="594" spans="1:25" s="178" customFormat="1" hidden="1" x14ac:dyDescent="0.25">
      <c r="A594" s="178" t="s">
        <v>587</v>
      </c>
      <c r="B594" s="319" t="s">
        <v>1687</v>
      </c>
      <c r="C594" s="178">
        <v>361</v>
      </c>
      <c r="D594" s="656">
        <v>44</v>
      </c>
      <c r="E594" s="708" t="s">
        <v>1661</v>
      </c>
      <c r="F594" s="611">
        <v>26</v>
      </c>
      <c r="G594" s="232">
        <v>3687</v>
      </c>
      <c r="H594" s="232">
        <v>3582</v>
      </c>
      <c r="I594" s="611">
        <f t="shared" si="162"/>
        <v>25.259560618388932</v>
      </c>
      <c r="J594" s="611">
        <f t="shared" si="163"/>
        <v>51.259560618388932</v>
      </c>
      <c r="K594" s="612">
        <v>1.4</v>
      </c>
      <c r="L594" s="611">
        <f t="shared" si="164"/>
        <v>71.763384865744499</v>
      </c>
      <c r="M594" s="232">
        <v>125</v>
      </c>
      <c r="N594" s="631"/>
      <c r="O594" s="590"/>
      <c r="P594" s="178" t="s">
        <v>1895</v>
      </c>
      <c r="Q594" s="836">
        <v>45314</v>
      </c>
      <c r="R594" s="914">
        <f>+M594*7000</f>
        <v>875000</v>
      </c>
    </row>
    <row r="595" spans="1:25" s="178" customFormat="1" hidden="1" x14ac:dyDescent="0.25">
      <c r="A595" s="225" t="s">
        <v>1662</v>
      </c>
      <c r="B595" s="319" t="s">
        <v>372</v>
      </c>
      <c r="C595" s="178">
        <v>362</v>
      </c>
      <c r="D595" s="656">
        <v>38</v>
      </c>
      <c r="E595" s="708" t="s">
        <v>1663</v>
      </c>
      <c r="F595" s="611">
        <v>15</v>
      </c>
      <c r="G595" s="232">
        <v>3687</v>
      </c>
      <c r="H595" s="232">
        <v>3582</v>
      </c>
      <c r="I595" s="611">
        <f t="shared" si="162"/>
        <v>14.572823433685924</v>
      </c>
      <c r="J595" s="611">
        <f t="shared" si="163"/>
        <v>29.572823433685926</v>
      </c>
      <c r="K595" s="612">
        <v>1.4</v>
      </c>
      <c r="L595" s="611">
        <f t="shared" si="164"/>
        <v>41.401952807160292</v>
      </c>
      <c r="M595" s="232">
        <v>75</v>
      </c>
      <c r="N595" s="631"/>
      <c r="O595" s="590"/>
      <c r="P595" s="178" t="s">
        <v>12</v>
      </c>
      <c r="Q595" s="836">
        <v>45330</v>
      </c>
      <c r="R595" s="914">
        <f>+M595*8000</f>
        <v>600000</v>
      </c>
    </row>
    <row r="596" spans="1:25" s="178" customFormat="1" hidden="1" x14ac:dyDescent="0.25">
      <c r="A596" s="225" t="s">
        <v>1662</v>
      </c>
      <c r="B596" s="319" t="s">
        <v>372</v>
      </c>
      <c r="C596" s="178">
        <v>363</v>
      </c>
      <c r="D596" s="656">
        <v>42</v>
      </c>
      <c r="E596" s="708" t="s">
        <v>1663</v>
      </c>
      <c r="F596" s="611">
        <v>15</v>
      </c>
      <c r="G596" s="232">
        <v>3687</v>
      </c>
      <c r="H596" s="232">
        <v>3582</v>
      </c>
      <c r="I596" s="611">
        <f t="shared" si="162"/>
        <v>14.572823433685924</v>
      </c>
      <c r="J596" s="611">
        <f t="shared" si="163"/>
        <v>29.572823433685926</v>
      </c>
      <c r="K596" s="612">
        <v>1.4</v>
      </c>
      <c r="L596" s="611">
        <f t="shared" si="164"/>
        <v>41.401952807160292</v>
      </c>
      <c r="M596" s="232">
        <v>75</v>
      </c>
      <c r="N596" s="631"/>
      <c r="O596" s="590"/>
      <c r="P596" s="178" t="s">
        <v>1818</v>
      </c>
      <c r="Q596" s="836">
        <v>45295</v>
      </c>
      <c r="R596" s="914">
        <f>+M596*10000</f>
        <v>750000</v>
      </c>
    </row>
    <row r="597" spans="1:25" s="178" customFormat="1" hidden="1" x14ac:dyDescent="0.25">
      <c r="A597" s="225" t="s">
        <v>1662</v>
      </c>
      <c r="B597" s="319" t="s">
        <v>372</v>
      </c>
      <c r="C597" s="178">
        <v>364</v>
      </c>
      <c r="D597" s="656">
        <v>44</v>
      </c>
      <c r="E597" s="708" t="s">
        <v>1663</v>
      </c>
      <c r="F597" s="611">
        <v>15</v>
      </c>
      <c r="G597" s="232">
        <v>3687</v>
      </c>
      <c r="H597" s="232">
        <v>3582</v>
      </c>
      <c r="I597" s="611">
        <f t="shared" si="162"/>
        <v>14.572823433685924</v>
      </c>
      <c r="J597" s="611">
        <f t="shared" si="163"/>
        <v>29.572823433685926</v>
      </c>
      <c r="K597" s="612">
        <v>1.4</v>
      </c>
      <c r="L597" s="611">
        <f t="shared" si="164"/>
        <v>41.401952807160292</v>
      </c>
      <c r="M597" s="232">
        <v>75</v>
      </c>
      <c r="N597" s="631"/>
      <c r="O597" s="590"/>
      <c r="P597" s="178" t="s">
        <v>1815</v>
      </c>
      <c r="Q597" s="836">
        <v>45295</v>
      </c>
      <c r="R597" s="914">
        <f>+M597*10000</f>
        <v>750000</v>
      </c>
    </row>
    <row r="598" spans="1:25" s="178" customFormat="1" hidden="1" x14ac:dyDescent="0.25">
      <c r="A598" s="225" t="s">
        <v>673</v>
      </c>
      <c r="B598" s="319" t="s">
        <v>1681</v>
      </c>
      <c r="C598" s="178">
        <v>365</v>
      </c>
      <c r="D598" s="656">
        <v>44</v>
      </c>
      <c r="E598" s="711" t="s">
        <v>1518</v>
      </c>
      <c r="F598" s="712">
        <v>25</v>
      </c>
      <c r="G598" s="713">
        <v>3687</v>
      </c>
      <c r="H598" s="713">
        <v>3582</v>
      </c>
      <c r="I598" s="712">
        <f t="shared" si="162"/>
        <v>24.288039056143205</v>
      </c>
      <c r="J598" s="712">
        <f t="shared" si="163"/>
        <v>49.288039056143205</v>
      </c>
      <c r="K598" s="714">
        <v>1.4</v>
      </c>
      <c r="L598" s="712">
        <f t="shared" si="164"/>
        <v>69.003254678600484</v>
      </c>
      <c r="M598" s="713">
        <v>90</v>
      </c>
      <c r="N598" s="631"/>
      <c r="O598" s="590"/>
      <c r="P598" s="178" t="s">
        <v>1823</v>
      </c>
      <c r="Q598" s="836">
        <v>45300</v>
      </c>
      <c r="R598" s="914"/>
    </row>
    <row r="599" spans="1:25" s="178" customFormat="1" x14ac:dyDescent="0.25">
      <c r="A599" s="225" t="s">
        <v>673</v>
      </c>
      <c r="B599" s="319" t="s">
        <v>1681</v>
      </c>
      <c r="C599" s="178">
        <v>366</v>
      </c>
      <c r="D599" s="656">
        <v>46</v>
      </c>
      <c r="E599" s="628" t="s">
        <v>1518</v>
      </c>
      <c r="F599" s="174">
        <v>25</v>
      </c>
      <c r="G599" s="226">
        <v>3687</v>
      </c>
      <c r="H599" s="226">
        <v>3582</v>
      </c>
      <c r="I599" s="174">
        <f t="shared" si="162"/>
        <v>24.288039056143205</v>
      </c>
      <c r="J599" s="174">
        <f t="shared" si="163"/>
        <v>49.288039056143205</v>
      </c>
      <c r="K599" s="316">
        <v>1.4</v>
      </c>
      <c r="L599" s="174">
        <f t="shared" si="164"/>
        <v>69.003254678600484</v>
      </c>
      <c r="M599" s="226">
        <v>90</v>
      </c>
      <c r="N599" s="631"/>
      <c r="O599" s="590"/>
      <c r="Q599" s="836"/>
      <c r="R599" s="914"/>
    </row>
    <row r="600" spans="1:25" s="178" customFormat="1" x14ac:dyDescent="0.25">
      <c r="A600" s="225" t="s">
        <v>673</v>
      </c>
      <c r="B600" s="319" t="s">
        <v>1681</v>
      </c>
      <c r="C600" s="178">
        <v>367</v>
      </c>
      <c r="D600" s="656">
        <v>48</v>
      </c>
      <c r="E600" s="628" t="s">
        <v>1518</v>
      </c>
      <c r="F600" s="174">
        <v>25</v>
      </c>
      <c r="G600" s="226">
        <v>3687</v>
      </c>
      <c r="H600" s="226">
        <v>3582</v>
      </c>
      <c r="I600" s="174">
        <f t="shared" si="162"/>
        <v>24.288039056143205</v>
      </c>
      <c r="J600" s="174">
        <f t="shared" si="163"/>
        <v>49.288039056143205</v>
      </c>
      <c r="K600" s="316">
        <v>1.4</v>
      </c>
      <c r="L600" s="174">
        <f t="shared" si="164"/>
        <v>69.003254678600484</v>
      </c>
      <c r="M600" s="226">
        <v>90</v>
      </c>
      <c r="N600" s="631"/>
      <c r="O600" s="590"/>
      <c r="Q600" s="836"/>
      <c r="R600" s="914"/>
    </row>
    <row r="601" spans="1:25" s="219" customFormat="1" ht="14.25" customHeight="1" x14ac:dyDescent="0.25">
      <c r="A601" s="377"/>
      <c r="B601" s="823">
        <v>45323</v>
      </c>
      <c r="C601" s="824"/>
      <c r="D601" s="824"/>
      <c r="E601" s="825"/>
      <c r="F601" s="826"/>
      <c r="G601" s="326"/>
      <c r="H601" s="326"/>
      <c r="I601" s="326"/>
      <c r="J601" s="326"/>
      <c r="K601" s="827"/>
      <c r="L601" s="326"/>
      <c r="N601" s="224"/>
      <c r="O601" s="221"/>
      <c r="P601" s="221"/>
      <c r="Q601" s="844"/>
      <c r="R601" s="910"/>
      <c r="S601" s="221"/>
      <c r="T601" s="221"/>
      <c r="U601" s="221"/>
      <c r="V601" s="223"/>
      <c r="W601" s="221"/>
      <c r="Y601" s="221"/>
    </row>
    <row r="602" spans="1:25" s="520" customFormat="1" ht="14.25" hidden="1" customHeight="1" x14ac:dyDescent="0.25">
      <c r="A602" s="347" t="s">
        <v>587</v>
      </c>
      <c r="B602" s="347" t="s">
        <v>2174</v>
      </c>
      <c r="C602" s="347">
        <v>368</v>
      </c>
      <c r="D602" s="347">
        <v>44</v>
      </c>
      <c r="E602" s="752" t="s">
        <v>2175</v>
      </c>
      <c r="F602" s="752">
        <v>25</v>
      </c>
      <c r="G602" s="752"/>
      <c r="H602" s="752"/>
      <c r="I602" s="752"/>
      <c r="J602" s="752"/>
      <c r="K602" s="752"/>
      <c r="L602" s="830"/>
      <c r="M602" s="752">
        <v>90</v>
      </c>
      <c r="N602" s="378"/>
      <c r="O602" s="326"/>
      <c r="P602" s="858" t="s">
        <v>2180</v>
      </c>
      <c r="Q602" s="859">
        <v>45359</v>
      </c>
      <c r="R602" s="921">
        <f>+M602*18000</f>
        <v>1620000</v>
      </c>
      <c r="S602" s="326"/>
      <c r="T602" s="326"/>
      <c r="U602" s="326"/>
      <c r="V602" s="828"/>
      <c r="W602" s="326"/>
      <c r="Y602" s="326"/>
    </row>
    <row r="603" spans="1:25" s="520" customFormat="1" ht="14.25" hidden="1" customHeight="1" x14ac:dyDescent="0.25">
      <c r="A603" s="347" t="s">
        <v>587</v>
      </c>
      <c r="B603" s="347" t="s">
        <v>2174</v>
      </c>
      <c r="C603" s="347">
        <v>369</v>
      </c>
      <c r="D603" s="347">
        <v>46</v>
      </c>
      <c r="E603" s="752" t="s">
        <v>2175</v>
      </c>
      <c r="F603" s="752">
        <v>25</v>
      </c>
      <c r="G603" s="752"/>
      <c r="H603" s="752"/>
      <c r="I603" s="752"/>
      <c r="J603" s="752"/>
      <c r="K603" s="752"/>
      <c r="L603" s="830"/>
      <c r="M603" s="752">
        <v>90</v>
      </c>
      <c r="N603" s="378"/>
      <c r="O603" s="326"/>
      <c r="P603" s="858" t="s">
        <v>2235</v>
      </c>
      <c r="Q603" s="859">
        <v>45377</v>
      </c>
      <c r="R603" s="921">
        <f>+M603*20000</f>
        <v>1800000</v>
      </c>
      <c r="S603" s="326"/>
      <c r="T603" s="326"/>
      <c r="U603" s="326"/>
      <c r="V603" s="828"/>
      <c r="W603" s="326"/>
      <c r="Y603" s="326"/>
    </row>
    <row r="604" spans="1:25" s="520" customFormat="1" ht="14.25" hidden="1" customHeight="1" x14ac:dyDescent="0.25">
      <c r="A604" s="347" t="s">
        <v>587</v>
      </c>
      <c r="B604" s="347" t="s">
        <v>2174</v>
      </c>
      <c r="C604" s="347">
        <v>370</v>
      </c>
      <c r="D604" s="347">
        <v>48</v>
      </c>
      <c r="E604" s="752" t="s">
        <v>2175</v>
      </c>
      <c r="F604" s="752">
        <v>25</v>
      </c>
      <c r="G604" s="752"/>
      <c r="H604" s="752"/>
      <c r="I604" s="752"/>
      <c r="J604" s="752"/>
      <c r="K604" s="752"/>
      <c r="L604" s="830"/>
      <c r="M604" s="752">
        <v>90</v>
      </c>
      <c r="N604" s="378"/>
      <c r="O604" s="326"/>
      <c r="P604" s="858" t="s">
        <v>2184</v>
      </c>
      <c r="Q604" s="859">
        <v>45369</v>
      </c>
      <c r="R604" s="921">
        <f>+M604*18000</f>
        <v>1620000</v>
      </c>
      <c r="S604" s="326"/>
      <c r="T604" s="326"/>
      <c r="U604" s="326"/>
      <c r="V604" s="828"/>
      <c r="W604" s="326"/>
      <c r="Y604" s="326"/>
    </row>
    <row r="605" spans="1:25" s="520" customFormat="1" ht="14.25" hidden="1" customHeight="1" x14ac:dyDescent="0.25">
      <c r="A605" s="347" t="s">
        <v>587</v>
      </c>
      <c r="B605" s="347" t="s">
        <v>2174</v>
      </c>
      <c r="C605" s="347">
        <v>371</v>
      </c>
      <c r="D605" s="347">
        <v>50</v>
      </c>
      <c r="E605" s="752" t="s">
        <v>2175</v>
      </c>
      <c r="F605" s="752">
        <v>25</v>
      </c>
      <c r="G605" s="752"/>
      <c r="H605" s="752"/>
      <c r="I605" s="752"/>
      <c r="J605" s="752"/>
      <c r="K605" s="752"/>
      <c r="L605" s="830"/>
      <c r="M605" s="752">
        <v>90</v>
      </c>
      <c r="N605" s="378"/>
      <c r="O605" s="326"/>
      <c r="P605" s="858" t="s">
        <v>2178</v>
      </c>
      <c r="Q605" s="859">
        <v>45358</v>
      </c>
      <c r="R605" s="921">
        <f>+M605*18000</f>
        <v>1620000</v>
      </c>
      <c r="S605" s="326"/>
      <c r="T605" s="326"/>
      <c r="U605" s="326"/>
      <c r="V605" s="828"/>
      <c r="W605" s="326"/>
      <c r="Y605" s="326"/>
    </row>
    <row r="606" spans="1:25" s="520" customFormat="1" ht="14.25" customHeight="1" x14ac:dyDescent="0.25">
      <c r="A606" s="347" t="s">
        <v>587</v>
      </c>
      <c r="B606" s="347" t="s">
        <v>2174</v>
      </c>
      <c r="C606" s="347">
        <v>372</v>
      </c>
      <c r="D606" s="347">
        <v>50</v>
      </c>
      <c r="E606" s="347" t="s">
        <v>2176</v>
      </c>
      <c r="F606" s="347">
        <v>25</v>
      </c>
      <c r="G606" s="347"/>
      <c r="H606" s="347"/>
      <c r="I606" s="347"/>
      <c r="J606" s="347"/>
      <c r="K606" s="347"/>
      <c r="L606" s="377"/>
      <c r="M606" s="347">
        <v>90</v>
      </c>
      <c r="N606" s="378"/>
      <c r="O606" s="326"/>
      <c r="S606" s="326"/>
      <c r="T606" s="326"/>
      <c r="U606" s="326"/>
      <c r="V606" s="828"/>
      <c r="W606" s="326"/>
      <c r="Y606" s="326"/>
    </row>
    <row r="607" spans="1:25" s="520" customFormat="1" ht="14.25" hidden="1" customHeight="1" x14ac:dyDescent="0.25">
      <c r="A607" s="347" t="s">
        <v>587</v>
      </c>
      <c r="B607" s="347" t="s">
        <v>2174</v>
      </c>
      <c r="C607" s="347">
        <v>373</v>
      </c>
      <c r="D607" s="347">
        <v>52</v>
      </c>
      <c r="E607" s="752" t="s">
        <v>2176</v>
      </c>
      <c r="F607" s="752">
        <v>25</v>
      </c>
      <c r="G607" s="752"/>
      <c r="H607" s="752"/>
      <c r="I607" s="752"/>
      <c r="J607" s="752"/>
      <c r="K607" s="752"/>
      <c r="L607" s="830"/>
      <c r="M607" s="752">
        <v>90</v>
      </c>
      <c r="N607" s="378"/>
      <c r="O607" s="326"/>
      <c r="P607" s="858" t="s">
        <v>12</v>
      </c>
      <c r="Q607" s="859">
        <v>45384</v>
      </c>
      <c r="R607" s="921">
        <f>+M606*35000</f>
        <v>3150000</v>
      </c>
      <c r="S607" s="326"/>
      <c r="T607" s="326"/>
      <c r="U607" s="326"/>
      <c r="V607" s="828"/>
      <c r="W607" s="326"/>
      <c r="Y607" s="326"/>
    </row>
    <row r="608" spans="1:25" s="520" customFormat="1" ht="14.25" customHeight="1" x14ac:dyDescent="0.25">
      <c r="A608" s="347" t="s">
        <v>587</v>
      </c>
      <c r="B608" s="347" t="s">
        <v>2174</v>
      </c>
      <c r="C608" s="347">
        <v>374</v>
      </c>
      <c r="D608" s="347">
        <v>54</v>
      </c>
      <c r="E608" s="347" t="s">
        <v>2176</v>
      </c>
      <c r="F608" s="347">
        <v>25</v>
      </c>
      <c r="G608" s="347"/>
      <c r="H608" s="347"/>
      <c r="I608" s="347"/>
      <c r="J608" s="347"/>
      <c r="K608" s="347"/>
      <c r="M608" s="347">
        <v>90</v>
      </c>
      <c r="N608" s="378"/>
      <c r="O608" s="326"/>
      <c r="P608" s="858"/>
      <c r="Q608" s="859"/>
      <c r="R608" s="921"/>
      <c r="S608" s="326"/>
      <c r="T608" s="326"/>
      <c r="U608" s="326"/>
      <c r="V608" s="828"/>
      <c r="W608" s="326"/>
      <c r="Y608" s="326"/>
    </row>
    <row r="609" spans="1:25" s="520" customFormat="1" ht="14.25" hidden="1" customHeight="1" x14ac:dyDescent="0.25">
      <c r="A609" s="347" t="s">
        <v>587</v>
      </c>
      <c r="B609" s="347" t="s">
        <v>2174</v>
      </c>
      <c r="C609" s="347">
        <v>375</v>
      </c>
      <c r="D609" s="347">
        <v>56</v>
      </c>
      <c r="E609" s="752" t="s">
        <v>2176</v>
      </c>
      <c r="F609" s="752">
        <v>25</v>
      </c>
      <c r="G609" s="752"/>
      <c r="H609" s="752"/>
      <c r="I609" s="752"/>
      <c r="J609" s="752"/>
      <c r="K609" s="752"/>
      <c r="L609" s="830"/>
      <c r="M609" s="752">
        <v>90</v>
      </c>
      <c r="N609" s="378"/>
      <c r="O609" s="326"/>
      <c r="P609" s="858" t="s">
        <v>2412</v>
      </c>
      <c r="Q609" s="859">
        <v>45398</v>
      </c>
      <c r="R609" s="921">
        <f>+M609*36000</f>
        <v>3240000</v>
      </c>
      <c r="S609" s="326"/>
      <c r="T609" s="326"/>
      <c r="U609" s="326"/>
      <c r="V609" s="828"/>
      <c r="W609" s="326"/>
      <c r="Y609" s="326"/>
    </row>
    <row r="610" spans="1:25" s="520" customFormat="1" ht="14.25" hidden="1" customHeight="1" x14ac:dyDescent="0.25">
      <c r="A610" s="347" t="s">
        <v>587</v>
      </c>
      <c r="B610" s="347" t="s">
        <v>625</v>
      </c>
      <c r="C610" s="347">
        <v>376</v>
      </c>
      <c r="D610" s="347">
        <v>44</v>
      </c>
      <c r="E610" s="752" t="s">
        <v>2177</v>
      </c>
      <c r="F610" s="752">
        <v>25</v>
      </c>
      <c r="G610" s="752"/>
      <c r="H610" s="752"/>
      <c r="I610" s="752"/>
      <c r="J610" s="752"/>
      <c r="K610" s="752"/>
      <c r="L610" s="830"/>
      <c r="M610" s="752">
        <v>90</v>
      </c>
      <c r="N610" s="378"/>
      <c r="O610" s="326"/>
      <c r="P610" s="858" t="s">
        <v>12</v>
      </c>
      <c r="Q610" s="859">
        <v>45372</v>
      </c>
      <c r="R610" s="921">
        <f>+M610*20000</f>
        <v>1800000</v>
      </c>
      <c r="S610" s="326"/>
      <c r="T610" s="326"/>
      <c r="U610" s="326"/>
      <c r="V610" s="828"/>
      <c r="W610" s="326"/>
      <c r="Y610" s="326"/>
    </row>
    <row r="611" spans="1:25" s="520" customFormat="1" ht="14.25" hidden="1" customHeight="1" x14ac:dyDescent="0.25">
      <c r="A611" s="347" t="s">
        <v>587</v>
      </c>
      <c r="B611" s="347" t="s">
        <v>625</v>
      </c>
      <c r="C611" s="347">
        <v>377</v>
      </c>
      <c r="D611" s="347">
        <v>46</v>
      </c>
      <c r="E611" s="752" t="s">
        <v>2177</v>
      </c>
      <c r="F611" s="752">
        <v>25</v>
      </c>
      <c r="G611" s="752"/>
      <c r="H611" s="752"/>
      <c r="I611" s="752"/>
      <c r="J611" s="752"/>
      <c r="K611" s="752"/>
      <c r="L611" s="830"/>
      <c r="M611" s="752">
        <v>90</v>
      </c>
      <c r="N611" s="378"/>
      <c r="O611" s="326"/>
      <c r="P611" s="858" t="s">
        <v>2180</v>
      </c>
      <c r="Q611" s="859">
        <v>45359</v>
      </c>
      <c r="R611" s="921">
        <f>+M611*18000</f>
        <v>1620000</v>
      </c>
      <c r="S611" s="326"/>
      <c r="T611" s="326"/>
      <c r="U611" s="326"/>
      <c r="V611" s="828"/>
      <c r="W611" s="326"/>
      <c r="Y611" s="326"/>
    </row>
    <row r="612" spans="1:25" s="520" customFormat="1" ht="14.25" hidden="1" customHeight="1" x14ac:dyDescent="0.25">
      <c r="A612" s="347" t="s">
        <v>587</v>
      </c>
      <c r="B612" s="347" t="s">
        <v>625</v>
      </c>
      <c r="C612" s="347">
        <v>378</v>
      </c>
      <c r="D612" s="347">
        <v>48</v>
      </c>
      <c r="E612" s="752" t="s">
        <v>2177</v>
      </c>
      <c r="F612" s="752">
        <v>25</v>
      </c>
      <c r="G612" s="752"/>
      <c r="H612" s="752"/>
      <c r="I612" s="752"/>
      <c r="J612" s="752"/>
      <c r="K612" s="752"/>
      <c r="L612" s="830"/>
      <c r="M612" s="752">
        <v>90</v>
      </c>
      <c r="N612" s="378"/>
      <c r="O612" s="326"/>
      <c r="P612" s="326" t="s">
        <v>12</v>
      </c>
      <c r="Q612" s="845">
        <v>45378</v>
      </c>
      <c r="R612" s="911">
        <f>+M612*30000</f>
        <v>2700000</v>
      </c>
      <c r="S612" s="326"/>
      <c r="T612" s="326"/>
      <c r="U612" s="326"/>
      <c r="V612" s="828"/>
      <c r="W612" s="326"/>
      <c r="Y612" s="326"/>
    </row>
    <row r="613" spans="1:25" s="520" customFormat="1" ht="14.25" hidden="1" customHeight="1" x14ac:dyDescent="0.25">
      <c r="A613" s="347" t="s">
        <v>587</v>
      </c>
      <c r="B613" s="347" t="s">
        <v>625</v>
      </c>
      <c r="C613" s="347">
        <v>379</v>
      </c>
      <c r="D613" s="347">
        <v>50</v>
      </c>
      <c r="E613" s="752" t="s">
        <v>2177</v>
      </c>
      <c r="F613" s="752">
        <v>25</v>
      </c>
      <c r="G613" s="752"/>
      <c r="H613" s="752"/>
      <c r="I613" s="752"/>
      <c r="J613" s="752"/>
      <c r="K613" s="752"/>
      <c r="L613" s="830"/>
      <c r="M613" s="752">
        <v>90</v>
      </c>
      <c r="N613" s="378"/>
      <c r="O613" s="326"/>
      <c r="P613" s="326" t="s">
        <v>12</v>
      </c>
      <c r="Q613" s="845">
        <v>45384</v>
      </c>
      <c r="R613" s="911">
        <f>+M613*35000</f>
        <v>3150000</v>
      </c>
      <c r="S613" s="326"/>
      <c r="T613" s="326"/>
      <c r="U613" s="326"/>
      <c r="V613" s="828"/>
      <c r="W613" s="326"/>
      <c r="Y613" s="326"/>
    </row>
    <row r="614" spans="1:25" s="219" customFormat="1" ht="18" customHeight="1" x14ac:dyDescent="0.25">
      <c r="A614" s="347" t="s">
        <v>587</v>
      </c>
      <c r="B614" s="939" t="s">
        <v>2174</v>
      </c>
      <c r="C614" s="824"/>
      <c r="D614" s="824">
        <v>44</v>
      </c>
      <c r="E614" s="825" t="s">
        <v>2729</v>
      </c>
      <c r="F614" s="520">
        <v>25</v>
      </c>
      <c r="G614" s="326"/>
      <c r="H614" s="326"/>
      <c r="I614" s="326"/>
      <c r="J614" s="326"/>
      <c r="K614" s="326"/>
      <c r="L614" s="827"/>
      <c r="M614" s="326">
        <v>90</v>
      </c>
      <c r="N614" s="221"/>
      <c r="O614" s="221"/>
      <c r="P614" s="221"/>
      <c r="Q614" s="326"/>
      <c r="R614" s="859"/>
      <c r="S614" s="858"/>
      <c r="U614" s="221"/>
    </row>
    <row r="615" spans="1:25" s="219" customFormat="1" ht="18" hidden="1" customHeight="1" x14ac:dyDescent="0.25">
      <c r="A615" s="347" t="s">
        <v>587</v>
      </c>
      <c r="B615" s="939" t="s">
        <v>2174</v>
      </c>
      <c r="C615" s="824"/>
      <c r="D615" s="824">
        <v>46</v>
      </c>
      <c r="E615" s="940" t="s">
        <v>2729</v>
      </c>
      <c r="F615" s="830">
        <v>25</v>
      </c>
      <c r="G615" s="941"/>
      <c r="H615" s="941"/>
      <c r="I615" s="941"/>
      <c r="J615" s="941"/>
      <c r="K615" s="941"/>
      <c r="L615" s="942"/>
      <c r="M615" s="941">
        <v>90</v>
      </c>
      <c r="N615" s="221"/>
      <c r="O615" s="221"/>
      <c r="P615" s="221" t="s">
        <v>12</v>
      </c>
      <c r="Q615" s="326">
        <v>45457</v>
      </c>
      <c r="R615" s="859">
        <f>+M615*14.5</f>
        <v>1305</v>
      </c>
      <c r="S615" s="858"/>
      <c r="U615" s="221"/>
    </row>
    <row r="616" spans="1:25" s="219" customFormat="1" ht="18" hidden="1" customHeight="1" x14ac:dyDescent="0.25">
      <c r="A616" s="347" t="s">
        <v>587</v>
      </c>
      <c r="B616" s="939" t="s">
        <v>2174</v>
      </c>
      <c r="C616" s="824"/>
      <c r="D616" s="824">
        <v>48</v>
      </c>
      <c r="E616" s="940" t="s">
        <v>2729</v>
      </c>
      <c r="F616" s="830">
        <v>25</v>
      </c>
      <c r="G616" s="941"/>
      <c r="H616" s="941"/>
      <c r="I616" s="941"/>
      <c r="J616" s="941"/>
      <c r="K616" s="941"/>
      <c r="L616" s="942"/>
      <c r="M616" s="941">
        <v>90</v>
      </c>
      <c r="N616" s="221"/>
      <c r="O616" s="221"/>
      <c r="P616" s="221" t="s">
        <v>12</v>
      </c>
      <c r="Q616" s="326">
        <v>45433</v>
      </c>
      <c r="R616" s="859">
        <f>+M616*14.5</f>
        <v>1305</v>
      </c>
      <c r="S616" s="858"/>
      <c r="U616" s="221"/>
    </row>
    <row r="617" spans="1:25" s="219" customFormat="1" ht="18" customHeight="1" x14ac:dyDescent="0.25">
      <c r="A617" s="347" t="s">
        <v>587</v>
      </c>
      <c r="B617" s="939" t="s">
        <v>2174</v>
      </c>
      <c r="C617" s="824"/>
      <c r="D617" s="824">
        <v>50</v>
      </c>
      <c r="E617" s="825" t="s">
        <v>2729</v>
      </c>
      <c r="F617" s="520">
        <v>25</v>
      </c>
      <c r="G617" s="326"/>
      <c r="H617" s="326"/>
      <c r="I617" s="326"/>
      <c r="J617" s="326"/>
      <c r="K617" s="326"/>
      <c r="L617" s="827"/>
      <c r="M617" s="326">
        <v>90</v>
      </c>
      <c r="N617" s="221"/>
      <c r="O617" s="221"/>
      <c r="P617" s="221"/>
      <c r="Q617" s="326"/>
      <c r="R617" s="859"/>
      <c r="S617" s="858"/>
      <c r="U617" s="221"/>
    </row>
    <row r="618" spans="1:25" s="178" customFormat="1" x14ac:dyDescent="0.25">
      <c r="A618" s="347"/>
      <c r="B618" s="653">
        <v>45352</v>
      </c>
      <c r="R618" s="914"/>
    </row>
    <row r="619" spans="1:25" s="178" customFormat="1" x14ac:dyDescent="0.25">
      <c r="A619" s="225" t="s">
        <v>2113</v>
      </c>
      <c r="B619" s="319" t="s">
        <v>2266</v>
      </c>
      <c r="C619" s="347">
        <v>380</v>
      </c>
      <c r="D619" s="656">
        <v>42</v>
      </c>
      <c r="E619" s="628" t="s">
        <v>2114</v>
      </c>
      <c r="F619" s="175">
        <v>33</v>
      </c>
      <c r="G619" s="178">
        <v>4192</v>
      </c>
      <c r="H619" s="226">
        <v>3417</v>
      </c>
      <c r="I619" s="226">
        <f t="shared" ref="I619:I682" si="165">+H619/G619*F619</f>
        <v>26.899093511450381</v>
      </c>
      <c r="J619" s="820">
        <f t="shared" ref="J619:J682" si="166">+F619+I619</f>
        <v>59.899093511450381</v>
      </c>
      <c r="K619" s="228">
        <v>1.4</v>
      </c>
      <c r="L619" s="226">
        <f t="shared" ref="L619:L682" si="167">+J619*K619</f>
        <v>83.858730916030524</v>
      </c>
      <c r="M619" s="226">
        <v>110</v>
      </c>
      <c r="R619" s="914"/>
    </row>
    <row r="620" spans="1:25" s="178" customFormat="1" hidden="1" x14ac:dyDescent="0.25">
      <c r="A620" s="225" t="s">
        <v>2113</v>
      </c>
      <c r="B620" s="319" t="s">
        <v>2266</v>
      </c>
      <c r="C620" s="347">
        <v>381</v>
      </c>
      <c r="D620" s="656">
        <v>44</v>
      </c>
      <c r="E620" s="708" t="s">
        <v>2114</v>
      </c>
      <c r="F620" s="698">
        <v>33</v>
      </c>
      <c r="G620" s="213">
        <v>4192</v>
      </c>
      <c r="H620" s="232">
        <v>3417</v>
      </c>
      <c r="I620" s="232">
        <f t="shared" si="165"/>
        <v>26.899093511450381</v>
      </c>
      <c r="J620" s="863">
        <f t="shared" si="166"/>
        <v>59.899093511450381</v>
      </c>
      <c r="K620" s="864">
        <v>1.4</v>
      </c>
      <c r="L620" s="232">
        <f t="shared" si="167"/>
        <v>83.858730916030524</v>
      </c>
      <c r="M620" s="232">
        <v>110</v>
      </c>
      <c r="P620" s="178" t="s">
        <v>12</v>
      </c>
      <c r="Q620" s="229">
        <v>45378</v>
      </c>
      <c r="R620" s="914">
        <f>+M620*30000</f>
        <v>3300000</v>
      </c>
    </row>
    <row r="621" spans="1:25" s="178" customFormat="1" hidden="1" x14ac:dyDescent="0.25">
      <c r="A621" s="225" t="s">
        <v>2113</v>
      </c>
      <c r="B621" s="319" t="s">
        <v>2266</v>
      </c>
      <c r="C621" s="347">
        <v>382</v>
      </c>
      <c r="D621" s="656">
        <v>46</v>
      </c>
      <c r="E621" s="708" t="s">
        <v>2114</v>
      </c>
      <c r="F621" s="698">
        <v>33</v>
      </c>
      <c r="G621" s="213">
        <v>4192</v>
      </c>
      <c r="H621" s="232">
        <v>3417</v>
      </c>
      <c r="I621" s="232">
        <f t="shared" si="165"/>
        <v>26.899093511450381</v>
      </c>
      <c r="J621" s="863">
        <f t="shared" si="166"/>
        <v>59.899093511450381</v>
      </c>
      <c r="K621" s="864">
        <v>1.4</v>
      </c>
      <c r="L621" s="232">
        <f t="shared" si="167"/>
        <v>83.858730916030524</v>
      </c>
      <c r="M621" s="232">
        <v>110</v>
      </c>
      <c r="P621" s="178" t="s">
        <v>2712</v>
      </c>
      <c r="Q621" s="229">
        <v>45434</v>
      </c>
      <c r="R621" s="914">
        <f>+M621*14.5</f>
        <v>1595</v>
      </c>
    </row>
    <row r="622" spans="1:25" s="178" customFormat="1" hidden="1" x14ac:dyDescent="0.25">
      <c r="A622" s="862" t="s">
        <v>2113</v>
      </c>
      <c r="B622" s="319" t="s">
        <v>2266</v>
      </c>
      <c r="C622" s="347">
        <v>383</v>
      </c>
      <c r="D622" s="656">
        <v>48</v>
      </c>
      <c r="E622" s="708" t="s">
        <v>2114</v>
      </c>
      <c r="F622" s="698">
        <v>33</v>
      </c>
      <c r="G622" s="213">
        <v>4192</v>
      </c>
      <c r="H622" s="232">
        <v>3417</v>
      </c>
      <c r="I622" s="232">
        <f t="shared" si="165"/>
        <v>26.899093511450381</v>
      </c>
      <c r="J622" s="863">
        <f t="shared" si="166"/>
        <v>59.899093511450381</v>
      </c>
      <c r="K622" s="864">
        <v>1.4</v>
      </c>
      <c r="L622" s="232">
        <f t="shared" si="167"/>
        <v>83.858730916030524</v>
      </c>
      <c r="M622" s="232">
        <v>110</v>
      </c>
      <c r="P622" s="178" t="s">
        <v>2388</v>
      </c>
      <c r="Q622" s="229">
        <v>45391</v>
      </c>
      <c r="R622" s="914">
        <f>+M622*36000</f>
        <v>3960000</v>
      </c>
    </row>
    <row r="623" spans="1:25" s="178" customFormat="1" hidden="1" x14ac:dyDescent="0.25">
      <c r="A623" s="225" t="s">
        <v>2115</v>
      </c>
      <c r="B623" s="319" t="s">
        <v>1531</v>
      </c>
      <c r="C623" s="347">
        <v>384</v>
      </c>
      <c r="D623" s="656">
        <v>38</v>
      </c>
      <c r="E623" s="708" t="s">
        <v>2116</v>
      </c>
      <c r="F623" s="698">
        <v>40</v>
      </c>
      <c r="G623" s="213">
        <v>4192</v>
      </c>
      <c r="H623" s="232">
        <v>3417</v>
      </c>
      <c r="I623" s="232">
        <f t="shared" si="165"/>
        <v>32.604961832061072</v>
      </c>
      <c r="J623" s="863">
        <f t="shared" si="166"/>
        <v>72.604961832061065</v>
      </c>
      <c r="K623" s="864">
        <v>1.4</v>
      </c>
      <c r="L623" s="232">
        <f t="shared" si="167"/>
        <v>101.64694656488548</v>
      </c>
      <c r="M623" s="232">
        <v>125</v>
      </c>
      <c r="P623" s="178" t="s">
        <v>12</v>
      </c>
      <c r="Q623" s="229">
        <v>45394</v>
      </c>
      <c r="R623" s="914">
        <f>+M623*36000</f>
        <v>4500000</v>
      </c>
    </row>
    <row r="624" spans="1:25" s="178" customFormat="1" hidden="1" x14ac:dyDescent="0.25">
      <c r="A624" s="225" t="s">
        <v>2115</v>
      </c>
      <c r="B624" s="319" t="s">
        <v>1531</v>
      </c>
      <c r="C624" s="347">
        <v>385</v>
      </c>
      <c r="D624" s="656">
        <v>40</v>
      </c>
      <c r="E624" s="708" t="s">
        <v>2116</v>
      </c>
      <c r="F624" s="698">
        <v>40</v>
      </c>
      <c r="G624" s="213">
        <v>4192</v>
      </c>
      <c r="H624" s="232">
        <v>3417</v>
      </c>
      <c r="I624" s="232">
        <f t="shared" si="165"/>
        <v>32.604961832061072</v>
      </c>
      <c r="J624" s="863">
        <f t="shared" si="166"/>
        <v>72.604961832061065</v>
      </c>
      <c r="K624" s="864">
        <v>1.4</v>
      </c>
      <c r="L624" s="232">
        <f t="shared" si="167"/>
        <v>101.64694656488548</v>
      </c>
      <c r="M624" s="232">
        <v>125</v>
      </c>
      <c r="P624" s="178" t="s">
        <v>1100</v>
      </c>
      <c r="Q624" s="229">
        <v>45408</v>
      </c>
      <c r="R624" s="914">
        <f>+M624*36000</f>
        <v>4500000</v>
      </c>
    </row>
    <row r="625" spans="1:18" s="178" customFormat="1" hidden="1" x14ac:dyDescent="0.25">
      <c r="A625" s="225" t="s">
        <v>2115</v>
      </c>
      <c r="B625" s="319" t="s">
        <v>1531</v>
      </c>
      <c r="C625" s="347">
        <v>386</v>
      </c>
      <c r="D625" s="656">
        <v>42</v>
      </c>
      <c r="E625" s="708" t="s">
        <v>2116</v>
      </c>
      <c r="F625" s="698">
        <v>40</v>
      </c>
      <c r="G625" s="213">
        <v>4192</v>
      </c>
      <c r="H625" s="232">
        <v>3417</v>
      </c>
      <c r="I625" s="232">
        <f t="shared" si="165"/>
        <v>32.604961832061072</v>
      </c>
      <c r="J625" s="863">
        <f t="shared" si="166"/>
        <v>72.604961832061065</v>
      </c>
      <c r="K625" s="864">
        <v>1.4</v>
      </c>
      <c r="L625" s="232">
        <f t="shared" si="167"/>
        <v>101.64694656488548</v>
      </c>
      <c r="M625" s="232">
        <v>110</v>
      </c>
      <c r="P625" s="178" t="s">
        <v>1908</v>
      </c>
      <c r="Q625" s="229">
        <v>45379</v>
      </c>
      <c r="R625" s="914">
        <f>+M625*30000</f>
        <v>3300000</v>
      </c>
    </row>
    <row r="626" spans="1:18" s="178" customFormat="1" x14ac:dyDescent="0.25">
      <c r="A626" s="894" t="s">
        <v>2115</v>
      </c>
      <c r="B626" s="319" t="s">
        <v>1531</v>
      </c>
      <c r="C626" s="347">
        <v>387</v>
      </c>
      <c r="D626" s="656">
        <v>44</v>
      </c>
      <c r="E626" s="628" t="s">
        <v>2116</v>
      </c>
      <c r="F626" s="175">
        <v>40</v>
      </c>
      <c r="G626" s="178">
        <v>4192</v>
      </c>
      <c r="H626" s="226">
        <v>3417</v>
      </c>
      <c r="I626" s="226">
        <f t="shared" si="165"/>
        <v>32.604961832061072</v>
      </c>
      <c r="J626" s="820">
        <f t="shared" si="166"/>
        <v>72.604961832061065</v>
      </c>
      <c r="K626" s="228">
        <v>1.4</v>
      </c>
      <c r="L626" s="226">
        <f t="shared" si="167"/>
        <v>101.64694656488548</v>
      </c>
      <c r="M626" s="226">
        <v>110</v>
      </c>
      <c r="R626" s="914"/>
    </row>
    <row r="627" spans="1:18" s="178" customFormat="1" hidden="1" x14ac:dyDescent="0.25">
      <c r="A627" s="225" t="s">
        <v>2115</v>
      </c>
      <c r="B627" s="319" t="s">
        <v>1531</v>
      </c>
      <c r="C627" s="347">
        <v>388</v>
      </c>
      <c r="D627" s="656">
        <v>44</v>
      </c>
      <c r="E627" s="708" t="s">
        <v>2117</v>
      </c>
      <c r="F627" s="611">
        <v>42</v>
      </c>
      <c r="G627" s="213">
        <v>4192</v>
      </c>
      <c r="H627" s="232">
        <v>3417</v>
      </c>
      <c r="I627" s="232">
        <f t="shared" si="165"/>
        <v>34.235209923664122</v>
      </c>
      <c r="J627" s="863">
        <f t="shared" si="166"/>
        <v>76.235209923664115</v>
      </c>
      <c r="K627" s="864">
        <v>1.4</v>
      </c>
      <c r="L627" s="232">
        <f t="shared" si="167"/>
        <v>106.72929389312975</v>
      </c>
      <c r="M627" s="232">
        <v>125</v>
      </c>
      <c r="P627" s="178" t="s">
        <v>12</v>
      </c>
      <c r="Q627" s="229">
        <v>45408</v>
      </c>
      <c r="R627" s="914">
        <f>+M627*36000</f>
        <v>4500000</v>
      </c>
    </row>
    <row r="628" spans="1:18" s="178" customFormat="1" hidden="1" x14ac:dyDescent="0.25">
      <c r="A628" s="225" t="s">
        <v>2115</v>
      </c>
      <c r="B628" s="319" t="s">
        <v>1531</v>
      </c>
      <c r="C628" s="347">
        <v>389</v>
      </c>
      <c r="D628" s="656">
        <v>46</v>
      </c>
      <c r="E628" s="708" t="s">
        <v>2117</v>
      </c>
      <c r="F628" s="611">
        <v>42</v>
      </c>
      <c r="G628" s="213">
        <v>4192</v>
      </c>
      <c r="H628" s="232">
        <v>3417</v>
      </c>
      <c r="I628" s="232">
        <f t="shared" si="165"/>
        <v>34.235209923664122</v>
      </c>
      <c r="J628" s="863">
        <f t="shared" si="166"/>
        <v>76.235209923664115</v>
      </c>
      <c r="K628" s="864">
        <v>1.4</v>
      </c>
      <c r="L628" s="232">
        <f t="shared" si="167"/>
        <v>106.72929389312975</v>
      </c>
      <c r="M628" s="232">
        <v>110</v>
      </c>
      <c r="P628" s="178" t="s">
        <v>12</v>
      </c>
      <c r="Q628" s="229">
        <v>45475</v>
      </c>
      <c r="R628" s="914"/>
    </row>
    <row r="629" spans="1:18" s="178" customFormat="1" x14ac:dyDescent="0.25">
      <c r="A629" s="894" t="s">
        <v>2115</v>
      </c>
      <c r="B629" s="319" t="s">
        <v>1531</v>
      </c>
      <c r="C629" s="347">
        <v>390</v>
      </c>
      <c r="D629" s="656">
        <v>48</v>
      </c>
      <c r="E629" s="708" t="s">
        <v>2117</v>
      </c>
      <c r="F629" s="611">
        <v>42</v>
      </c>
      <c r="G629" s="213">
        <v>4192</v>
      </c>
      <c r="H629" s="232">
        <v>3417</v>
      </c>
      <c r="I629" s="232">
        <f t="shared" si="165"/>
        <v>34.235209923664122</v>
      </c>
      <c r="J629" s="863">
        <f t="shared" si="166"/>
        <v>76.235209923664115</v>
      </c>
      <c r="K629" s="864">
        <v>1.4</v>
      </c>
      <c r="L629" s="232">
        <f t="shared" si="167"/>
        <v>106.72929389312975</v>
      </c>
      <c r="M629" s="232">
        <v>110</v>
      </c>
      <c r="P629" s="178" t="s">
        <v>2900</v>
      </c>
      <c r="Q629" s="229">
        <v>45488</v>
      </c>
      <c r="R629" s="914"/>
    </row>
    <row r="630" spans="1:18" s="178" customFormat="1" hidden="1" x14ac:dyDescent="0.25">
      <c r="A630" s="225" t="s">
        <v>2115</v>
      </c>
      <c r="B630" s="319" t="s">
        <v>1531</v>
      </c>
      <c r="C630" s="347">
        <v>391</v>
      </c>
      <c r="D630" s="656">
        <v>50</v>
      </c>
      <c r="E630" s="708" t="s">
        <v>2117</v>
      </c>
      <c r="F630" s="611">
        <v>42</v>
      </c>
      <c r="G630" s="213">
        <v>4192</v>
      </c>
      <c r="H630" s="232">
        <v>3417</v>
      </c>
      <c r="I630" s="232">
        <f t="shared" si="165"/>
        <v>34.235209923664122</v>
      </c>
      <c r="J630" s="863">
        <f t="shared" si="166"/>
        <v>76.235209923664115</v>
      </c>
      <c r="K630" s="864">
        <v>1.4</v>
      </c>
      <c r="L630" s="232">
        <f t="shared" si="167"/>
        <v>106.72929389312975</v>
      </c>
      <c r="M630" s="232">
        <v>115</v>
      </c>
      <c r="P630" s="178" t="s">
        <v>2178</v>
      </c>
      <c r="Q630" s="229">
        <v>45401</v>
      </c>
      <c r="R630" s="914">
        <f>+M630*36000</f>
        <v>4140000</v>
      </c>
    </row>
    <row r="631" spans="1:18" s="178" customFormat="1" hidden="1" x14ac:dyDescent="0.25">
      <c r="A631" s="225" t="s">
        <v>2115</v>
      </c>
      <c r="B631" s="319" t="s">
        <v>1531</v>
      </c>
      <c r="C631" s="347">
        <v>392</v>
      </c>
      <c r="D631" s="656">
        <v>44</v>
      </c>
      <c r="E631" s="708" t="s">
        <v>2118</v>
      </c>
      <c r="F631" s="611">
        <v>37</v>
      </c>
      <c r="G631" s="213">
        <v>4192</v>
      </c>
      <c r="H631" s="232">
        <v>3417</v>
      </c>
      <c r="I631" s="232">
        <f t="shared" si="165"/>
        <v>30.159589694656489</v>
      </c>
      <c r="J631" s="863">
        <f t="shared" si="166"/>
        <v>67.159589694656489</v>
      </c>
      <c r="K631" s="864">
        <v>1.4</v>
      </c>
      <c r="L631" s="232">
        <f t="shared" si="167"/>
        <v>94.023425572519074</v>
      </c>
      <c r="M631" s="232">
        <v>125</v>
      </c>
      <c r="P631" s="229" t="s">
        <v>1908</v>
      </c>
      <c r="Q631" s="229">
        <v>45379</v>
      </c>
      <c r="R631" s="914">
        <f>+M631*30000</f>
        <v>3750000</v>
      </c>
    </row>
    <row r="632" spans="1:18" s="178" customFormat="1" hidden="1" x14ac:dyDescent="0.25">
      <c r="A632" s="225" t="s">
        <v>2115</v>
      </c>
      <c r="B632" s="319" t="s">
        <v>1531</v>
      </c>
      <c r="C632" s="347">
        <v>393</v>
      </c>
      <c r="D632" s="656">
        <v>46</v>
      </c>
      <c r="E632" s="708" t="s">
        <v>2118</v>
      </c>
      <c r="F632" s="611">
        <v>37</v>
      </c>
      <c r="G632" s="213">
        <v>4192</v>
      </c>
      <c r="H632" s="232">
        <v>3417</v>
      </c>
      <c r="I632" s="232">
        <f t="shared" si="165"/>
        <v>30.159589694656489</v>
      </c>
      <c r="J632" s="863">
        <f t="shared" si="166"/>
        <v>67.159589694656489</v>
      </c>
      <c r="K632" s="864">
        <v>1.4</v>
      </c>
      <c r="L632" s="232">
        <f t="shared" si="167"/>
        <v>94.023425572519074</v>
      </c>
      <c r="M632" s="232">
        <v>125</v>
      </c>
      <c r="P632" s="178" t="s">
        <v>12</v>
      </c>
      <c r="Q632" s="229">
        <v>45378</v>
      </c>
      <c r="R632" s="914">
        <f>+M632*30000</f>
        <v>3750000</v>
      </c>
    </row>
    <row r="633" spans="1:18" s="178" customFormat="1" x14ac:dyDescent="0.25">
      <c r="A633" s="894" t="s">
        <v>2115</v>
      </c>
      <c r="B633" s="319" t="s">
        <v>1531</v>
      </c>
      <c r="C633" s="347">
        <v>394</v>
      </c>
      <c r="D633" s="656">
        <v>48</v>
      </c>
      <c r="E633" s="628" t="s">
        <v>2118</v>
      </c>
      <c r="F633" s="174">
        <v>37</v>
      </c>
      <c r="G633" s="178">
        <v>4192</v>
      </c>
      <c r="H633" s="226">
        <v>3417</v>
      </c>
      <c r="I633" s="226">
        <f t="shared" si="165"/>
        <v>30.159589694656489</v>
      </c>
      <c r="J633" s="820">
        <f t="shared" si="166"/>
        <v>67.159589694656489</v>
      </c>
      <c r="K633" s="228">
        <v>1.4</v>
      </c>
      <c r="L633" s="226">
        <f t="shared" si="167"/>
        <v>94.023425572519074</v>
      </c>
      <c r="M633" s="226">
        <v>125</v>
      </c>
      <c r="R633" s="914"/>
    </row>
    <row r="634" spans="1:18" s="178" customFormat="1" hidden="1" x14ac:dyDescent="0.25">
      <c r="A634" s="225" t="s">
        <v>2115</v>
      </c>
      <c r="B634" s="319" t="s">
        <v>1531</v>
      </c>
      <c r="C634" s="347">
        <v>395</v>
      </c>
      <c r="D634" s="656">
        <v>50</v>
      </c>
      <c r="E634" s="708" t="s">
        <v>2118</v>
      </c>
      <c r="F634" s="611">
        <v>37</v>
      </c>
      <c r="G634" s="213">
        <v>4192</v>
      </c>
      <c r="H634" s="232">
        <v>3417</v>
      </c>
      <c r="I634" s="232">
        <f t="shared" si="165"/>
        <v>30.159589694656489</v>
      </c>
      <c r="J634" s="863">
        <f t="shared" si="166"/>
        <v>67.159589694656489</v>
      </c>
      <c r="K634" s="864">
        <v>1.4</v>
      </c>
      <c r="L634" s="232">
        <f t="shared" si="167"/>
        <v>94.023425572519074</v>
      </c>
      <c r="M634" s="232">
        <v>125</v>
      </c>
      <c r="P634" s="178" t="s">
        <v>2500</v>
      </c>
      <c r="Q634" s="229">
        <v>45406</v>
      </c>
      <c r="R634" s="914">
        <f>+M634*36000</f>
        <v>4500000</v>
      </c>
    </row>
    <row r="635" spans="1:18" s="178" customFormat="1" hidden="1" x14ac:dyDescent="0.25">
      <c r="A635" s="225" t="s">
        <v>255</v>
      </c>
      <c r="B635" s="318" t="s">
        <v>1440</v>
      </c>
      <c r="C635" s="347">
        <v>396</v>
      </c>
      <c r="D635" s="656">
        <v>42</v>
      </c>
      <c r="E635" s="708" t="s">
        <v>2119</v>
      </c>
      <c r="F635" s="698">
        <v>27</v>
      </c>
      <c r="G635" s="213">
        <v>4192</v>
      </c>
      <c r="H635" s="232">
        <v>3417</v>
      </c>
      <c r="I635" s="232">
        <f t="shared" si="165"/>
        <v>22.008349236641223</v>
      </c>
      <c r="J635" s="863">
        <f t="shared" si="166"/>
        <v>49.008349236641223</v>
      </c>
      <c r="K635" s="864">
        <v>1.4</v>
      </c>
      <c r="L635" s="232">
        <f t="shared" si="167"/>
        <v>68.611688931297707</v>
      </c>
      <c r="M635" s="232">
        <v>110</v>
      </c>
      <c r="P635" s="178" t="s">
        <v>2461</v>
      </c>
      <c r="Q635" s="229">
        <v>45404</v>
      </c>
      <c r="R635" s="914"/>
    </row>
    <row r="636" spans="1:18" s="178" customFormat="1" x14ac:dyDescent="0.25">
      <c r="A636" s="225" t="s">
        <v>255</v>
      </c>
      <c r="B636" s="318" t="s">
        <v>1440</v>
      </c>
      <c r="C636" s="347">
        <v>397</v>
      </c>
      <c r="D636" s="656">
        <v>44</v>
      </c>
      <c r="E636" s="628" t="s">
        <v>2119</v>
      </c>
      <c r="F636" s="175">
        <v>27</v>
      </c>
      <c r="G636" s="178">
        <v>4192</v>
      </c>
      <c r="H636" s="226">
        <v>3417</v>
      </c>
      <c r="I636" s="226">
        <f t="shared" si="165"/>
        <v>22.008349236641223</v>
      </c>
      <c r="J636" s="820">
        <f t="shared" si="166"/>
        <v>49.008349236641223</v>
      </c>
      <c r="K636" s="228">
        <v>1.4</v>
      </c>
      <c r="L636" s="226">
        <f t="shared" si="167"/>
        <v>68.611688931297707</v>
      </c>
      <c r="M636" s="226">
        <v>110</v>
      </c>
      <c r="R636" s="914"/>
    </row>
    <row r="637" spans="1:18" s="178" customFormat="1" hidden="1" x14ac:dyDescent="0.25">
      <c r="A637" s="225" t="s">
        <v>255</v>
      </c>
      <c r="B637" s="318" t="s">
        <v>1440</v>
      </c>
      <c r="C637" s="347">
        <v>398</v>
      </c>
      <c r="D637" s="656">
        <v>46</v>
      </c>
      <c r="E637" s="708" t="s">
        <v>2119</v>
      </c>
      <c r="F637" s="698">
        <v>27</v>
      </c>
      <c r="G637" s="213">
        <v>4192</v>
      </c>
      <c r="H637" s="232">
        <v>3417</v>
      </c>
      <c r="I637" s="232">
        <f t="shared" si="165"/>
        <v>22.008349236641223</v>
      </c>
      <c r="J637" s="863">
        <f t="shared" si="166"/>
        <v>49.008349236641223</v>
      </c>
      <c r="K637" s="864">
        <v>1.4</v>
      </c>
      <c r="L637" s="232">
        <f t="shared" si="167"/>
        <v>68.611688931297707</v>
      </c>
      <c r="M637" s="232">
        <v>110</v>
      </c>
      <c r="P637" s="178" t="s">
        <v>2900</v>
      </c>
      <c r="Q637" s="229">
        <v>45467</v>
      </c>
      <c r="R637" s="914"/>
    </row>
    <row r="638" spans="1:18" s="178" customFormat="1" ht="15" hidden="1" customHeight="1" x14ac:dyDescent="0.25">
      <c r="A638" s="225" t="s">
        <v>255</v>
      </c>
      <c r="B638" s="318" t="s">
        <v>1440</v>
      </c>
      <c r="C638" s="347">
        <v>399</v>
      </c>
      <c r="D638" s="656">
        <v>48</v>
      </c>
      <c r="E638" s="708" t="s">
        <v>2119</v>
      </c>
      <c r="F638" s="698">
        <v>27</v>
      </c>
      <c r="G638" s="213">
        <v>4192</v>
      </c>
      <c r="H638" s="232">
        <v>3417</v>
      </c>
      <c r="I638" s="232">
        <f t="shared" si="165"/>
        <v>22.008349236641223</v>
      </c>
      <c r="J638" s="863">
        <f t="shared" si="166"/>
        <v>49.008349236641223</v>
      </c>
      <c r="K638" s="864">
        <v>1.4</v>
      </c>
      <c r="L638" s="232">
        <f t="shared" si="167"/>
        <v>68.611688931297707</v>
      </c>
      <c r="M638" s="232">
        <v>110</v>
      </c>
      <c r="P638" s="178" t="s">
        <v>12</v>
      </c>
      <c r="Q638" s="229">
        <v>45371</v>
      </c>
      <c r="R638" s="914">
        <f>+M638*20000</f>
        <v>2200000</v>
      </c>
    </row>
    <row r="639" spans="1:18" s="178" customFormat="1" x14ac:dyDescent="0.25">
      <c r="A639" s="894" t="s">
        <v>255</v>
      </c>
      <c r="B639" s="319" t="s">
        <v>2295</v>
      </c>
      <c r="C639" s="347">
        <v>400</v>
      </c>
      <c r="D639" s="656">
        <v>42</v>
      </c>
      <c r="E639" s="628" t="s">
        <v>2120</v>
      </c>
      <c r="F639" s="175">
        <v>35</v>
      </c>
      <c r="G639" s="178">
        <v>4192</v>
      </c>
      <c r="H639" s="226">
        <v>3417</v>
      </c>
      <c r="I639" s="226">
        <f t="shared" si="165"/>
        <v>28.529341603053435</v>
      </c>
      <c r="J639" s="820">
        <f t="shared" si="166"/>
        <v>63.529341603053439</v>
      </c>
      <c r="K639" s="228">
        <v>1.4</v>
      </c>
      <c r="L639" s="226">
        <f t="shared" si="167"/>
        <v>88.941078244274806</v>
      </c>
      <c r="M639" s="226">
        <v>110</v>
      </c>
      <c r="R639" s="914"/>
    </row>
    <row r="640" spans="1:18" s="178" customFormat="1" x14ac:dyDescent="0.25">
      <c r="A640" s="225" t="s">
        <v>255</v>
      </c>
      <c r="B640" s="319" t="s">
        <v>2295</v>
      </c>
      <c r="C640" s="347">
        <v>401</v>
      </c>
      <c r="D640" s="656">
        <v>44</v>
      </c>
      <c r="E640" s="708" t="s">
        <v>2120</v>
      </c>
      <c r="F640" s="698">
        <v>35</v>
      </c>
      <c r="G640" s="213">
        <v>4192</v>
      </c>
      <c r="H640" s="232">
        <v>3417</v>
      </c>
      <c r="I640" s="232">
        <f t="shared" si="165"/>
        <v>28.529341603053435</v>
      </c>
      <c r="J640" s="863">
        <f t="shared" si="166"/>
        <v>63.529341603053439</v>
      </c>
      <c r="K640" s="864">
        <v>1.4</v>
      </c>
      <c r="L640" s="232">
        <f t="shared" si="167"/>
        <v>88.941078244274806</v>
      </c>
      <c r="M640" s="232">
        <v>110</v>
      </c>
      <c r="P640" s="178" t="s">
        <v>12</v>
      </c>
      <c r="Q640" s="229">
        <v>45499</v>
      </c>
      <c r="R640" s="914"/>
    </row>
    <row r="641" spans="1:18" s="178" customFormat="1" hidden="1" x14ac:dyDescent="0.25">
      <c r="A641" s="225" t="s">
        <v>255</v>
      </c>
      <c r="B641" s="319" t="s">
        <v>2295</v>
      </c>
      <c r="C641" s="347">
        <v>402</v>
      </c>
      <c r="D641" s="656">
        <v>46</v>
      </c>
      <c r="E641" s="708" t="s">
        <v>2120</v>
      </c>
      <c r="F641" s="698">
        <v>35</v>
      </c>
      <c r="G641" s="213">
        <v>4192</v>
      </c>
      <c r="H641" s="232">
        <v>3417</v>
      </c>
      <c r="I641" s="232">
        <f t="shared" si="165"/>
        <v>28.529341603053435</v>
      </c>
      <c r="J641" s="863">
        <f t="shared" si="166"/>
        <v>63.529341603053439</v>
      </c>
      <c r="K641" s="864">
        <v>1.4</v>
      </c>
      <c r="L641" s="232">
        <f t="shared" si="167"/>
        <v>88.941078244274806</v>
      </c>
      <c r="M641" s="232">
        <v>110</v>
      </c>
      <c r="P641" s="178" t="s">
        <v>486</v>
      </c>
      <c r="Q641" s="229">
        <v>45418</v>
      </c>
      <c r="R641" s="914">
        <f>+M641*14.5</f>
        <v>1595</v>
      </c>
    </row>
    <row r="642" spans="1:18" s="178" customFormat="1" hidden="1" x14ac:dyDescent="0.25">
      <c r="A642" s="225" t="s">
        <v>255</v>
      </c>
      <c r="B642" s="319" t="s">
        <v>2295</v>
      </c>
      <c r="C642" s="347">
        <v>403</v>
      </c>
      <c r="D642" s="656">
        <v>48</v>
      </c>
      <c r="E642" s="708" t="s">
        <v>2120</v>
      </c>
      <c r="F642" s="698">
        <v>35</v>
      </c>
      <c r="G642" s="213">
        <v>4192</v>
      </c>
      <c r="H642" s="232">
        <v>3417</v>
      </c>
      <c r="I642" s="232">
        <f t="shared" si="165"/>
        <v>28.529341603053435</v>
      </c>
      <c r="J642" s="863">
        <f t="shared" si="166"/>
        <v>63.529341603053439</v>
      </c>
      <c r="K642" s="864">
        <v>1.4</v>
      </c>
      <c r="L642" s="232">
        <f t="shared" si="167"/>
        <v>88.941078244274806</v>
      </c>
      <c r="M642" s="232">
        <v>110</v>
      </c>
      <c r="P642" s="178" t="s">
        <v>2409</v>
      </c>
      <c r="Q642" s="229">
        <v>45394</v>
      </c>
      <c r="R642" s="914">
        <f>+M642*36000</f>
        <v>3960000</v>
      </c>
    </row>
    <row r="643" spans="1:18" s="178" customFormat="1" hidden="1" x14ac:dyDescent="0.25">
      <c r="A643" s="225" t="s">
        <v>255</v>
      </c>
      <c r="B643" s="319" t="s">
        <v>503</v>
      </c>
      <c r="C643" s="347">
        <v>404</v>
      </c>
      <c r="D643" s="656">
        <v>42</v>
      </c>
      <c r="E643" s="708" t="s">
        <v>2121</v>
      </c>
      <c r="F643" s="698">
        <v>36</v>
      </c>
      <c r="G643" s="213">
        <v>4192</v>
      </c>
      <c r="H643" s="232">
        <v>3417</v>
      </c>
      <c r="I643" s="232">
        <f t="shared" si="165"/>
        <v>29.344465648854964</v>
      </c>
      <c r="J643" s="863">
        <f t="shared" si="166"/>
        <v>65.344465648854964</v>
      </c>
      <c r="K643" s="864">
        <v>1.4</v>
      </c>
      <c r="L643" s="232">
        <f t="shared" si="167"/>
        <v>91.482251908396947</v>
      </c>
      <c r="M643" s="232">
        <v>120</v>
      </c>
      <c r="P643" s="178" t="s">
        <v>2184</v>
      </c>
      <c r="Q643" s="229">
        <v>45421</v>
      </c>
      <c r="R643" s="914">
        <f>+M643*14.5</f>
        <v>1740</v>
      </c>
    </row>
    <row r="644" spans="1:18" s="178" customFormat="1" hidden="1" x14ac:dyDescent="0.25">
      <c r="A644" s="225" t="s">
        <v>255</v>
      </c>
      <c r="B644" s="893" t="s">
        <v>503</v>
      </c>
      <c r="C644" s="347">
        <v>405</v>
      </c>
      <c r="D644" s="656">
        <v>44</v>
      </c>
      <c r="E644" s="708" t="s">
        <v>2121</v>
      </c>
      <c r="F644" s="698">
        <v>36</v>
      </c>
      <c r="G644" s="213">
        <v>4192</v>
      </c>
      <c r="H644" s="232">
        <v>3417</v>
      </c>
      <c r="I644" s="232">
        <f t="shared" si="165"/>
        <v>29.344465648854964</v>
      </c>
      <c r="J644" s="863">
        <f t="shared" si="166"/>
        <v>65.344465648854964</v>
      </c>
      <c r="K644" s="864">
        <v>1.4</v>
      </c>
      <c r="L644" s="232">
        <f t="shared" si="167"/>
        <v>91.482251908396947</v>
      </c>
      <c r="M644" s="232">
        <v>125</v>
      </c>
      <c r="P644" s="178" t="s">
        <v>12</v>
      </c>
      <c r="Q644" s="229">
        <v>45422</v>
      </c>
      <c r="R644" s="914">
        <f>+M644*14.5</f>
        <v>1812.5</v>
      </c>
    </row>
    <row r="645" spans="1:18" s="178" customFormat="1" hidden="1" x14ac:dyDescent="0.25">
      <c r="A645" s="225" t="s">
        <v>255</v>
      </c>
      <c r="B645" s="319" t="s">
        <v>503</v>
      </c>
      <c r="C645" s="347">
        <v>406</v>
      </c>
      <c r="D645" s="656">
        <v>46</v>
      </c>
      <c r="E645" s="708" t="s">
        <v>2121</v>
      </c>
      <c r="F645" s="698">
        <v>36</v>
      </c>
      <c r="G645" s="213">
        <v>4192</v>
      </c>
      <c r="H645" s="232">
        <v>3417</v>
      </c>
      <c r="I645" s="232">
        <f t="shared" si="165"/>
        <v>29.344465648854964</v>
      </c>
      <c r="J645" s="863">
        <f t="shared" si="166"/>
        <v>65.344465648854964</v>
      </c>
      <c r="K645" s="864">
        <v>1.4</v>
      </c>
      <c r="L645" s="232">
        <f t="shared" si="167"/>
        <v>91.482251908396947</v>
      </c>
      <c r="M645" s="232">
        <v>110</v>
      </c>
      <c r="P645" s="178" t="s">
        <v>2492</v>
      </c>
      <c r="Q645" s="229">
        <v>45404</v>
      </c>
      <c r="R645" s="914">
        <f>+M645*36000</f>
        <v>3960000</v>
      </c>
    </row>
    <row r="646" spans="1:18" s="178" customFormat="1" hidden="1" x14ac:dyDescent="0.25">
      <c r="A646" s="225" t="s">
        <v>255</v>
      </c>
      <c r="B646" s="319" t="s">
        <v>503</v>
      </c>
      <c r="C646" s="347">
        <v>407</v>
      </c>
      <c r="D646" s="656">
        <v>48</v>
      </c>
      <c r="E646" s="708" t="s">
        <v>2121</v>
      </c>
      <c r="F646" s="698">
        <v>36</v>
      </c>
      <c r="G646" s="213">
        <v>4192</v>
      </c>
      <c r="H646" s="232">
        <v>3417</v>
      </c>
      <c r="I646" s="232">
        <f t="shared" si="165"/>
        <v>29.344465648854964</v>
      </c>
      <c r="J646" s="863">
        <f t="shared" si="166"/>
        <v>65.344465648854964</v>
      </c>
      <c r="K646" s="864">
        <v>1.4</v>
      </c>
      <c r="L646" s="232">
        <f t="shared" si="167"/>
        <v>91.482251908396947</v>
      </c>
      <c r="M646" s="232">
        <v>110</v>
      </c>
      <c r="P646" s="178" t="s">
        <v>2496</v>
      </c>
      <c r="Q646" s="229">
        <v>45405</v>
      </c>
      <c r="R646" s="914">
        <f>+M646*36000</f>
        <v>3960000</v>
      </c>
    </row>
    <row r="647" spans="1:18" s="178" customFormat="1" hidden="1" x14ac:dyDescent="0.25">
      <c r="A647" s="225" t="s">
        <v>255</v>
      </c>
      <c r="B647" s="319" t="s">
        <v>2296</v>
      </c>
      <c r="C647" s="347">
        <v>408</v>
      </c>
      <c r="D647" s="656">
        <v>50</v>
      </c>
      <c r="E647" s="708" t="s">
        <v>2122</v>
      </c>
      <c r="F647" s="698">
        <v>42</v>
      </c>
      <c r="G647" s="213">
        <v>4192</v>
      </c>
      <c r="H647" s="232">
        <v>3417</v>
      </c>
      <c r="I647" s="232">
        <f t="shared" si="165"/>
        <v>34.235209923664122</v>
      </c>
      <c r="J647" s="863">
        <f t="shared" si="166"/>
        <v>76.235209923664115</v>
      </c>
      <c r="K647" s="864">
        <v>1.4</v>
      </c>
      <c r="L647" s="232">
        <f t="shared" si="167"/>
        <v>106.72929389312975</v>
      </c>
      <c r="M647" s="232">
        <v>125</v>
      </c>
      <c r="P647" s="178" t="s">
        <v>12</v>
      </c>
      <c r="Q647" s="229">
        <v>45395</v>
      </c>
      <c r="R647" s="914">
        <f>+M647*36000</f>
        <v>4500000</v>
      </c>
    </row>
    <row r="648" spans="1:18" s="178" customFormat="1" hidden="1" x14ac:dyDescent="0.25">
      <c r="A648" s="225" t="s">
        <v>255</v>
      </c>
      <c r="B648" s="319" t="s">
        <v>2296</v>
      </c>
      <c r="C648" s="347">
        <v>409</v>
      </c>
      <c r="D648" s="656">
        <v>52</v>
      </c>
      <c r="E648" s="708" t="s">
        <v>2122</v>
      </c>
      <c r="F648" s="698">
        <v>42</v>
      </c>
      <c r="G648" s="213">
        <v>4192</v>
      </c>
      <c r="H648" s="232">
        <v>3417</v>
      </c>
      <c r="I648" s="232">
        <f t="shared" si="165"/>
        <v>34.235209923664122</v>
      </c>
      <c r="J648" s="863">
        <f t="shared" si="166"/>
        <v>76.235209923664115</v>
      </c>
      <c r="K648" s="864">
        <v>1.4</v>
      </c>
      <c r="L648" s="232">
        <f t="shared" si="167"/>
        <v>106.72929389312975</v>
      </c>
      <c r="M648" s="232">
        <v>115</v>
      </c>
      <c r="P648" s="178" t="s">
        <v>3011</v>
      </c>
      <c r="Q648" s="229">
        <v>45496</v>
      </c>
      <c r="R648" s="914"/>
    </row>
    <row r="649" spans="1:18" s="178" customFormat="1" ht="14.25" hidden="1" customHeight="1" x14ac:dyDescent="0.25">
      <c r="A649" s="225" t="s">
        <v>255</v>
      </c>
      <c r="B649" s="319" t="s">
        <v>2296</v>
      </c>
      <c r="C649" s="347">
        <v>410</v>
      </c>
      <c r="D649" s="656">
        <v>54</v>
      </c>
      <c r="E649" s="708" t="s">
        <v>2122</v>
      </c>
      <c r="F649" s="698">
        <v>42</v>
      </c>
      <c r="G649" s="213">
        <v>4192</v>
      </c>
      <c r="H649" s="232">
        <v>3417</v>
      </c>
      <c r="I649" s="232">
        <f t="shared" si="165"/>
        <v>34.235209923664122</v>
      </c>
      <c r="J649" s="863">
        <f t="shared" si="166"/>
        <v>76.235209923664115</v>
      </c>
      <c r="K649" s="864">
        <v>1.4</v>
      </c>
      <c r="L649" s="232">
        <f t="shared" si="167"/>
        <v>106.72929389312975</v>
      </c>
      <c r="M649" s="232">
        <v>125</v>
      </c>
      <c r="P649" s="178" t="s">
        <v>2412</v>
      </c>
      <c r="Q649" s="229">
        <v>45398</v>
      </c>
      <c r="R649" s="914">
        <f>+M649*36000</f>
        <v>4500000</v>
      </c>
    </row>
    <row r="650" spans="1:18" s="178" customFormat="1" ht="16.5" hidden="1" customHeight="1" x14ac:dyDescent="0.25">
      <c r="A650" s="225" t="s">
        <v>255</v>
      </c>
      <c r="B650" s="319" t="s">
        <v>2296</v>
      </c>
      <c r="C650" s="347">
        <v>411</v>
      </c>
      <c r="D650" s="656">
        <v>56</v>
      </c>
      <c r="E650" s="708" t="s">
        <v>2122</v>
      </c>
      <c r="F650" s="698">
        <v>42</v>
      </c>
      <c r="G650" s="213">
        <v>4192</v>
      </c>
      <c r="H650" s="232">
        <v>3417</v>
      </c>
      <c r="I650" s="232">
        <f t="shared" si="165"/>
        <v>34.235209923664122</v>
      </c>
      <c r="J650" s="863">
        <f t="shared" si="166"/>
        <v>76.235209923664115</v>
      </c>
      <c r="K650" s="864">
        <v>1.4</v>
      </c>
      <c r="L650" s="232">
        <f t="shared" si="167"/>
        <v>106.72929389312975</v>
      </c>
      <c r="M650" s="232">
        <v>125</v>
      </c>
      <c r="P650" s="178" t="s">
        <v>2215</v>
      </c>
      <c r="Q650" s="229">
        <v>45379</v>
      </c>
      <c r="R650" s="914">
        <f>+M650*30000</f>
        <v>3750000</v>
      </c>
    </row>
    <row r="651" spans="1:18" s="178" customFormat="1" x14ac:dyDescent="0.25">
      <c r="A651" s="225" t="s">
        <v>2123</v>
      </c>
      <c r="B651" s="319" t="s">
        <v>2123</v>
      </c>
      <c r="C651" s="347">
        <v>412</v>
      </c>
      <c r="D651" s="656">
        <v>38</v>
      </c>
      <c r="E651" s="628" t="s">
        <v>2124</v>
      </c>
      <c r="F651" s="175">
        <v>22</v>
      </c>
      <c r="G651" s="178">
        <v>4192</v>
      </c>
      <c r="H651" s="226">
        <v>3417</v>
      </c>
      <c r="I651" s="226">
        <f t="shared" si="165"/>
        <v>17.93272900763359</v>
      </c>
      <c r="J651" s="820">
        <f t="shared" si="166"/>
        <v>39.93272900763359</v>
      </c>
      <c r="K651" s="228">
        <v>1.4</v>
      </c>
      <c r="L651" s="226">
        <f t="shared" si="167"/>
        <v>55.905820610687023</v>
      </c>
      <c r="M651" s="226">
        <v>110</v>
      </c>
      <c r="R651" s="914"/>
    </row>
    <row r="652" spans="1:18" s="178" customFormat="1" x14ac:dyDescent="0.25">
      <c r="A652" s="225" t="s">
        <v>2123</v>
      </c>
      <c r="B652" s="319" t="s">
        <v>2123</v>
      </c>
      <c r="C652" s="347">
        <v>413</v>
      </c>
      <c r="D652" s="656">
        <v>40</v>
      </c>
      <c r="E652" s="628" t="s">
        <v>2124</v>
      </c>
      <c r="F652" s="175">
        <v>22</v>
      </c>
      <c r="G652" s="178">
        <v>4192</v>
      </c>
      <c r="H652" s="226">
        <v>3417</v>
      </c>
      <c r="I652" s="226">
        <f t="shared" si="165"/>
        <v>17.93272900763359</v>
      </c>
      <c r="J652" s="820">
        <f t="shared" si="166"/>
        <v>39.93272900763359</v>
      </c>
      <c r="K652" s="228">
        <v>1.4</v>
      </c>
      <c r="L652" s="226">
        <f t="shared" si="167"/>
        <v>55.905820610687023</v>
      </c>
      <c r="M652" s="226">
        <v>110</v>
      </c>
      <c r="R652" s="914"/>
    </row>
    <row r="653" spans="1:18" s="178" customFormat="1" x14ac:dyDescent="0.25">
      <c r="A653" s="225" t="s">
        <v>2123</v>
      </c>
      <c r="B653" s="319" t="s">
        <v>2123</v>
      </c>
      <c r="C653" s="347">
        <v>414</v>
      </c>
      <c r="D653" s="656">
        <v>42</v>
      </c>
      <c r="E653" s="628" t="s">
        <v>2124</v>
      </c>
      <c r="F653" s="175">
        <v>22</v>
      </c>
      <c r="G653" s="178">
        <v>4192</v>
      </c>
      <c r="H653" s="226">
        <v>3417</v>
      </c>
      <c r="I653" s="226">
        <f t="shared" si="165"/>
        <v>17.93272900763359</v>
      </c>
      <c r="J653" s="820">
        <f t="shared" si="166"/>
        <v>39.93272900763359</v>
      </c>
      <c r="K653" s="228">
        <v>1.4</v>
      </c>
      <c r="L653" s="226">
        <f t="shared" si="167"/>
        <v>55.905820610687023</v>
      </c>
      <c r="M653" s="226">
        <v>110</v>
      </c>
      <c r="R653" s="914"/>
    </row>
    <row r="654" spans="1:18" s="178" customFormat="1" x14ac:dyDescent="0.25">
      <c r="A654" s="225" t="s">
        <v>2123</v>
      </c>
      <c r="B654" s="319" t="s">
        <v>2123</v>
      </c>
      <c r="C654" s="347">
        <v>415</v>
      </c>
      <c r="D654" s="656">
        <v>38</v>
      </c>
      <c r="E654" s="628" t="s">
        <v>2125</v>
      </c>
      <c r="F654" s="175">
        <v>22</v>
      </c>
      <c r="G654" s="178">
        <v>4192</v>
      </c>
      <c r="H654" s="226">
        <v>3417</v>
      </c>
      <c r="I654" s="226">
        <f t="shared" si="165"/>
        <v>17.93272900763359</v>
      </c>
      <c r="J654" s="820">
        <f t="shared" si="166"/>
        <v>39.93272900763359</v>
      </c>
      <c r="K654" s="228">
        <v>1.4</v>
      </c>
      <c r="L654" s="226">
        <f t="shared" si="167"/>
        <v>55.905820610687023</v>
      </c>
      <c r="M654" s="226">
        <v>110</v>
      </c>
      <c r="R654" s="914"/>
    </row>
    <row r="655" spans="1:18" s="178" customFormat="1" x14ac:dyDescent="0.25">
      <c r="A655" s="225" t="s">
        <v>2123</v>
      </c>
      <c r="B655" s="319" t="s">
        <v>2123</v>
      </c>
      <c r="C655" s="347">
        <v>416</v>
      </c>
      <c r="D655" s="656">
        <v>40</v>
      </c>
      <c r="E655" s="628" t="s">
        <v>2125</v>
      </c>
      <c r="F655" s="175">
        <v>22</v>
      </c>
      <c r="G655" s="178">
        <v>4192</v>
      </c>
      <c r="H655" s="226">
        <v>3417</v>
      </c>
      <c r="I655" s="226">
        <f t="shared" si="165"/>
        <v>17.93272900763359</v>
      </c>
      <c r="J655" s="820">
        <f t="shared" si="166"/>
        <v>39.93272900763359</v>
      </c>
      <c r="K655" s="228">
        <v>1.4</v>
      </c>
      <c r="L655" s="226">
        <f t="shared" si="167"/>
        <v>55.905820610687023</v>
      </c>
      <c r="M655" s="226">
        <v>110</v>
      </c>
      <c r="R655" s="914"/>
    </row>
    <row r="656" spans="1:18" s="178" customFormat="1" x14ac:dyDescent="0.25">
      <c r="A656" s="225" t="s">
        <v>2123</v>
      </c>
      <c r="B656" s="319" t="s">
        <v>2123</v>
      </c>
      <c r="C656" s="347">
        <v>417</v>
      </c>
      <c r="D656" s="656">
        <v>42</v>
      </c>
      <c r="E656" s="628" t="s">
        <v>2125</v>
      </c>
      <c r="F656" s="175">
        <v>22</v>
      </c>
      <c r="G656" s="178">
        <v>4192</v>
      </c>
      <c r="H656" s="226">
        <v>3417</v>
      </c>
      <c r="I656" s="226">
        <f t="shared" si="165"/>
        <v>17.93272900763359</v>
      </c>
      <c r="J656" s="820">
        <f t="shared" si="166"/>
        <v>39.93272900763359</v>
      </c>
      <c r="K656" s="228">
        <v>1.4</v>
      </c>
      <c r="L656" s="226">
        <f t="shared" si="167"/>
        <v>55.905820610687023</v>
      </c>
      <c r="M656" s="226">
        <v>110</v>
      </c>
      <c r="R656" s="914"/>
    </row>
    <row r="657" spans="1:18" s="178" customFormat="1" ht="16.5" hidden="1" customHeight="1" x14ac:dyDescent="0.25">
      <c r="A657" s="225" t="s">
        <v>2130</v>
      </c>
      <c r="B657" s="319" t="s">
        <v>2130</v>
      </c>
      <c r="C657" s="347">
        <v>418</v>
      </c>
      <c r="D657" s="656">
        <v>1</v>
      </c>
      <c r="E657" s="708" t="s">
        <v>2134</v>
      </c>
      <c r="F657" s="698">
        <v>24</v>
      </c>
      <c r="G657" s="213">
        <v>4192</v>
      </c>
      <c r="H657" s="232">
        <v>3417</v>
      </c>
      <c r="I657" s="232">
        <f t="shared" si="165"/>
        <v>19.56297709923664</v>
      </c>
      <c r="J657" s="863">
        <f t="shared" si="166"/>
        <v>43.56297709923664</v>
      </c>
      <c r="K657" s="864">
        <v>1.4</v>
      </c>
      <c r="L657" s="232">
        <f t="shared" si="167"/>
        <v>60.988167938931291</v>
      </c>
      <c r="M657" s="232">
        <v>100</v>
      </c>
      <c r="P657" s="178" t="s">
        <v>2408</v>
      </c>
      <c r="Q657" s="229">
        <v>45393</v>
      </c>
      <c r="R657" s="914">
        <f>+M657*36000</f>
        <v>3600000</v>
      </c>
    </row>
    <row r="658" spans="1:18" s="178" customFormat="1" hidden="1" x14ac:dyDescent="0.25">
      <c r="A658" s="225" t="s">
        <v>2130</v>
      </c>
      <c r="B658" s="319" t="s">
        <v>2130</v>
      </c>
      <c r="C658" s="347">
        <v>419</v>
      </c>
      <c r="D658" s="656">
        <v>2</v>
      </c>
      <c r="E658" s="708" t="s">
        <v>2134</v>
      </c>
      <c r="F658" s="698">
        <v>24</v>
      </c>
      <c r="G658" s="213">
        <v>4192</v>
      </c>
      <c r="H658" s="232">
        <v>3417</v>
      </c>
      <c r="I658" s="232">
        <f t="shared" si="165"/>
        <v>19.56297709923664</v>
      </c>
      <c r="J658" s="863">
        <f t="shared" si="166"/>
        <v>43.56297709923664</v>
      </c>
      <c r="K658" s="864">
        <v>1.4</v>
      </c>
      <c r="L658" s="232">
        <f t="shared" si="167"/>
        <v>60.988167938931291</v>
      </c>
      <c r="M658" s="232">
        <v>110</v>
      </c>
      <c r="P658" s="178" t="s">
        <v>2215</v>
      </c>
      <c r="Q658" s="229">
        <v>45374</v>
      </c>
      <c r="R658" s="914">
        <f>+M658*20000</f>
        <v>2200000</v>
      </c>
    </row>
    <row r="659" spans="1:18" s="178" customFormat="1" hidden="1" x14ac:dyDescent="0.25">
      <c r="A659" s="225" t="s">
        <v>2130</v>
      </c>
      <c r="B659" s="319" t="s">
        <v>2130</v>
      </c>
      <c r="C659" s="347">
        <v>420</v>
      </c>
      <c r="D659" s="656">
        <v>1</v>
      </c>
      <c r="E659" s="708" t="s">
        <v>2132</v>
      </c>
      <c r="F659" s="698">
        <v>24</v>
      </c>
      <c r="G659" s="213">
        <v>4192</v>
      </c>
      <c r="H659" s="232">
        <v>3417</v>
      </c>
      <c r="I659" s="232">
        <f t="shared" si="165"/>
        <v>19.56297709923664</v>
      </c>
      <c r="J659" s="863">
        <f t="shared" si="166"/>
        <v>43.56297709923664</v>
      </c>
      <c r="K659" s="864">
        <v>1.4</v>
      </c>
      <c r="L659" s="232">
        <f t="shared" si="167"/>
        <v>60.988167938931291</v>
      </c>
      <c r="M659" s="232">
        <v>100</v>
      </c>
      <c r="P659" s="178" t="s">
        <v>2408</v>
      </c>
      <c r="Q659" s="229">
        <v>45393</v>
      </c>
      <c r="R659" s="914">
        <f>+M659*36000</f>
        <v>3600000</v>
      </c>
    </row>
    <row r="660" spans="1:18" s="178" customFormat="1" hidden="1" x14ac:dyDescent="0.25">
      <c r="A660" s="225" t="s">
        <v>2130</v>
      </c>
      <c r="B660" s="319" t="s">
        <v>2130</v>
      </c>
      <c r="C660" s="347">
        <v>421</v>
      </c>
      <c r="D660" s="656">
        <v>2</v>
      </c>
      <c r="E660" s="708" t="s">
        <v>2132</v>
      </c>
      <c r="F660" s="698">
        <v>24</v>
      </c>
      <c r="G660" s="213">
        <v>4192</v>
      </c>
      <c r="H660" s="232">
        <v>3417</v>
      </c>
      <c r="I660" s="232">
        <f t="shared" si="165"/>
        <v>19.56297709923664</v>
      </c>
      <c r="J660" s="863">
        <f t="shared" si="166"/>
        <v>43.56297709923664</v>
      </c>
      <c r="K660" s="864">
        <v>1.4</v>
      </c>
      <c r="L660" s="232">
        <f t="shared" si="167"/>
        <v>60.988167938931291</v>
      </c>
      <c r="M660" s="232">
        <v>110</v>
      </c>
      <c r="P660" s="178" t="s">
        <v>2215</v>
      </c>
      <c r="Q660" s="229">
        <v>45374</v>
      </c>
      <c r="R660" s="914">
        <f>+M660*20000</f>
        <v>2200000</v>
      </c>
    </row>
    <row r="661" spans="1:18" s="178" customFormat="1" hidden="1" x14ac:dyDescent="0.25">
      <c r="A661" s="225" t="s">
        <v>2130</v>
      </c>
      <c r="B661" s="319" t="s">
        <v>2130</v>
      </c>
      <c r="C661" s="347">
        <v>422</v>
      </c>
      <c r="D661" s="656">
        <v>1</v>
      </c>
      <c r="E661" s="711" t="s">
        <v>2133</v>
      </c>
      <c r="F661" s="880">
        <v>23</v>
      </c>
      <c r="G661" s="804">
        <v>4192</v>
      </c>
      <c r="H661" s="713">
        <v>3417</v>
      </c>
      <c r="I661" s="713">
        <f t="shared" si="165"/>
        <v>18.747853053435115</v>
      </c>
      <c r="J661" s="860">
        <f t="shared" si="166"/>
        <v>41.747853053435115</v>
      </c>
      <c r="K661" s="861">
        <v>1.4</v>
      </c>
      <c r="L661" s="713">
        <f t="shared" si="167"/>
        <v>58.446994274809157</v>
      </c>
      <c r="M661" s="713">
        <v>110</v>
      </c>
      <c r="P661" s="178" t="s">
        <v>1823</v>
      </c>
      <c r="R661" s="914"/>
    </row>
    <row r="662" spans="1:18" s="178" customFormat="1" hidden="1" x14ac:dyDescent="0.25">
      <c r="A662" s="225" t="s">
        <v>2130</v>
      </c>
      <c r="B662" s="319" t="s">
        <v>2130</v>
      </c>
      <c r="C662" s="347">
        <v>423</v>
      </c>
      <c r="D662" s="656">
        <v>2</v>
      </c>
      <c r="E662" s="708" t="s">
        <v>2133</v>
      </c>
      <c r="F662" s="698">
        <v>23</v>
      </c>
      <c r="G662" s="213">
        <v>4192</v>
      </c>
      <c r="H662" s="232">
        <v>3417</v>
      </c>
      <c r="I662" s="232">
        <f t="shared" si="165"/>
        <v>18.747853053435115</v>
      </c>
      <c r="J662" s="863">
        <f t="shared" si="166"/>
        <v>41.747853053435115</v>
      </c>
      <c r="K662" s="864">
        <v>1.4</v>
      </c>
      <c r="L662" s="232">
        <f t="shared" si="167"/>
        <v>58.446994274809157</v>
      </c>
      <c r="M662" s="232">
        <v>110</v>
      </c>
      <c r="P662" s="178" t="s">
        <v>2215</v>
      </c>
      <c r="Q662" s="229">
        <v>45458</v>
      </c>
      <c r="R662" s="914">
        <f>+M662*14.5</f>
        <v>1595</v>
      </c>
    </row>
    <row r="663" spans="1:18" s="178" customFormat="1" x14ac:dyDescent="0.25">
      <c r="A663" s="225" t="s">
        <v>2135</v>
      </c>
      <c r="B663" s="319" t="s">
        <v>2135</v>
      </c>
      <c r="C663" s="347">
        <v>424</v>
      </c>
      <c r="D663" s="656">
        <v>50</v>
      </c>
      <c r="E663" s="628" t="s">
        <v>2136</v>
      </c>
      <c r="F663" s="175">
        <v>25</v>
      </c>
      <c r="G663" s="178">
        <v>4192</v>
      </c>
      <c r="H663" s="226">
        <v>3417</v>
      </c>
      <c r="I663" s="226">
        <f t="shared" si="165"/>
        <v>20.378101145038169</v>
      </c>
      <c r="J663" s="820">
        <f t="shared" si="166"/>
        <v>45.378101145038173</v>
      </c>
      <c r="K663" s="228">
        <v>1.4</v>
      </c>
      <c r="L663" s="226">
        <f t="shared" si="167"/>
        <v>63.529341603053439</v>
      </c>
      <c r="M663" s="226">
        <v>110</v>
      </c>
      <c r="R663" s="914"/>
    </row>
    <row r="664" spans="1:18" s="178" customFormat="1" x14ac:dyDescent="0.25">
      <c r="A664" s="225" t="s">
        <v>2135</v>
      </c>
      <c r="B664" s="319" t="s">
        <v>2135</v>
      </c>
      <c r="C664" s="347">
        <v>425</v>
      </c>
      <c r="D664" s="656">
        <v>52</v>
      </c>
      <c r="E664" s="628" t="s">
        <v>2136</v>
      </c>
      <c r="F664" s="175">
        <v>25</v>
      </c>
      <c r="G664" s="178">
        <v>4192</v>
      </c>
      <c r="H664" s="226">
        <v>3417</v>
      </c>
      <c r="I664" s="226">
        <f t="shared" si="165"/>
        <v>20.378101145038169</v>
      </c>
      <c r="J664" s="820">
        <f t="shared" si="166"/>
        <v>45.378101145038173</v>
      </c>
      <c r="K664" s="228">
        <v>1.4</v>
      </c>
      <c r="L664" s="226">
        <f t="shared" si="167"/>
        <v>63.529341603053439</v>
      </c>
      <c r="M664" s="226">
        <v>110</v>
      </c>
      <c r="R664" s="914"/>
    </row>
    <row r="665" spans="1:18" s="178" customFormat="1" hidden="1" x14ac:dyDescent="0.25">
      <c r="A665" s="225" t="s">
        <v>2135</v>
      </c>
      <c r="B665" s="319" t="s">
        <v>2135</v>
      </c>
      <c r="C665" s="347">
        <v>426</v>
      </c>
      <c r="D665" s="656">
        <v>54</v>
      </c>
      <c r="E665" s="708" t="s">
        <v>2136</v>
      </c>
      <c r="F665" s="698">
        <v>25</v>
      </c>
      <c r="G665" s="213">
        <v>4192</v>
      </c>
      <c r="H665" s="232">
        <v>3417</v>
      </c>
      <c r="I665" s="232">
        <f t="shared" si="165"/>
        <v>20.378101145038169</v>
      </c>
      <c r="J665" s="863">
        <f t="shared" si="166"/>
        <v>45.378101145038173</v>
      </c>
      <c r="K665" s="864">
        <v>1.4</v>
      </c>
      <c r="L665" s="232">
        <f t="shared" si="167"/>
        <v>63.529341603053439</v>
      </c>
      <c r="M665" s="232">
        <v>110</v>
      </c>
      <c r="P665" s="178" t="s">
        <v>12</v>
      </c>
      <c r="Q665" s="229">
        <v>45401</v>
      </c>
      <c r="R665" s="914">
        <f>+M665*36000</f>
        <v>3960000</v>
      </c>
    </row>
    <row r="666" spans="1:18" s="178" customFormat="1" x14ac:dyDescent="0.25">
      <c r="A666" s="225" t="s">
        <v>2135</v>
      </c>
      <c r="B666" s="319" t="s">
        <v>2135</v>
      </c>
      <c r="C666" s="347">
        <v>427</v>
      </c>
      <c r="D666" s="656">
        <v>56</v>
      </c>
      <c r="E666" s="628" t="s">
        <v>2136</v>
      </c>
      <c r="F666" s="175">
        <v>25</v>
      </c>
      <c r="G666" s="178">
        <v>4192</v>
      </c>
      <c r="H666" s="226">
        <v>3417</v>
      </c>
      <c r="I666" s="226">
        <f t="shared" si="165"/>
        <v>20.378101145038169</v>
      </c>
      <c r="J666" s="820">
        <f t="shared" si="166"/>
        <v>45.378101145038173</v>
      </c>
      <c r="K666" s="228">
        <v>1.4</v>
      </c>
      <c r="L666" s="226">
        <f t="shared" si="167"/>
        <v>63.529341603053439</v>
      </c>
      <c r="M666" s="226">
        <v>110</v>
      </c>
      <c r="R666" s="914"/>
    </row>
    <row r="667" spans="1:18" s="178" customFormat="1" hidden="1" x14ac:dyDescent="0.25">
      <c r="A667" s="225" t="s">
        <v>2135</v>
      </c>
      <c r="B667" s="319" t="s">
        <v>2135</v>
      </c>
      <c r="C667" s="347">
        <v>428</v>
      </c>
      <c r="D667" s="656">
        <v>50</v>
      </c>
      <c r="E667" s="708" t="s">
        <v>2137</v>
      </c>
      <c r="F667" s="698">
        <v>25</v>
      </c>
      <c r="G667" s="213">
        <v>4192</v>
      </c>
      <c r="H667" s="232">
        <v>3417</v>
      </c>
      <c r="I667" s="232">
        <f t="shared" si="165"/>
        <v>20.378101145038169</v>
      </c>
      <c r="J667" s="863">
        <f t="shared" si="166"/>
        <v>45.378101145038173</v>
      </c>
      <c r="K667" s="864">
        <v>1.4</v>
      </c>
      <c r="L667" s="232">
        <f t="shared" si="167"/>
        <v>63.529341603053439</v>
      </c>
      <c r="M667" s="232">
        <v>110</v>
      </c>
      <c r="P667" s="178" t="s">
        <v>2412</v>
      </c>
      <c r="Q667" s="229">
        <v>45398</v>
      </c>
      <c r="R667" s="914">
        <f>+M667*36000</f>
        <v>3960000</v>
      </c>
    </row>
    <row r="668" spans="1:18" s="178" customFormat="1" x14ac:dyDescent="0.25">
      <c r="A668" s="225" t="s">
        <v>2135</v>
      </c>
      <c r="B668" s="319" t="s">
        <v>2135</v>
      </c>
      <c r="C668" s="347">
        <v>429</v>
      </c>
      <c r="D668" s="656">
        <v>52</v>
      </c>
      <c r="E668" s="628" t="s">
        <v>2137</v>
      </c>
      <c r="F668" s="175">
        <v>25</v>
      </c>
      <c r="G668" s="178">
        <v>4192</v>
      </c>
      <c r="H668" s="226">
        <v>3417</v>
      </c>
      <c r="I668" s="226">
        <f t="shared" si="165"/>
        <v>20.378101145038169</v>
      </c>
      <c r="J668" s="820">
        <f t="shared" si="166"/>
        <v>45.378101145038173</v>
      </c>
      <c r="K668" s="228">
        <v>1.4</v>
      </c>
      <c r="L668" s="226">
        <f t="shared" si="167"/>
        <v>63.529341603053439</v>
      </c>
      <c r="M668" s="226">
        <v>110</v>
      </c>
      <c r="R668" s="914"/>
    </row>
    <row r="669" spans="1:18" s="178" customFormat="1" x14ac:dyDescent="0.25">
      <c r="A669" s="225" t="s">
        <v>2135</v>
      </c>
      <c r="B669" s="319" t="s">
        <v>2135</v>
      </c>
      <c r="C669" s="347">
        <v>430</v>
      </c>
      <c r="D669" s="656">
        <v>54</v>
      </c>
      <c r="E669" s="628" t="s">
        <v>2137</v>
      </c>
      <c r="F669" s="175">
        <v>25</v>
      </c>
      <c r="G669" s="178">
        <v>4192</v>
      </c>
      <c r="H669" s="226">
        <v>3417</v>
      </c>
      <c r="I669" s="226">
        <f t="shared" si="165"/>
        <v>20.378101145038169</v>
      </c>
      <c r="J669" s="820">
        <f t="shared" si="166"/>
        <v>45.378101145038173</v>
      </c>
      <c r="K669" s="228">
        <v>1.4</v>
      </c>
      <c r="L669" s="226">
        <f t="shared" si="167"/>
        <v>63.529341603053439</v>
      </c>
      <c r="M669" s="226">
        <v>110</v>
      </c>
      <c r="R669" s="914"/>
    </row>
    <row r="670" spans="1:18" s="178" customFormat="1" hidden="1" x14ac:dyDescent="0.25">
      <c r="A670" s="225" t="s">
        <v>2135</v>
      </c>
      <c r="B670" s="319" t="s">
        <v>2135</v>
      </c>
      <c r="C670" s="347">
        <v>431</v>
      </c>
      <c r="D670" s="656">
        <v>56</v>
      </c>
      <c r="E670" s="708" t="s">
        <v>2137</v>
      </c>
      <c r="F670" s="698">
        <v>25</v>
      </c>
      <c r="G670" s="213">
        <v>4192</v>
      </c>
      <c r="H670" s="232">
        <v>3417</v>
      </c>
      <c r="I670" s="232">
        <f t="shared" si="165"/>
        <v>20.378101145038169</v>
      </c>
      <c r="J670" s="863">
        <f t="shared" si="166"/>
        <v>45.378101145038173</v>
      </c>
      <c r="K670" s="864">
        <v>1.4</v>
      </c>
      <c r="L670" s="232">
        <f t="shared" si="167"/>
        <v>63.529341603053439</v>
      </c>
      <c r="M670" s="232">
        <v>110</v>
      </c>
      <c r="P670" s="178" t="s">
        <v>12</v>
      </c>
      <c r="Q670" s="229">
        <v>45405</v>
      </c>
      <c r="R670" s="914"/>
    </row>
    <row r="671" spans="1:18" s="178" customFormat="1" hidden="1" x14ac:dyDescent="0.25">
      <c r="A671" s="862" t="s">
        <v>587</v>
      </c>
      <c r="B671" s="319" t="s">
        <v>1684</v>
      </c>
      <c r="C671" s="347">
        <v>432</v>
      </c>
      <c r="D671" s="656">
        <v>44</v>
      </c>
      <c r="E671" s="708" t="s">
        <v>2138</v>
      </c>
      <c r="F671" s="698">
        <v>25</v>
      </c>
      <c r="G671" s="213">
        <v>4192</v>
      </c>
      <c r="H671" s="232">
        <v>3417</v>
      </c>
      <c r="I671" s="232">
        <f t="shared" si="165"/>
        <v>20.378101145038169</v>
      </c>
      <c r="J671" s="863">
        <f t="shared" si="166"/>
        <v>45.378101145038173</v>
      </c>
      <c r="K671" s="864">
        <v>1.4</v>
      </c>
      <c r="L671" s="232">
        <f t="shared" si="167"/>
        <v>63.529341603053439</v>
      </c>
      <c r="M671" s="232">
        <v>110</v>
      </c>
      <c r="P671" s="178" t="s">
        <v>2308</v>
      </c>
      <c r="Q671" s="229">
        <v>45384</v>
      </c>
      <c r="R671" s="914">
        <f>+M671*35000</f>
        <v>3850000</v>
      </c>
    </row>
    <row r="672" spans="1:18" s="178" customFormat="1" hidden="1" x14ac:dyDescent="0.25">
      <c r="A672" s="894" t="s">
        <v>587</v>
      </c>
      <c r="B672" s="319" t="s">
        <v>1684</v>
      </c>
      <c r="C672" s="347">
        <v>433</v>
      </c>
      <c r="D672" s="656">
        <v>46</v>
      </c>
      <c r="E672" s="708" t="s">
        <v>2138</v>
      </c>
      <c r="F672" s="698">
        <v>25</v>
      </c>
      <c r="G672" s="213">
        <v>4192</v>
      </c>
      <c r="H672" s="232">
        <v>3417</v>
      </c>
      <c r="I672" s="232">
        <f t="shared" si="165"/>
        <v>20.378101145038169</v>
      </c>
      <c r="J672" s="863">
        <f t="shared" si="166"/>
        <v>45.378101145038173</v>
      </c>
      <c r="K672" s="864">
        <v>1.4</v>
      </c>
      <c r="L672" s="232">
        <f t="shared" si="167"/>
        <v>63.529341603053439</v>
      </c>
      <c r="M672" s="232">
        <v>110</v>
      </c>
      <c r="P672" s="178" t="s">
        <v>12</v>
      </c>
      <c r="Q672" s="229">
        <v>45418</v>
      </c>
      <c r="R672" s="914">
        <f>+M672*14.5</f>
        <v>1595</v>
      </c>
    </row>
    <row r="673" spans="1:18" s="178" customFormat="1" hidden="1" x14ac:dyDescent="0.25">
      <c r="A673" s="862" t="s">
        <v>587</v>
      </c>
      <c r="B673" s="319" t="s">
        <v>1684</v>
      </c>
      <c r="C673" s="347">
        <v>434</v>
      </c>
      <c r="D673" s="656">
        <v>48</v>
      </c>
      <c r="E673" s="708" t="s">
        <v>2138</v>
      </c>
      <c r="F673" s="698">
        <v>25</v>
      </c>
      <c r="G673" s="213">
        <v>4192</v>
      </c>
      <c r="H673" s="232">
        <v>3417</v>
      </c>
      <c r="I673" s="232">
        <f t="shared" si="165"/>
        <v>20.378101145038169</v>
      </c>
      <c r="J673" s="863">
        <f t="shared" si="166"/>
        <v>45.378101145038173</v>
      </c>
      <c r="K673" s="864">
        <v>1.4</v>
      </c>
      <c r="L673" s="232">
        <f t="shared" si="167"/>
        <v>63.529341603053439</v>
      </c>
      <c r="M673" s="232">
        <v>110</v>
      </c>
      <c r="P673" s="178" t="s">
        <v>2309</v>
      </c>
      <c r="Q673" s="229">
        <v>45384</v>
      </c>
      <c r="R673" s="914">
        <f>+M673*35000</f>
        <v>3850000</v>
      </c>
    </row>
    <row r="674" spans="1:18" s="178" customFormat="1" hidden="1" x14ac:dyDescent="0.25">
      <c r="A674" s="862" t="s">
        <v>587</v>
      </c>
      <c r="B674" s="319" t="s">
        <v>1684</v>
      </c>
      <c r="C674" s="347">
        <v>435</v>
      </c>
      <c r="D674" s="656">
        <v>50</v>
      </c>
      <c r="E674" s="708" t="s">
        <v>2138</v>
      </c>
      <c r="F674" s="698">
        <v>25</v>
      </c>
      <c r="G674" s="213">
        <v>4192</v>
      </c>
      <c r="H674" s="232">
        <v>3417</v>
      </c>
      <c r="I674" s="232">
        <f t="shared" si="165"/>
        <v>20.378101145038169</v>
      </c>
      <c r="J674" s="863">
        <f t="shared" si="166"/>
        <v>45.378101145038173</v>
      </c>
      <c r="K674" s="864">
        <v>1.4</v>
      </c>
      <c r="L674" s="232">
        <f t="shared" si="167"/>
        <v>63.529341603053439</v>
      </c>
      <c r="M674" s="232">
        <v>110</v>
      </c>
      <c r="P674" s="178" t="s">
        <v>2409</v>
      </c>
      <c r="Q674" s="229">
        <v>45394</v>
      </c>
      <c r="R674" s="914">
        <f>+M674*36000</f>
        <v>3960000</v>
      </c>
    </row>
    <row r="675" spans="1:18" s="178" customFormat="1" hidden="1" x14ac:dyDescent="0.25">
      <c r="A675" s="862" t="s">
        <v>587</v>
      </c>
      <c r="B675" s="319" t="s">
        <v>1684</v>
      </c>
      <c r="C675" s="347">
        <v>436</v>
      </c>
      <c r="D675" s="656">
        <v>44</v>
      </c>
      <c r="E675" s="708" t="s">
        <v>2139</v>
      </c>
      <c r="F675" s="698">
        <v>25</v>
      </c>
      <c r="G675" s="213">
        <v>4192</v>
      </c>
      <c r="H675" s="232">
        <v>3417</v>
      </c>
      <c r="I675" s="232">
        <f t="shared" si="165"/>
        <v>20.378101145038169</v>
      </c>
      <c r="J675" s="863">
        <f t="shared" si="166"/>
        <v>45.378101145038173</v>
      </c>
      <c r="K675" s="864">
        <v>1.4</v>
      </c>
      <c r="L675" s="232">
        <f t="shared" si="167"/>
        <v>63.529341603053439</v>
      </c>
      <c r="M675" s="232">
        <v>110</v>
      </c>
      <c r="P675" s="178" t="s">
        <v>2312</v>
      </c>
      <c r="Q675" s="229">
        <v>45385</v>
      </c>
      <c r="R675" s="914">
        <f>+M675*35000</f>
        <v>3850000</v>
      </c>
    </row>
    <row r="676" spans="1:18" s="178" customFormat="1" hidden="1" x14ac:dyDescent="0.25">
      <c r="A676" s="862" t="s">
        <v>587</v>
      </c>
      <c r="B676" s="319" t="s">
        <v>1684</v>
      </c>
      <c r="C676" s="347">
        <v>437</v>
      </c>
      <c r="D676" s="656">
        <v>46</v>
      </c>
      <c r="E676" s="708" t="s">
        <v>2139</v>
      </c>
      <c r="F676" s="698">
        <v>25</v>
      </c>
      <c r="G676" s="213">
        <v>4192</v>
      </c>
      <c r="H676" s="232">
        <v>3417</v>
      </c>
      <c r="I676" s="232">
        <f t="shared" si="165"/>
        <v>20.378101145038169</v>
      </c>
      <c r="J676" s="863">
        <f t="shared" si="166"/>
        <v>45.378101145038173</v>
      </c>
      <c r="K676" s="864">
        <v>1.4</v>
      </c>
      <c r="L676" s="232">
        <f t="shared" si="167"/>
        <v>63.529341603053439</v>
      </c>
      <c r="M676" s="232">
        <v>110</v>
      </c>
      <c r="P676" s="178" t="s">
        <v>2222</v>
      </c>
      <c r="Q676" s="229">
        <v>45394</v>
      </c>
      <c r="R676" s="914">
        <f>+M676*36000</f>
        <v>3960000</v>
      </c>
    </row>
    <row r="677" spans="1:18" s="178" customFormat="1" x14ac:dyDescent="0.25">
      <c r="A677" s="894" t="s">
        <v>587</v>
      </c>
      <c r="B677" s="319" t="s">
        <v>1684</v>
      </c>
      <c r="C677" s="347">
        <v>438</v>
      </c>
      <c r="D677" s="656">
        <v>48</v>
      </c>
      <c r="E677" s="628" t="s">
        <v>2139</v>
      </c>
      <c r="F677" s="175">
        <v>25</v>
      </c>
      <c r="G677" s="178">
        <v>4192</v>
      </c>
      <c r="H677" s="226">
        <v>3417</v>
      </c>
      <c r="I677" s="226">
        <f t="shared" si="165"/>
        <v>20.378101145038169</v>
      </c>
      <c r="J677" s="820">
        <f t="shared" si="166"/>
        <v>45.378101145038173</v>
      </c>
      <c r="K677" s="228">
        <v>1.4</v>
      </c>
      <c r="L677" s="226">
        <f t="shared" si="167"/>
        <v>63.529341603053439</v>
      </c>
      <c r="M677" s="226">
        <v>110</v>
      </c>
      <c r="R677" s="914"/>
    </row>
    <row r="678" spans="1:18" s="178" customFormat="1" hidden="1" x14ac:dyDescent="0.25">
      <c r="A678" s="225" t="s">
        <v>587</v>
      </c>
      <c r="B678" s="319" t="s">
        <v>1684</v>
      </c>
      <c r="C678" s="347">
        <v>439</v>
      </c>
      <c r="D678" s="656">
        <v>50</v>
      </c>
      <c r="E678" s="708" t="s">
        <v>2139</v>
      </c>
      <c r="F678" s="698">
        <v>25</v>
      </c>
      <c r="G678" s="213">
        <v>4192</v>
      </c>
      <c r="H678" s="232">
        <v>3417</v>
      </c>
      <c r="I678" s="232">
        <f t="shared" si="165"/>
        <v>20.378101145038169</v>
      </c>
      <c r="J678" s="863">
        <f t="shared" si="166"/>
        <v>45.378101145038173</v>
      </c>
      <c r="K678" s="864">
        <v>1.4</v>
      </c>
      <c r="L678" s="232">
        <f t="shared" si="167"/>
        <v>63.529341603053439</v>
      </c>
      <c r="M678" s="232">
        <v>110</v>
      </c>
      <c r="P678" s="178" t="s">
        <v>2409</v>
      </c>
      <c r="Q678" s="229">
        <v>45394</v>
      </c>
      <c r="R678" s="914">
        <f>+M678*36000</f>
        <v>3960000</v>
      </c>
    </row>
    <row r="679" spans="1:18" s="178" customFormat="1" x14ac:dyDescent="0.25">
      <c r="A679" s="225" t="s">
        <v>1662</v>
      </c>
      <c r="B679" s="319" t="s">
        <v>2285</v>
      </c>
      <c r="C679" s="347">
        <v>440</v>
      </c>
      <c r="D679" s="656">
        <v>42</v>
      </c>
      <c r="E679" s="628" t="s">
        <v>2140</v>
      </c>
      <c r="F679" s="175">
        <v>18</v>
      </c>
      <c r="G679" s="178">
        <v>4192</v>
      </c>
      <c r="H679" s="226">
        <v>3417</v>
      </c>
      <c r="I679" s="226">
        <f t="shared" si="165"/>
        <v>14.672232824427482</v>
      </c>
      <c r="J679" s="820">
        <f t="shared" si="166"/>
        <v>32.672232824427482</v>
      </c>
      <c r="K679" s="228">
        <v>1.4</v>
      </c>
      <c r="L679" s="226">
        <f t="shared" si="167"/>
        <v>45.741125954198473</v>
      </c>
      <c r="M679" s="226">
        <v>75</v>
      </c>
      <c r="R679" s="914"/>
    </row>
    <row r="680" spans="1:18" s="178" customFormat="1" x14ac:dyDescent="0.25">
      <c r="A680" s="225" t="s">
        <v>1662</v>
      </c>
      <c r="B680" s="319" t="s">
        <v>2285</v>
      </c>
      <c r="C680" s="347">
        <v>441</v>
      </c>
      <c r="D680" s="656">
        <v>44</v>
      </c>
      <c r="E680" s="628" t="s">
        <v>2140</v>
      </c>
      <c r="F680" s="175">
        <v>18</v>
      </c>
      <c r="G680" s="178">
        <v>4192</v>
      </c>
      <c r="H680" s="226">
        <v>3417</v>
      </c>
      <c r="I680" s="226">
        <f t="shared" si="165"/>
        <v>14.672232824427482</v>
      </c>
      <c r="J680" s="820">
        <f t="shared" si="166"/>
        <v>32.672232824427482</v>
      </c>
      <c r="K680" s="228">
        <v>1.4</v>
      </c>
      <c r="L680" s="226">
        <f t="shared" si="167"/>
        <v>45.741125954198473</v>
      </c>
      <c r="M680" s="226">
        <v>75</v>
      </c>
      <c r="R680" s="914"/>
    </row>
    <row r="681" spans="1:18" s="178" customFormat="1" hidden="1" x14ac:dyDescent="0.25">
      <c r="A681" s="225" t="s">
        <v>1662</v>
      </c>
      <c r="B681" s="319" t="s">
        <v>2285</v>
      </c>
      <c r="C681" s="347">
        <v>442</v>
      </c>
      <c r="D681" s="656">
        <v>46</v>
      </c>
      <c r="E681" s="708" t="s">
        <v>2286</v>
      </c>
      <c r="F681" s="698">
        <v>18</v>
      </c>
      <c r="G681" s="213">
        <v>4192</v>
      </c>
      <c r="H681" s="232">
        <v>3417</v>
      </c>
      <c r="I681" s="232">
        <f t="shared" si="165"/>
        <v>14.672232824427482</v>
      </c>
      <c r="J681" s="863">
        <f t="shared" si="166"/>
        <v>32.672232824427482</v>
      </c>
      <c r="K681" s="864">
        <v>1.4</v>
      </c>
      <c r="L681" s="232">
        <f t="shared" si="167"/>
        <v>45.741125954198473</v>
      </c>
      <c r="M681" s="232">
        <v>85</v>
      </c>
      <c r="P681" s="178" t="s">
        <v>2287</v>
      </c>
      <c r="Q681" s="229">
        <v>45385</v>
      </c>
      <c r="R681" s="914">
        <f>+M681*30000</f>
        <v>2550000</v>
      </c>
    </row>
    <row r="682" spans="1:18" s="178" customFormat="1" hidden="1" x14ac:dyDescent="0.25">
      <c r="A682" s="225" t="s">
        <v>1662</v>
      </c>
      <c r="B682" s="319" t="s">
        <v>2285</v>
      </c>
      <c r="C682" s="347">
        <v>443</v>
      </c>
      <c r="D682" s="656">
        <v>48</v>
      </c>
      <c r="E682" s="708" t="s">
        <v>2140</v>
      </c>
      <c r="F682" s="698">
        <v>18</v>
      </c>
      <c r="G682" s="213">
        <v>4192</v>
      </c>
      <c r="H682" s="232">
        <v>3417</v>
      </c>
      <c r="I682" s="232">
        <f t="shared" si="165"/>
        <v>14.672232824427482</v>
      </c>
      <c r="J682" s="863">
        <f t="shared" si="166"/>
        <v>32.672232824427482</v>
      </c>
      <c r="K682" s="864">
        <v>1.4</v>
      </c>
      <c r="L682" s="232">
        <f t="shared" si="167"/>
        <v>45.741125954198473</v>
      </c>
      <c r="M682" s="232">
        <v>85</v>
      </c>
      <c r="P682" s="178" t="s">
        <v>2288</v>
      </c>
      <c r="Q682" s="229">
        <v>45385</v>
      </c>
      <c r="R682" s="914">
        <f>+M682*30000</f>
        <v>2550000</v>
      </c>
    </row>
    <row r="683" spans="1:18" s="178" customFormat="1" hidden="1" x14ac:dyDescent="0.25">
      <c r="A683" s="225" t="s">
        <v>1662</v>
      </c>
      <c r="B683" s="319" t="s">
        <v>2285</v>
      </c>
      <c r="C683" s="347">
        <v>444</v>
      </c>
      <c r="D683" s="656">
        <v>42</v>
      </c>
      <c r="E683" s="708" t="s">
        <v>2141</v>
      </c>
      <c r="F683" s="698">
        <v>18</v>
      </c>
      <c r="G683" s="213">
        <v>4192</v>
      </c>
      <c r="H683" s="232">
        <v>3417</v>
      </c>
      <c r="I683" s="232">
        <f t="shared" ref="I683:I702" si="168">+H683/G683*F683</f>
        <v>14.672232824427482</v>
      </c>
      <c r="J683" s="863">
        <f t="shared" ref="J683:J702" si="169">+F683+I683</f>
        <v>32.672232824427482</v>
      </c>
      <c r="K683" s="864">
        <v>1.4</v>
      </c>
      <c r="L683" s="232">
        <f t="shared" ref="L683:L702" si="170">+J683*K683</f>
        <v>45.741125954198473</v>
      </c>
      <c r="M683" s="232">
        <v>75</v>
      </c>
      <c r="P683" s="178" t="s">
        <v>1908</v>
      </c>
      <c r="Q683" s="229">
        <v>45379</v>
      </c>
      <c r="R683" s="914">
        <f>+M683*30000</f>
        <v>2250000</v>
      </c>
    </row>
    <row r="684" spans="1:18" s="178" customFormat="1" hidden="1" x14ac:dyDescent="0.25">
      <c r="A684" s="225" t="s">
        <v>1662</v>
      </c>
      <c r="B684" s="319" t="s">
        <v>2285</v>
      </c>
      <c r="C684" s="347">
        <v>445</v>
      </c>
      <c r="D684" s="656">
        <v>40</v>
      </c>
      <c r="E684" s="708" t="s">
        <v>2141</v>
      </c>
      <c r="F684" s="698">
        <v>18</v>
      </c>
      <c r="G684" s="213">
        <v>4192</v>
      </c>
      <c r="H684" s="232">
        <v>3417</v>
      </c>
      <c r="I684" s="232">
        <f t="shared" si="168"/>
        <v>14.672232824427482</v>
      </c>
      <c r="J684" s="863">
        <f t="shared" si="169"/>
        <v>32.672232824427482</v>
      </c>
      <c r="K684" s="864">
        <v>1.4</v>
      </c>
      <c r="L684" s="232">
        <f t="shared" si="170"/>
        <v>45.741125954198473</v>
      </c>
      <c r="M684" s="232">
        <v>75</v>
      </c>
      <c r="P684" s="178" t="s">
        <v>2311</v>
      </c>
      <c r="Q684" s="229">
        <v>45385</v>
      </c>
      <c r="R684" s="914">
        <f>+M684*35000</f>
        <v>2625000</v>
      </c>
    </row>
    <row r="685" spans="1:18" s="178" customFormat="1" hidden="1" x14ac:dyDescent="0.25">
      <c r="A685" s="225" t="s">
        <v>1662</v>
      </c>
      <c r="B685" s="319" t="s">
        <v>2285</v>
      </c>
      <c r="C685" s="347">
        <v>446</v>
      </c>
      <c r="D685" s="656">
        <v>44</v>
      </c>
      <c r="E685" s="708" t="s">
        <v>2141</v>
      </c>
      <c r="F685" s="698">
        <v>18</v>
      </c>
      <c r="G685" s="213">
        <v>4192</v>
      </c>
      <c r="H685" s="232">
        <v>3417</v>
      </c>
      <c r="I685" s="232">
        <f t="shared" si="168"/>
        <v>14.672232824427482</v>
      </c>
      <c r="J685" s="863">
        <f t="shared" si="169"/>
        <v>32.672232824427482</v>
      </c>
      <c r="K685" s="864">
        <v>1.4</v>
      </c>
      <c r="L685" s="232">
        <f t="shared" si="170"/>
        <v>45.741125954198473</v>
      </c>
      <c r="M685" s="232">
        <v>75</v>
      </c>
      <c r="P685" s="178" t="s">
        <v>1100</v>
      </c>
      <c r="Q685" s="229">
        <v>45393</v>
      </c>
      <c r="R685" s="914">
        <f>+M685*30000</f>
        <v>2250000</v>
      </c>
    </row>
    <row r="686" spans="1:18" s="178" customFormat="1" hidden="1" x14ac:dyDescent="0.25">
      <c r="A686" s="225" t="s">
        <v>1662</v>
      </c>
      <c r="B686" s="319" t="s">
        <v>2285</v>
      </c>
      <c r="C686" s="347">
        <v>447</v>
      </c>
      <c r="D686" s="656">
        <v>46</v>
      </c>
      <c r="E686" s="708" t="s">
        <v>2141</v>
      </c>
      <c r="F686" s="698">
        <v>18</v>
      </c>
      <c r="G686" s="213">
        <v>4192</v>
      </c>
      <c r="H686" s="232">
        <v>3417</v>
      </c>
      <c r="I686" s="232">
        <f t="shared" si="168"/>
        <v>14.672232824427482</v>
      </c>
      <c r="J686" s="863">
        <f t="shared" si="169"/>
        <v>32.672232824427482</v>
      </c>
      <c r="K686" s="864">
        <v>1.4</v>
      </c>
      <c r="L686" s="232">
        <f t="shared" si="170"/>
        <v>45.741125954198473</v>
      </c>
      <c r="M686" s="232">
        <v>75</v>
      </c>
      <c r="P686" s="178" t="s">
        <v>2405</v>
      </c>
      <c r="Q686" s="229">
        <v>45399</v>
      </c>
      <c r="R686" s="914">
        <f>+M686*30000</f>
        <v>2250000</v>
      </c>
    </row>
    <row r="687" spans="1:18" s="178" customFormat="1" hidden="1" x14ac:dyDescent="0.25">
      <c r="A687" s="225" t="s">
        <v>2142</v>
      </c>
      <c r="B687" s="319" t="s">
        <v>2142</v>
      </c>
      <c r="C687" s="347">
        <v>448</v>
      </c>
      <c r="D687" s="656">
        <v>42</v>
      </c>
      <c r="E687" s="708" t="s">
        <v>2143</v>
      </c>
      <c r="F687" s="698">
        <v>50</v>
      </c>
      <c r="G687" s="213">
        <v>4192</v>
      </c>
      <c r="H687" s="232">
        <v>3417</v>
      </c>
      <c r="I687" s="232">
        <f t="shared" si="168"/>
        <v>40.756202290076338</v>
      </c>
      <c r="J687" s="863">
        <f t="shared" si="169"/>
        <v>90.756202290076345</v>
      </c>
      <c r="K687" s="864">
        <v>1.4</v>
      </c>
      <c r="L687" s="232">
        <f t="shared" si="170"/>
        <v>127.05868320610688</v>
      </c>
      <c r="M687" s="232">
        <v>150</v>
      </c>
      <c r="P687" s="178" t="s">
        <v>12</v>
      </c>
      <c r="Q687" s="229">
        <v>45395</v>
      </c>
      <c r="R687" s="914">
        <f>+M687*36000</f>
        <v>5400000</v>
      </c>
    </row>
    <row r="688" spans="1:18" s="178" customFormat="1" hidden="1" x14ac:dyDescent="0.25">
      <c r="A688" s="894" t="s">
        <v>2142</v>
      </c>
      <c r="B688" s="319" t="s">
        <v>2142</v>
      </c>
      <c r="C688" s="347">
        <v>449</v>
      </c>
      <c r="D688" s="656">
        <v>44</v>
      </c>
      <c r="E688" s="708" t="s">
        <v>2143</v>
      </c>
      <c r="F688" s="698">
        <v>50</v>
      </c>
      <c r="G688" s="213">
        <v>4192</v>
      </c>
      <c r="H688" s="232">
        <v>3417</v>
      </c>
      <c r="I688" s="232">
        <f t="shared" si="168"/>
        <v>40.756202290076338</v>
      </c>
      <c r="J688" s="863">
        <f t="shared" si="169"/>
        <v>90.756202290076345</v>
      </c>
      <c r="K688" s="864">
        <v>1.4</v>
      </c>
      <c r="L688" s="232">
        <f t="shared" si="170"/>
        <v>127.05868320610688</v>
      </c>
      <c r="M688" s="232">
        <v>150</v>
      </c>
      <c r="P688" s="178" t="s">
        <v>2955</v>
      </c>
      <c r="Q688" s="229">
        <v>45476</v>
      </c>
      <c r="R688" s="914"/>
    </row>
    <row r="689" spans="1:18" s="178" customFormat="1" hidden="1" x14ac:dyDescent="0.25">
      <c r="A689" s="225" t="s">
        <v>2142</v>
      </c>
      <c r="B689" s="319" t="s">
        <v>2142</v>
      </c>
      <c r="C689" s="347">
        <v>450</v>
      </c>
      <c r="D689" s="656">
        <v>46</v>
      </c>
      <c r="E689" s="708" t="s">
        <v>2143</v>
      </c>
      <c r="F689" s="698">
        <v>50</v>
      </c>
      <c r="G689" s="213">
        <v>4192</v>
      </c>
      <c r="H689" s="232">
        <v>3417</v>
      </c>
      <c r="I689" s="232">
        <f t="shared" si="168"/>
        <v>40.756202290076338</v>
      </c>
      <c r="J689" s="863">
        <f t="shared" si="169"/>
        <v>90.756202290076345</v>
      </c>
      <c r="K689" s="864">
        <v>1.4</v>
      </c>
      <c r="L689" s="232">
        <f t="shared" si="170"/>
        <v>127.05868320610688</v>
      </c>
      <c r="M689" s="232">
        <v>145</v>
      </c>
      <c r="P689" s="178" t="s">
        <v>568</v>
      </c>
      <c r="Q689" s="229">
        <v>45388</v>
      </c>
      <c r="R689" s="914">
        <f>+M689*36000</f>
        <v>5220000</v>
      </c>
    </row>
    <row r="690" spans="1:18" s="178" customFormat="1" hidden="1" x14ac:dyDescent="0.25">
      <c r="A690" s="225" t="s">
        <v>2142</v>
      </c>
      <c r="B690" s="319" t="s">
        <v>2142</v>
      </c>
      <c r="C690" s="347">
        <v>451</v>
      </c>
      <c r="D690" s="656">
        <v>48</v>
      </c>
      <c r="E690" s="711" t="s">
        <v>2143</v>
      </c>
      <c r="F690" s="880">
        <v>50</v>
      </c>
      <c r="G690" s="804">
        <v>4192</v>
      </c>
      <c r="H690" s="713">
        <v>3417</v>
      </c>
      <c r="I690" s="713">
        <f t="shared" si="168"/>
        <v>40.756202290076338</v>
      </c>
      <c r="J690" s="860">
        <f t="shared" si="169"/>
        <v>90.756202290076345</v>
      </c>
      <c r="K690" s="861">
        <v>1.4</v>
      </c>
      <c r="L690" s="713">
        <f t="shared" si="170"/>
        <v>127.05868320610688</v>
      </c>
      <c r="M690" s="713">
        <v>150</v>
      </c>
      <c r="P690" s="178" t="s">
        <v>1823</v>
      </c>
      <c r="R690" s="914"/>
    </row>
    <row r="691" spans="1:18" s="178" customFormat="1" x14ac:dyDescent="0.25">
      <c r="A691" s="225" t="s">
        <v>2142</v>
      </c>
      <c r="B691" s="319" t="s">
        <v>2142</v>
      </c>
      <c r="C691" s="347">
        <v>452</v>
      </c>
      <c r="D691" s="656">
        <v>42</v>
      </c>
      <c r="E691" s="628" t="s">
        <v>2144</v>
      </c>
      <c r="F691" s="175">
        <v>50</v>
      </c>
      <c r="G691" s="178">
        <v>4192</v>
      </c>
      <c r="H691" s="226">
        <v>3417</v>
      </c>
      <c r="I691" s="226">
        <f t="shared" si="168"/>
        <v>40.756202290076338</v>
      </c>
      <c r="J691" s="820">
        <f t="shared" si="169"/>
        <v>90.756202290076345</v>
      </c>
      <c r="K691" s="228">
        <v>1.4</v>
      </c>
      <c r="L691" s="226">
        <f t="shared" si="170"/>
        <v>127.05868320610688</v>
      </c>
      <c r="M691" s="226">
        <v>150</v>
      </c>
      <c r="R691" s="914"/>
    </row>
    <row r="692" spans="1:18" s="178" customFormat="1" x14ac:dyDescent="0.25">
      <c r="A692" s="225" t="s">
        <v>2142</v>
      </c>
      <c r="B692" s="319" t="s">
        <v>2142</v>
      </c>
      <c r="C692" s="347">
        <v>453</v>
      </c>
      <c r="D692" s="656">
        <v>44</v>
      </c>
      <c r="E692" s="628" t="s">
        <v>2144</v>
      </c>
      <c r="F692" s="175">
        <v>50</v>
      </c>
      <c r="G692" s="178">
        <v>4192</v>
      </c>
      <c r="H692" s="226">
        <v>3417</v>
      </c>
      <c r="I692" s="226">
        <f t="shared" si="168"/>
        <v>40.756202290076338</v>
      </c>
      <c r="J692" s="820">
        <f t="shared" si="169"/>
        <v>90.756202290076345</v>
      </c>
      <c r="K692" s="228">
        <v>1.4</v>
      </c>
      <c r="L692" s="226">
        <f t="shared" si="170"/>
        <v>127.05868320610688</v>
      </c>
      <c r="M692" s="226">
        <v>150</v>
      </c>
      <c r="R692" s="914"/>
    </row>
    <row r="693" spans="1:18" s="178" customFormat="1" hidden="1" x14ac:dyDescent="0.25">
      <c r="A693" s="225" t="s">
        <v>2142</v>
      </c>
      <c r="B693" s="319" t="s">
        <v>2142</v>
      </c>
      <c r="C693" s="347">
        <v>454</v>
      </c>
      <c r="D693" s="656">
        <v>46</v>
      </c>
      <c r="E693" s="708" t="s">
        <v>2144</v>
      </c>
      <c r="F693" s="698">
        <v>50</v>
      </c>
      <c r="G693" s="213">
        <v>4192</v>
      </c>
      <c r="H693" s="232">
        <v>3417</v>
      </c>
      <c r="I693" s="232">
        <f t="shared" si="168"/>
        <v>40.756202290076338</v>
      </c>
      <c r="J693" s="863">
        <f t="shared" si="169"/>
        <v>90.756202290076345</v>
      </c>
      <c r="K693" s="864">
        <v>1.4</v>
      </c>
      <c r="L693" s="232">
        <f t="shared" si="170"/>
        <v>127.05868320610688</v>
      </c>
      <c r="M693" s="232">
        <v>150</v>
      </c>
      <c r="P693" s="178" t="s">
        <v>12</v>
      </c>
      <c r="Q693" s="178">
        <f>+M693*14.5</f>
        <v>2175</v>
      </c>
      <c r="R693" s="914"/>
    </row>
    <row r="694" spans="1:18" s="178" customFormat="1" hidden="1" x14ac:dyDescent="0.25">
      <c r="A694" s="225" t="s">
        <v>2142</v>
      </c>
      <c r="B694" s="319" t="s">
        <v>2142</v>
      </c>
      <c r="C694" s="347">
        <v>455</v>
      </c>
      <c r="D694" s="656">
        <v>48</v>
      </c>
      <c r="E694" s="708" t="s">
        <v>2144</v>
      </c>
      <c r="F694" s="698">
        <v>50</v>
      </c>
      <c r="G694" s="213">
        <v>4192</v>
      </c>
      <c r="H694" s="232">
        <v>3417</v>
      </c>
      <c r="I694" s="232">
        <f t="shared" si="168"/>
        <v>40.756202290076338</v>
      </c>
      <c r="J694" s="863">
        <f t="shared" si="169"/>
        <v>90.756202290076345</v>
      </c>
      <c r="K694" s="864">
        <v>1.4</v>
      </c>
      <c r="L694" s="232">
        <f t="shared" si="170"/>
        <v>127.05868320610688</v>
      </c>
      <c r="M694" s="232">
        <v>150</v>
      </c>
      <c r="P694" s="178" t="s">
        <v>2497</v>
      </c>
      <c r="Q694" s="229">
        <v>45405</v>
      </c>
      <c r="R694" s="914">
        <f>+M694*36000</f>
        <v>5400000</v>
      </c>
    </row>
    <row r="695" spans="1:18" s="178" customFormat="1" hidden="1" x14ac:dyDescent="0.25">
      <c r="A695" s="225" t="s">
        <v>1041</v>
      </c>
      <c r="B695" s="319" t="s">
        <v>1041</v>
      </c>
      <c r="C695" s="347">
        <v>456</v>
      </c>
      <c r="D695" s="656">
        <v>42</v>
      </c>
      <c r="E695" s="708" t="s">
        <v>2145</v>
      </c>
      <c r="F695" s="698">
        <v>55</v>
      </c>
      <c r="G695" s="213">
        <v>4192</v>
      </c>
      <c r="H695" s="232">
        <v>3417</v>
      </c>
      <c r="I695" s="232">
        <f t="shared" si="168"/>
        <v>44.831822519083971</v>
      </c>
      <c r="J695" s="863">
        <f t="shared" si="169"/>
        <v>99.831822519083971</v>
      </c>
      <c r="K695" s="864">
        <v>1.4</v>
      </c>
      <c r="L695" s="232">
        <f t="shared" si="170"/>
        <v>139.76455152671755</v>
      </c>
      <c r="M695" s="232">
        <v>150</v>
      </c>
      <c r="P695" s="178" t="s">
        <v>2305</v>
      </c>
      <c r="Q695" s="229">
        <v>45384</v>
      </c>
      <c r="R695" s="914">
        <f>+M695*35000</f>
        <v>5250000</v>
      </c>
    </row>
    <row r="696" spans="1:18" s="178" customFormat="1" x14ac:dyDescent="0.25">
      <c r="A696" s="894" t="s">
        <v>1041</v>
      </c>
      <c r="B696" s="319" t="s">
        <v>1041</v>
      </c>
      <c r="C696" s="347">
        <v>457</v>
      </c>
      <c r="D696" s="656">
        <v>44</v>
      </c>
      <c r="E696" s="628" t="s">
        <v>2145</v>
      </c>
      <c r="F696" s="175">
        <v>55</v>
      </c>
      <c r="G696" s="178">
        <v>4192</v>
      </c>
      <c r="H696" s="226">
        <v>3417</v>
      </c>
      <c r="I696" s="226">
        <f t="shared" si="168"/>
        <v>44.831822519083971</v>
      </c>
      <c r="J696" s="820">
        <f t="shared" si="169"/>
        <v>99.831822519083971</v>
      </c>
      <c r="K696" s="228">
        <v>1.4</v>
      </c>
      <c r="L696" s="226">
        <f t="shared" si="170"/>
        <v>139.76455152671755</v>
      </c>
      <c r="M696" s="226">
        <v>150</v>
      </c>
      <c r="R696" s="914"/>
    </row>
    <row r="697" spans="1:18" s="178" customFormat="1" hidden="1" x14ac:dyDescent="0.25">
      <c r="A697" s="225" t="s">
        <v>1041</v>
      </c>
      <c r="B697" s="319" t="s">
        <v>1041</v>
      </c>
      <c r="C697" s="347">
        <v>458</v>
      </c>
      <c r="D697" s="656">
        <v>46</v>
      </c>
      <c r="E697" s="708" t="s">
        <v>2145</v>
      </c>
      <c r="F697" s="698">
        <v>55</v>
      </c>
      <c r="G697" s="213">
        <v>4192</v>
      </c>
      <c r="H697" s="232">
        <v>3417</v>
      </c>
      <c r="I697" s="232">
        <f t="shared" si="168"/>
        <v>44.831822519083971</v>
      </c>
      <c r="J697" s="863">
        <f t="shared" si="169"/>
        <v>99.831822519083971</v>
      </c>
      <c r="K697" s="864">
        <v>1.4</v>
      </c>
      <c r="L697" s="232">
        <f t="shared" si="170"/>
        <v>139.76455152671755</v>
      </c>
      <c r="M697" s="232">
        <v>150</v>
      </c>
      <c r="P697" s="178" t="s">
        <v>12</v>
      </c>
      <c r="Q697" s="229">
        <v>45378</v>
      </c>
      <c r="R697" s="914">
        <f>+M697*30000</f>
        <v>4500000</v>
      </c>
    </row>
    <row r="698" spans="1:18" s="178" customFormat="1" hidden="1" x14ac:dyDescent="0.25">
      <c r="A698" s="225" t="s">
        <v>1041</v>
      </c>
      <c r="B698" s="319" t="s">
        <v>1041</v>
      </c>
      <c r="C698" s="347">
        <v>459</v>
      </c>
      <c r="D698" s="656">
        <v>48</v>
      </c>
      <c r="E698" s="708" t="s">
        <v>2145</v>
      </c>
      <c r="F698" s="698">
        <v>55</v>
      </c>
      <c r="G698" s="213">
        <v>4192</v>
      </c>
      <c r="H698" s="232">
        <v>3417</v>
      </c>
      <c r="I698" s="232">
        <f t="shared" si="168"/>
        <v>44.831822519083971</v>
      </c>
      <c r="J698" s="863">
        <f t="shared" si="169"/>
        <v>99.831822519083971</v>
      </c>
      <c r="K698" s="864">
        <v>1.4</v>
      </c>
      <c r="L698" s="232">
        <f t="shared" si="170"/>
        <v>139.76455152671755</v>
      </c>
      <c r="M698" s="232">
        <v>150</v>
      </c>
      <c r="P698" s="178" t="s">
        <v>2265</v>
      </c>
      <c r="Q698" s="229">
        <v>45381</v>
      </c>
      <c r="R698" s="914">
        <f>+M698*30000</f>
        <v>4500000</v>
      </c>
    </row>
    <row r="699" spans="1:18" s="178" customFormat="1" hidden="1" x14ac:dyDescent="0.25">
      <c r="A699" s="225" t="s">
        <v>2150</v>
      </c>
      <c r="B699" s="319" t="s">
        <v>2294</v>
      </c>
      <c r="C699" s="347">
        <v>460</v>
      </c>
      <c r="D699" s="656">
        <v>42</v>
      </c>
      <c r="E699" s="708" t="s">
        <v>2151</v>
      </c>
      <c r="F699" s="698">
        <v>32</v>
      </c>
      <c r="G699" s="213">
        <v>4192</v>
      </c>
      <c r="H699" s="232">
        <v>3417</v>
      </c>
      <c r="I699" s="232">
        <f t="shared" si="168"/>
        <v>26.083969465648856</v>
      </c>
      <c r="J699" s="863">
        <f t="shared" si="169"/>
        <v>58.083969465648856</v>
      </c>
      <c r="K699" s="864">
        <v>1.4</v>
      </c>
      <c r="L699" s="232">
        <f t="shared" si="170"/>
        <v>81.317557251908397</v>
      </c>
      <c r="M699" s="232">
        <v>110</v>
      </c>
      <c r="P699" s="178" t="s">
        <v>2463</v>
      </c>
      <c r="Q699" s="229">
        <v>45404</v>
      </c>
      <c r="R699" s="914"/>
    </row>
    <row r="700" spans="1:18" s="178" customFormat="1" hidden="1" x14ac:dyDescent="0.25">
      <c r="A700" s="225" t="s">
        <v>2150</v>
      </c>
      <c r="B700" s="319" t="s">
        <v>2294</v>
      </c>
      <c r="C700" s="347">
        <v>461</v>
      </c>
      <c r="D700" s="656">
        <v>44</v>
      </c>
      <c r="E700" s="708" t="s">
        <v>2151</v>
      </c>
      <c r="F700" s="698">
        <v>32</v>
      </c>
      <c r="G700" s="213">
        <v>4192</v>
      </c>
      <c r="H700" s="232">
        <v>3417</v>
      </c>
      <c r="I700" s="232">
        <f t="shared" si="168"/>
        <v>26.083969465648856</v>
      </c>
      <c r="J700" s="863">
        <f t="shared" si="169"/>
        <v>58.083969465648856</v>
      </c>
      <c r="K700" s="864">
        <v>1.4</v>
      </c>
      <c r="L700" s="232">
        <f t="shared" si="170"/>
        <v>81.317557251908397</v>
      </c>
      <c r="M700" s="232">
        <v>105</v>
      </c>
      <c r="P700" s="178" t="s">
        <v>12</v>
      </c>
      <c r="Q700" s="229">
        <v>45421</v>
      </c>
      <c r="R700" s="914">
        <f>+M700*14.5</f>
        <v>1522.5</v>
      </c>
    </row>
    <row r="701" spans="1:18" s="178" customFormat="1" hidden="1" x14ac:dyDescent="0.25">
      <c r="A701" s="894" t="s">
        <v>2150</v>
      </c>
      <c r="B701" s="319" t="s">
        <v>2294</v>
      </c>
      <c r="C701" s="347">
        <v>462</v>
      </c>
      <c r="D701" s="656">
        <v>46</v>
      </c>
      <c r="E701" s="708" t="s">
        <v>2151</v>
      </c>
      <c r="F701" s="698">
        <v>32</v>
      </c>
      <c r="G701" s="213">
        <v>4192</v>
      </c>
      <c r="H701" s="232">
        <v>3417</v>
      </c>
      <c r="I701" s="232">
        <f t="shared" si="168"/>
        <v>26.083969465648856</v>
      </c>
      <c r="J701" s="863">
        <f t="shared" si="169"/>
        <v>58.083969465648856</v>
      </c>
      <c r="K701" s="864">
        <v>1.4</v>
      </c>
      <c r="L701" s="232">
        <f t="shared" si="170"/>
        <v>81.317557251908397</v>
      </c>
      <c r="M701" s="232">
        <v>110</v>
      </c>
      <c r="P701" s="178" t="s">
        <v>12</v>
      </c>
      <c r="Q701" s="229">
        <v>45426</v>
      </c>
      <c r="R701" s="914"/>
    </row>
    <row r="702" spans="1:18" s="178" customFormat="1" hidden="1" x14ac:dyDescent="0.25">
      <c r="A702" s="225" t="s">
        <v>2150</v>
      </c>
      <c r="B702" s="319" t="s">
        <v>2294</v>
      </c>
      <c r="C702" s="347">
        <v>463</v>
      </c>
      <c r="D702" s="656">
        <v>48</v>
      </c>
      <c r="E702" s="708" t="s">
        <v>2151</v>
      </c>
      <c r="F702" s="698">
        <v>32</v>
      </c>
      <c r="G702" s="213">
        <v>4192</v>
      </c>
      <c r="H702" s="232">
        <v>3417</v>
      </c>
      <c r="I702" s="232">
        <f t="shared" si="168"/>
        <v>26.083969465648856</v>
      </c>
      <c r="J702" s="863">
        <f t="shared" si="169"/>
        <v>58.083969465648856</v>
      </c>
      <c r="K702" s="864">
        <v>1.4</v>
      </c>
      <c r="L702" s="232">
        <f t="shared" si="170"/>
        <v>81.317557251908397</v>
      </c>
      <c r="M702" s="232">
        <v>110</v>
      </c>
      <c r="P702" s="178" t="s">
        <v>486</v>
      </c>
      <c r="Q702" s="229">
        <v>45418</v>
      </c>
      <c r="R702" s="914">
        <f>+M702*14.5</f>
        <v>1595</v>
      </c>
    </row>
    <row r="703" spans="1:18" s="178" customFormat="1" x14ac:dyDescent="0.25">
      <c r="B703" s="318" t="s">
        <v>2380</v>
      </c>
      <c r="R703" s="914"/>
    </row>
    <row r="704" spans="1:18" s="178" customFormat="1" x14ac:dyDescent="0.25">
      <c r="A704" s="225" t="s">
        <v>259</v>
      </c>
      <c r="B704" s="319" t="s">
        <v>1440</v>
      </c>
      <c r="C704" s="347">
        <v>464</v>
      </c>
      <c r="D704" s="656"/>
      <c r="E704" s="628" t="s">
        <v>2316</v>
      </c>
      <c r="F704" s="226">
        <v>27</v>
      </c>
      <c r="G704" s="178">
        <v>872</v>
      </c>
      <c r="H704" s="226">
        <f>872+38+272</f>
        <v>1182</v>
      </c>
      <c r="I704" s="820">
        <f>+F704/G704*H704</f>
        <v>36.598623853211009</v>
      </c>
      <c r="J704" s="820">
        <f>+I704+F704</f>
        <v>63.598623853211009</v>
      </c>
      <c r="K704" s="228">
        <v>0.4</v>
      </c>
      <c r="L704" s="226">
        <f>+J704*1.4</f>
        <v>89.038073394495413</v>
      </c>
      <c r="M704" s="226">
        <v>110</v>
      </c>
      <c r="R704" s="914"/>
    </row>
    <row r="705" spans="1:18" s="178" customFormat="1" x14ac:dyDescent="0.25">
      <c r="A705" s="225" t="s">
        <v>259</v>
      </c>
      <c r="B705" s="319" t="s">
        <v>1440</v>
      </c>
      <c r="C705" s="347">
        <v>465</v>
      </c>
      <c r="D705" s="656"/>
      <c r="E705" s="628" t="s">
        <v>2316</v>
      </c>
      <c r="F705" s="226">
        <v>27</v>
      </c>
      <c r="G705" s="178">
        <v>872</v>
      </c>
      <c r="H705" s="226">
        <f t="shared" ref="H705:H727" si="171">872+38+272</f>
        <v>1182</v>
      </c>
      <c r="I705" s="820">
        <f t="shared" ref="I705:I727" si="172">+F705/G705*H705</f>
        <v>36.598623853211009</v>
      </c>
      <c r="J705" s="820">
        <f t="shared" ref="J705:J727" si="173">+I705+F705</f>
        <v>63.598623853211009</v>
      </c>
      <c r="K705" s="228">
        <v>0.4</v>
      </c>
      <c r="L705" s="226">
        <f t="shared" ref="L705:L727" si="174">+J705*1.4</f>
        <v>89.038073394495413</v>
      </c>
      <c r="M705" s="226">
        <v>110</v>
      </c>
      <c r="R705" s="914"/>
    </row>
    <row r="706" spans="1:18" s="178" customFormat="1" x14ac:dyDescent="0.25">
      <c r="A706" s="225" t="s">
        <v>259</v>
      </c>
      <c r="B706" s="319" t="s">
        <v>1440</v>
      </c>
      <c r="C706" s="347">
        <v>466</v>
      </c>
      <c r="D706" s="656"/>
      <c r="E706" s="628" t="s">
        <v>2316</v>
      </c>
      <c r="F706" s="226">
        <v>27</v>
      </c>
      <c r="G706" s="178">
        <v>872</v>
      </c>
      <c r="H706" s="226">
        <f t="shared" si="171"/>
        <v>1182</v>
      </c>
      <c r="I706" s="820">
        <f t="shared" si="172"/>
        <v>36.598623853211009</v>
      </c>
      <c r="J706" s="820">
        <f t="shared" si="173"/>
        <v>63.598623853211009</v>
      </c>
      <c r="K706" s="228">
        <v>0.4</v>
      </c>
      <c r="L706" s="226">
        <f t="shared" si="174"/>
        <v>89.038073394495413</v>
      </c>
      <c r="M706" s="226">
        <v>110</v>
      </c>
      <c r="R706" s="914"/>
    </row>
    <row r="707" spans="1:18" s="178" customFormat="1" x14ac:dyDescent="0.25">
      <c r="A707" s="225" t="s">
        <v>259</v>
      </c>
      <c r="B707" s="319" t="s">
        <v>1440</v>
      </c>
      <c r="C707" s="347">
        <v>467</v>
      </c>
      <c r="D707" s="656"/>
      <c r="E707" s="628" t="s">
        <v>2316</v>
      </c>
      <c r="F707" s="226">
        <v>27</v>
      </c>
      <c r="G707" s="178">
        <v>872</v>
      </c>
      <c r="H707" s="226">
        <f t="shared" si="171"/>
        <v>1182</v>
      </c>
      <c r="I707" s="820">
        <f t="shared" si="172"/>
        <v>36.598623853211009</v>
      </c>
      <c r="J707" s="820">
        <f t="shared" si="173"/>
        <v>63.598623853211009</v>
      </c>
      <c r="K707" s="228">
        <v>0.4</v>
      </c>
      <c r="L707" s="226">
        <f t="shared" si="174"/>
        <v>89.038073394495413</v>
      </c>
      <c r="M707" s="226">
        <v>110</v>
      </c>
      <c r="R707" s="914"/>
    </row>
    <row r="708" spans="1:18" s="178" customFormat="1" hidden="1" x14ac:dyDescent="0.25">
      <c r="A708" s="225" t="s">
        <v>259</v>
      </c>
      <c r="B708" s="319" t="s">
        <v>1322</v>
      </c>
      <c r="C708" s="347">
        <v>468</v>
      </c>
      <c r="D708" s="656">
        <v>38</v>
      </c>
      <c r="E708" s="708" t="s">
        <v>2330</v>
      </c>
      <c r="F708" s="232">
        <v>36</v>
      </c>
      <c r="G708" s="213">
        <v>872</v>
      </c>
      <c r="H708" s="232">
        <f t="shared" si="171"/>
        <v>1182</v>
      </c>
      <c r="I708" s="863">
        <f t="shared" si="172"/>
        <v>48.798165137614681</v>
      </c>
      <c r="J708" s="863">
        <f t="shared" si="173"/>
        <v>84.798165137614689</v>
      </c>
      <c r="K708" s="864">
        <v>0.4</v>
      </c>
      <c r="L708" s="232">
        <f t="shared" si="174"/>
        <v>118.71743119266056</v>
      </c>
      <c r="M708" s="232">
        <v>125</v>
      </c>
      <c r="P708" s="178" t="s">
        <v>12</v>
      </c>
      <c r="Q708" s="229">
        <v>45478</v>
      </c>
      <c r="R708" s="914"/>
    </row>
    <row r="709" spans="1:18" s="178" customFormat="1" hidden="1" x14ac:dyDescent="0.25">
      <c r="A709" s="225" t="s">
        <v>259</v>
      </c>
      <c r="B709" s="319" t="s">
        <v>1322</v>
      </c>
      <c r="C709" s="347">
        <v>469</v>
      </c>
      <c r="D709" s="656">
        <v>40</v>
      </c>
      <c r="E709" s="708" t="s">
        <v>2330</v>
      </c>
      <c r="F709" s="232">
        <v>36</v>
      </c>
      <c r="G709" s="213">
        <v>872</v>
      </c>
      <c r="H709" s="232">
        <f t="shared" si="171"/>
        <v>1182</v>
      </c>
      <c r="I709" s="863">
        <f t="shared" si="172"/>
        <v>48.798165137614681</v>
      </c>
      <c r="J709" s="863">
        <f t="shared" si="173"/>
        <v>84.798165137614689</v>
      </c>
      <c r="K709" s="864">
        <v>0.4</v>
      </c>
      <c r="L709" s="232">
        <f t="shared" si="174"/>
        <v>118.71743119266056</v>
      </c>
      <c r="M709" s="232">
        <v>115</v>
      </c>
      <c r="P709" s="178" t="s">
        <v>2499</v>
      </c>
      <c r="Q709" s="229">
        <v>45405</v>
      </c>
      <c r="R709" s="914">
        <f>+M709*36000</f>
        <v>4140000</v>
      </c>
    </row>
    <row r="710" spans="1:18" s="178" customFormat="1" x14ac:dyDescent="0.25">
      <c r="A710" s="894" t="s">
        <v>259</v>
      </c>
      <c r="B710" s="319" t="s">
        <v>1322</v>
      </c>
      <c r="C710" s="347">
        <v>470</v>
      </c>
      <c r="D710" s="656">
        <v>42</v>
      </c>
      <c r="E710" s="628" t="s">
        <v>2330</v>
      </c>
      <c r="F710" s="226">
        <v>36</v>
      </c>
      <c r="G710" s="178">
        <v>872</v>
      </c>
      <c r="H710" s="226">
        <f t="shared" si="171"/>
        <v>1182</v>
      </c>
      <c r="I710" s="820">
        <f t="shared" si="172"/>
        <v>48.798165137614681</v>
      </c>
      <c r="J710" s="820">
        <f t="shared" si="173"/>
        <v>84.798165137614689</v>
      </c>
      <c r="K710" s="228">
        <v>0.4</v>
      </c>
      <c r="L710" s="226">
        <f t="shared" si="174"/>
        <v>118.71743119266056</v>
      </c>
      <c r="M710" s="226">
        <v>125</v>
      </c>
      <c r="R710" s="914"/>
    </row>
    <row r="711" spans="1:18" s="178" customFormat="1" hidden="1" x14ac:dyDescent="0.25">
      <c r="A711" s="225" t="s">
        <v>259</v>
      </c>
      <c r="B711" s="319" t="s">
        <v>1322</v>
      </c>
      <c r="C711" s="347">
        <v>471</v>
      </c>
      <c r="D711" s="656">
        <v>44</v>
      </c>
      <c r="E711" s="708" t="s">
        <v>2330</v>
      </c>
      <c r="F711" s="232">
        <v>36</v>
      </c>
      <c r="G711" s="213">
        <v>872</v>
      </c>
      <c r="H711" s="232">
        <f t="shared" si="171"/>
        <v>1182</v>
      </c>
      <c r="I711" s="863">
        <f t="shared" si="172"/>
        <v>48.798165137614681</v>
      </c>
      <c r="J711" s="863">
        <f t="shared" si="173"/>
        <v>84.798165137614689</v>
      </c>
      <c r="K711" s="864">
        <v>0.4</v>
      </c>
      <c r="L711" s="232">
        <f t="shared" si="174"/>
        <v>118.71743119266056</v>
      </c>
      <c r="M711" s="232">
        <v>110</v>
      </c>
      <c r="P711" s="178" t="s">
        <v>12</v>
      </c>
      <c r="Q711" s="229">
        <v>45391</v>
      </c>
      <c r="R711" s="914">
        <f>+M711*36000</f>
        <v>3960000</v>
      </c>
    </row>
    <row r="712" spans="1:18" s="178" customFormat="1" hidden="1" x14ac:dyDescent="0.25">
      <c r="A712" s="225" t="s">
        <v>259</v>
      </c>
      <c r="B712" s="319" t="s">
        <v>2317</v>
      </c>
      <c r="C712" s="347">
        <v>472</v>
      </c>
      <c r="D712" s="656">
        <v>42</v>
      </c>
      <c r="E712" s="708" t="s">
        <v>2318</v>
      </c>
      <c r="F712" s="232">
        <v>31</v>
      </c>
      <c r="G712" s="213">
        <v>872</v>
      </c>
      <c r="H712" s="232">
        <f t="shared" si="171"/>
        <v>1182</v>
      </c>
      <c r="I712" s="863">
        <f t="shared" si="172"/>
        <v>42.020642201834868</v>
      </c>
      <c r="J712" s="863">
        <f t="shared" si="173"/>
        <v>73.020642201834875</v>
      </c>
      <c r="K712" s="864">
        <v>0.4</v>
      </c>
      <c r="L712" s="232">
        <f t="shared" si="174"/>
        <v>102.22889908256882</v>
      </c>
      <c r="M712" s="232">
        <v>110</v>
      </c>
      <c r="P712" s="178" t="s">
        <v>2499</v>
      </c>
      <c r="Q712" s="229">
        <v>45405</v>
      </c>
      <c r="R712" s="914">
        <f>+M712*36000</f>
        <v>3960000</v>
      </c>
    </row>
    <row r="713" spans="1:18" s="178" customFormat="1" x14ac:dyDescent="0.25">
      <c r="A713" s="225" t="s">
        <v>259</v>
      </c>
      <c r="B713" s="319" t="s">
        <v>2317</v>
      </c>
      <c r="C713" s="347">
        <v>473</v>
      </c>
      <c r="D713" s="656">
        <v>44</v>
      </c>
      <c r="E713" s="708" t="s">
        <v>2318</v>
      </c>
      <c r="F713" s="232">
        <v>31</v>
      </c>
      <c r="G713" s="213">
        <v>872</v>
      </c>
      <c r="H713" s="232">
        <f t="shared" si="171"/>
        <v>1182</v>
      </c>
      <c r="I713" s="863">
        <f t="shared" si="172"/>
        <v>42.020642201834868</v>
      </c>
      <c r="J713" s="863">
        <f t="shared" si="173"/>
        <v>73.020642201834875</v>
      </c>
      <c r="K713" s="864">
        <v>0.4</v>
      </c>
      <c r="L713" s="232">
        <f t="shared" si="174"/>
        <v>102.22889908256882</v>
      </c>
      <c r="M713" s="232">
        <v>110</v>
      </c>
      <c r="P713" s="178" t="s">
        <v>1873</v>
      </c>
      <c r="Q713" s="229">
        <v>45500</v>
      </c>
      <c r="R713" s="914"/>
    </row>
    <row r="714" spans="1:18" s="178" customFormat="1" x14ac:dyDescent="0.25">
      <c r="A714" s="225" t="s">
        <v>259</v>
      </c>
      <c r="B714" s="319" t="s">
        <v>2317</v>
      </c>
      <c r="C714" s="347">
        <v>474</v>
      </c>
      <c r="D714" s="656">
        <v>46</v>
      </c>
      <c r="E714" s="628" t="s">
        <v>2318</v>
      </c>
      <c r="F714" s="226">
        <v>31</v>
      </c>
      <c r="G714" s="178">
        <v>872</v>
      </c>
      <c r="H714" s="226">
        <f t="shared" si="171"/>
        <v>1182</v>
      </c>
      <c r="I714" s="820">
        <f t="shared" si="172"/>
        <v>42.020642201834868</v>
      </c>
      <c r="J714" s="820">
        <f t="shared" si="173"/>
        <v>73.020642201834875</v>
      </c>
      <c r="K714" s="228">
        <v>0.4</v>
      </c>
      <c r="L714" s="226">
        <f t="shared" si="174"/>
        <v>102.22889908256882</v>
      </c>
      <c r="M714" s="226">
        <v>110</v>
      </c>
      <c r="R714" s="914"/>
    </row>
    <row r="715" spans="1:18" s="178" customFormat="1" hidden="1" x14ac:dyDescent="0.25">
      <c r="A715" s="225" t="s">
        <v>259</v>
      </c>
      <c r="B715" s="319" t="s">
        <v>2317</v>
      </c>
      <c r="C715" s="347">
        <v>475</v>
      </c>
      <c r="D715" s="656">
        <v>48</v>
      </c>
      <c r="E715" s="708" t="s">
        <v>2318</v>
      </c>
      <c r="F715" s="232">
        <v>31</v>
      </c>
      <c r="G715" s="213">
        <v>872</v>
      </c>
      <c r="H715" s="232">
        <f t="shared" si="171"/>
        <v>1182</v>
      </c>
      <c r="I715" s="863">
        <f t="shared" si="172"/>
        <v>42.020642201834868</v>
      </c>
      <c r="J715" s="863">
        <f t="shared" si="173"/>
        <v>73.020642201834875</v>
      </c>
      <c r="K715" s="864">
        <v>0.4</v>
      </c>
      <c r="L715" s="232">
        <f t="shared" si="174"/>
        <v>102.22889908256882</v>
      </c>
      <c r="M715" s="232">
        <v>110</v>
      </c>
      <c r="P715" s="178" t="s">
        <v>2955</v>
      </c>
      <c r="Q715" s="229">
        <v>45476</v>
      </c>
      <c r="R715" s="914"/>
    </row>
    <row r="716" spans="1:18" s="178" customFormat="1" x14ac:dyDescent="0.25">
      <c r="A716" s="225" t="s">
        <v>259</v>
      </c>
      <c r="B716" s="319" t="s">
        <v>2320</v>
      </c>
      <c r="C716" s="347">
        <v>476</v>
      </c>
      <c r="D716" s="656">
        <v>36</v>
      </c>
      <c r="E716" s="628" t="s">
        <v>2319</v>
      </c>
      <c r="F716" s="226">
        <v>45</v>
      </c>
      <c r="G716" s="178">
        <v>872</v>
      </c>
      <c r="H716" s="226">
        <f t="shared" si="171"/>
        <v>1182</v>
      </c>
      <c r="I716" s="820">
        <f t="shared" si="172"/>
        <v>60.997706422018354</v>
      </c>
      <c r="J716" s="820">
        <f t="shared" si="173"/>
        <v>105.99770642201835</v>
      </c>
      <c r="K716" s="228">
        <v>0.4</v>
      </c>
      <c r="L716" s="226">
        <f t="shared" si="174"/>
        <v>148.39678899082568</v>
      </c>
      <c r="M716" s="226">
        <v>150</v>
      </c>
      <c r="R716" s="914"/>
    </row>
    <row r="717" spans="1:18" s="178" customFormat="1" x14ac:dyDescent="0.25">
      <c r="A717" s="225" t="s">
        <v>259</v>
      </c>
      <c r="B717" s="319" t="s">
        <v>2320</v>
      </c>
      <c r="C717" s="347">
        <v>477</v>
      </c>
      <c r="D717" s="656">
        <v>38</v>
      </c>
      <c r="E717" s="628" t="s">
        <v>2319</v>
      </c>
      <c r="F717" s="226">
        <v>45</v>
      </c>
      <c r="G717" s="178">
        <v>872</v>
      </c>
      <c r="H717" s="226">
        <f t="shared" si="171"/>
        <v>1182</v>
      </c>
      <c r="I717" s="820">
        <f t="shared" si="172"/>
        <v>60.997706422018354</v>
      </c>
      <c r="J717" s="820">
        <f t="shared" si="173"/>
        <v>105.99770642201835</v>
      </c>
      <c r="K717" s="228">
        <v>0.4</v>
      </c>
      <c r="L717" s="226">
        <f t="shared" si="174"/>
        <v>148.39678899082568</v>
      </c>
      <c r="M717" s="226">
        <v>150</v>
      </c>
      <c r="R717" s="914"/>
    </row>
    <row r="718" spans="1:18" s="178" customFormat="1" hidden="1" x14ac:dyDescent="0.25">
      <c r="A718" s="225" t="s">
        <v>259</v>
      </c>
      <c r="B718" s="319" t="s">
        <v>2320</v>
      </c>
      <c r="C718" s="347">
        <v>478</v>
      </c>
      <c r="D718" s="656">
        <v>40</v>
      </c>
      <c r="E718" s="708" t="s">
        <v>2319</v>
      </c>
      <c r="F718" s="232">
        <v>45</v>
      </c>
      <c r="G718" s="213">
        <v>872</v>
      </c>
      <c r="H718" s="232">
        <f t="shared" si="171"/>
        <v>1182</v>
      </c>
      <c r="I718" s="863">
        <f t="shared" si="172"/>
        <v>60.997706422018354</v>
      </c>
      <c r="J718" s="863">
        <f t="shared" si="173"/>
        <v>105.99770642201835</v>
      </c>
      <c r="K718" s="864">
        <v>0.4</v>
      </c>
      <c r="L718" s="232">
        <f t="shared" si="174"/>
        <v>148.39678899082568</v>
      </c>
      <c r="M718" s="232">
        <v>150</v>
      </c>
      <c r="P718" s="178" t="s">
        <v>12</v>
      </c>
      <c r="Q718" s="229">
        <v>45422</v>
      </c>
      <c r="R718" s="914">
        <f>+M718*14.5</f>
        <v>2175</v>
      </c>
    </row>
    <row r="719" spans="1:18" s="178" customFormat="1" hidden="1" x14ac:dyDescent="0.25">
      <c r="A719" s="225" t="s">
        <v>259</v>
      </c>
      <c r="B719" s="319" t="s">
        <v>2320</v>
      </c>
      <c r="C719" s="347">
        <v>479</v>
      </c>
      <c r="D719" s="656">
        <v>42</v>
      </c>
      <c r="E719" s="708" t="s">
        <v>2319</v>
      </c>
      <c r="F719" s="232">
        <v>45</v>
      </c>
      <c r="G719" s="213">
        <v>872</v>
      </c>
      <c r="H719" s="232">
        <f t="shared" si="171"/>
        <v>1182</v>
      </c>
      <c r="I719" s="863">
        <f t="shared" si="172"/>
        <v>60.997706422018354</v>
      </c>
      <c r="J719" s="863">
        <f t="shared" si="173"/>
        <v>105.99770642201835</v>
      </c>
      <c r="K719" s="864">
        <v>0.4</v>
      </c>
      <c r="L719" s="232">
        <f t="shared" si="174"/>
        <v>148.39678899082568</v>
      </c>
      <c r="M719" s="232">
        <v>150</v>
      </c>
      <c r="P719" s="178" t="s">
        <v>12</v>
      </c>
      <c r="Q719" s="229">
        <v>45401</v>
      </c>
      <c r="R719" s="914">
        <f>+M719*36000</f>
        <v>5400000</v>
      </c>
    </row>
    <row r="720" spans="1:18" s="178" customFormat="1" hidden="1" x14ac:dyDescent="0.25">
      <c r="A720" s="225" t="s">
        <v>259</v>
      </c>
      <c r="B720" s="319" t="s">
        <v>2321</v>
      </c>
      <c r="C720" s="347">
        <v>480</v>
      </c>
      <c r="D720" s="656">
        <v>42</v>
      </c>
      <c r="E720" s="708" t="s">
        <v>2322</v>
      </c>
      <c r="F720" s="232">
        <v>32</v>
      </c>
      <c r="G720" s="213">
        <v>872</v>
      </c>
      <c r="H720" s="232">
        <f t="shared" si="171"/>
        <v>1182</v>
      </c>
      <c r="I720" s="863">
        <f t="shared" si="172"/>
        <v>43.37614678899083</v>
      </c>
      <c r="J720" s="863">
        <f t="shared" si="173"/>
        <v>75.376146788990837</v>
      </c>
      <c r="K720" s="864">
        <v>0.4</v>
      </c>
      <c r="L720" s="232">
        <f t="shared" si="174"/>
        <v>105.52660550458717</v>
      </c>
      <c r="M720" s="232">
        <v>110</v>
      </c>
      <c r="P720" s="178" t="s">
        <v>2461</v>
      </c>
      <c r="Q720" s="229">
        <v>45404</v>
      </c>
      <c r="R720" s="914"/>
    </row>
    <row r="721" spans="1:20" s="178" customFormat="1" hidden="1" x14ac:dyDescent="0.25">
      <c r="A721" s="225" t="s">
        <v>259</v>
      </c>
      <c r="B721" s="319" t="s">
        <v>2321</v>
      </c>
      <c r="C721" s="347">
        <v>481</v>
      </c>
      <c r="D721" s="656">
        <v>44</v>
      </c>
      <c r="E721" s="708" t="s">
        <v>2322</v>
      </c>
      <c r="F721" s="232">
        <v>32</v>
      </c>
      <c r="G721" s="213">
        <v>872</v>
      </c>
      <c r="H721" s="232">
        <f t="shared" si="171"/>
        <v>1182</v>
      </c>
      <c r="I721" s="863">
        <f t="shared" si="172"/>
        <v>43.37614678899083</v>
      </c>
      <c r="J721" s="863">
        <f t="shared" si="173"/>
        <v>75.376146788990837</v>
      </c>
      <c r="K721" s="864">
        <v>0.4</v>
      </c>
      <c r="L721" s="232">
        <f t="shared" si="174"/>
        <v>105.52660550458717</v>
      </c>
      <c r="M721" s="232">
        <v>110</v>
      </c>
      <c r="P721" s="178" t="s">
        <v>2540</v>
      </c>
      <c r="Q721" s="229">
        <v>45416</v>
      </c>
      <c r="R721" s="914">
        <f>+M721*14.5</f>
        <v>1595</v>
      </c>
    </row>
    <row r="722" spans="1:20" s="178" customFormat="1" x14ac:dyDescent="0.25">
      <c r="A722" s="225" t="s">
        <v>259</v>
      </c>
      <c r="B722" s="319" t="s">
        <v>2321</v>
      </c>
      <c r="C722" s="347">
        <v>482</v>
      </c>
      <c r="D722" s="656">
        <v>46</v>
      </c>
      <c r="E722" s="628" t="s">
        <v>2322</v>
      </c>
      <c r="F722" s="226">
        <v>32</v>
      </c>
      <c r="G722" s="178">
        <v>872</v>
      </c>
      <c r="H722" s="226">
        <f t="shared" si="171"/>
        <v>1182</v>
      </c>
      <c r="I722" s="820">
        <f t="shared" si="172"/>
        <v>43.37614678899083</v>
      </c>
      <c r="J722" s="820">
        <f t="shared" si="173"/>
        <v>75.376146788990837</v>
      </c>
      <c r="K722" s="228">
        <v>0.4</v>
      </c>
      <c r="L722" s="226">
        <f t="shared" si="174"/>
        <v>105.52660550458717</v>
      </c>
      <c r="M722" s="226">
        <v>110</v>
      </c>
      <c r="R722" s="914"/>
    </row>
    <row r="723" spans="1:20" s="178" customFormat="1" x14ac:dyDescent="0.25">
      <c r="A723" s="225" t="s">
        <v>259</v>
      </c>
      <c r="B723" s="319" t="s">
        <v>2321</v>
      </c>
      <c r="C723" s="347">
        <v>483</v>
      </c>
      <c r="D723" s="656">
        <v>48</v>
      </c>
      <c r="E723" s="628" t="s">
        <v>2322</v>
      </c>
      <c r="F723" s="226">
        <v>32</v>
      </c>
      <c r="G723" s="178">
        <v>872</v>
      </c>
      <c r="H723" s="226">
        <f t="shared" si="171"/>
        <v>1182</v>
      </c>
      <c r="I723" s="820">
        <f t="shared" si="172"/>
        <v>43.37614678899083</v>
      </c>
      <c r="J723" s="820">
        <f t="shared" si="173"/>
        <v>75.376146788990837</v>
      </c>
      <c r="K723" s="228">
        <v>0.4</v>
      </c>
      <c r="L723" s="226">
        <f t="shared" si="174"/>
        <v>105.52660550458717</v>
      </c>
      <c r="M723" s="226">
        <v>110</v>
      </c>
      <c r="R723" s="914"/>
    </row>
    <row r="724" spans="1:20" s="178" customFormat="1" hidden="1" x14ac:dyDescent="0.25">
      <c r="A724" s="225" t="s">
        <v>259</v>
      </c>
      <c r="B724" s="319" t="s">
        <v>223</v>
      </c>
      <c r="C724" s="347">
        <v>484</v>
      </c>
      <c r="D724" s="656">
        <v>50</v>
      </c>
      <c r="E724" s="708" t="s">
        <v>2323</v>
      </c>
      <c r="F724" s="232">
        <v>47</v>
      </c>
      <c r="G724" s="213">
        <v>872</v>
      </c>
      <c r="H724" s="232">
        <f t="shared" si="171"/>
        <v>1182</v>
      </c>
      <c r="I724" s="863">
        <f t="shared" si="172"/>
        <v>63.708715596330279</v>
      </c>
      <c r="J724" s="863">
        <f t="shared" si="173"/>
        <v>110.70871559633028</v>
      </c>
      <c r="K724" s="864">
        <v>0.4</v>
      </c>
      <c r="L724" s="232">
        <f t="shared" si="174"/>
        <v>154.99220183486239</v>
      </c>
      <c r="M724" s="232">
        <v>150</v>
      </c>
      <c r="P724" s="178" t="s">
        <v>12</v>
      </c>
      <c r="Q724" s="229">
        <v>45394</v>
      </c>
      <c r="R724" s="914">
        <f>+M724*36000</f>
        <v>5400000</v>
      </c>
    </row>
    <row r="725" spans="1:20" s="178" customFormat="1" hidden="1" x14ac:dyDescent="0.25">
      <c r="A725" s="225" t="s">
        <v>259</v>
      </c>
      <c r="B725" s="319" t="s">
        <v>223</v>
      </c>
      <c r="C725" s="347">
        <v>485</v>
      </c>
      <c r="D725" s="656">
        <v>52</v>
      </c>
      <c r="E725" s="708" t="s">
        <v>2323</v>
      </c>
      <c r="F725" s="232">
        <v>47</v>
      </c>
      <c r="G725" s="213">
        <v>872</v>
      </c>
      <c r="H725" s="232">
        <f t="shared" si="171"/>
        <v>1182</v>
      </c>
      <c r="I725" s="863">
        <f t="shared" si="172"/>
        <v>63.708715596330279</v>
      </c>
      <c r="J725" s="863">
        <f t="shared" si="173"/>
        <v>110.70871559633028</v>
      </c>
      <c r="K725" s="864">
        <v>0.4</v>
      </c>
      <c r="L725" s="232">
        <f t="shared" si="174"/>
        <v>154.99220183486239</v>
      </c>
      <c r="M725" s="232">
        <v>154</v>
      </c>
      <c r="P725" s="178" t="s">
        <v>2494</v>
      </c>
      <c r="Q725" s="178" t="s">
        <v>121</v>
      </c>
      <c r="R725" s="914"/>
    </row>
    <row r="726" spans="1:20" s="178" customFormat="1" hidden="1" x14ac:dyDescent="0.25">
      <c r="A726" s="225" t="s">
        <v>259</v>
      </c>
      <c r="B726" s="319" t="s">
        <v>223</v>
      </c>
      <c r="C726" s="347">
        <v>486</v>
      </c>
      <c r="D726" s="656">
        <v>54</v>
      </c>
      <c r="E726" s="708" t="s">
        <v>2323</v>
      </c>
      <c r="F726" s="232">
        <v>47</v>
      </c>
      <c r="G726" s="213">
        <v>872</v>
      </c>
      <c r="H726" s="232">
        <f t="shared" si="171"/>
        <v>1182</v>
      </c>
      <c r="I726" s="863">
        <f t="shared" si="172"/>
        <v>63.708715596330279</v>
      </c>
      <c r="J726" s="863">
        <f t="shared" si="173"/>
        <v>110.70871559633028</v>
      </c>
      <c r="K726" s="864">
        <v>0.4</v>
      </c>
      <c r="L726" s="232">
        <f t="shared" si="174"/>
        <v>154.99220183486239</v>
      </c>
      <c r="M726" s="232">
        <v>150</v>
      </c>
      <c r="P726" s="178" t="s">
        <v>2412</v>
      </c>
      <c r="Q726" s="229">
        <v>45398</v>
      </c>
      <c r="R726" s="914">
        <f>+M726*36000</f>
        <v>5400000</v>
      </c>
    </row>
    <row r="727" spans="1:20" ht="15" hidden="1" customHeight="1" outlineLevel="1" x14ac:dyDescent="0.25">
      <c r="A727" s="225" t="s">
        <v>259</v>
      </c>
      <c r="B727" s="319" t="s">
        <v>223</v>
      </c>
      <c r="C727" s="347">
        <v>487</v>
      </c>
      <c r="D727" s="656">
        <v>56</v>
      </c>
      <c r="E727" s="708" t="s">
        <v>2323</v>
      </c>
      <c r="F727" s="232">
        <v>47</v>
      </c>
      <c r="G727" s="213">
        <v>872</v>
      </c>
      <c r="H727" s="232">
        <f t="shared" si="171"/>
        <v>1182</v>
      </c>
      <c r="I727" s="863">
        <f t="shared" si="172"/>
        <v>63.708715596330279</v>
      </c>
      <c r="J727" s="863">
        <f t="shared" si="173"/>
        <v>110.70871559633028</v>
      </c>
      <c r="K727" s="864">
        <v>0.4</v>
      </c>
      <c r="L727" s="232">
        <f t="shared" si="174"/>
        <v>154.99220183486239</v>
      </c>
      <c r="M727" s="232">
        <v>150</v>
      </c>
      <c r="N727" s="404"/>
      <c r="O727" s="395"/>
      <c r="P727" s="395" t="s">
        <v>2408</v>
      </c>
      <c r="Q727" s="833">
        <v>45393</v>
      </c>
      <c r="R727" s="396">
        <f>+M727*36000</f>
        <v>5400000</v>
      </c>
      <c r="S727" s="395"/>
      <c r="T727" s="395"/>
    </row>
    <row r="728" spans="1:20" s="149" customFormat="1" ht="15" customHeight="1" outlineLevel="1" x14ac:dyDescent="0.25">
      <c r="A728" s="225"/>
      <c r="B728" s="318" t="s">
        <v>2541</v>
      </c>
      <c r="C728" s="347"/>
      <c r="D728" s="656"/>
      <c r="E728" s="628"/>
      <c r="F728" s="226"/>
      <c r="G728" s="178"/>
      <c r="H728" s="226"/>
      <c r="I728" s="820"/>
      <c r="J728" s="820"/>
      <c r="K728" s="228"/>
      <c r="L728" s="226"/>
      <c r="M728" s="226"/>
      <c r="N728" s="167"/>
      <c r="O728" s="395"/>
      <c r="P728" s="395"/>
      <c r="Q728" s="833"/>
      <c r="R728" s="396"/>
      <c r="S728" s="395"/>
      <c r="T728" s="395"/>
    </row>
    <row r="729" spans="1:20" s="149" customFormat="1" ht="15" hidden="1" customHeight="1" outlineLevel="1" x14ac:dyDescent="0.25">
      <c r="A729" s="225" t="s">
        <v>2542</v>
      </c>
      <c r="B729" s="319" t="s">
        <v>997</v>
      </c>
      <c r="C729" s="347">
        <v>488</v>
      </c>
      <c r="D729" s="656">
        <v>1</v>
      </c>
      <c r="E729" s="708" t="s">
        <v>2543</v>
      </c>
      <c r="F729" s="232">
        <v>20</v>
      </c>
      <c r="G729" s="213"/>
      <c r="H729" s="232"/>
      <c r="I729" s="863"/>
      <c r="J729" s="863"/>
      <c r="K729" s="864"/>
      <c r="L729" s="232"/>
      <c r="M729" s="232">
        <v>65</v>
      </c>
      <c r="N729" s="167"/>
      <c r="O729" s="395"/>
      <c r="P729" s="395" t="s">
        <v>2540</v>
      </c>
      <c r="Q729" s="833">
        <v>45418</v>
      </c>
      <c r="R729" s="396">
        <f>+M729*14.5</f>
        <v>942.5</v>
      </c>
      <c r="S729" s="395"/>
      <c r="T729" s="395"/>
    </row>
    <row r="730" spans="1:20" s="149" customFormat="1" ht="15" customHeight="1" outlineLevel="1" x14ac:dyDescent="0.25">
      <c r="A730" s="225"/>
      <c r="B730" s="319" t="s">
        <v>997</v>
      </c>
      <c r="C730" s="347">
        <v>489</v>
      </c>
      <c r="D730" s="656">
        <v>2</v>
      </c>
      <c r="E730" s="628" t="s">
        <v>2543</v>
      </c>
      <c r="F730" s="226">
        <v>20</v>
      </c>
      <c r="G730" s="178"/>
      <c r="H730" s="226"/>
      <c r="I730" s="820"/>
      <c r="J730" s="820"/>
      <c r="K730" s="228"/>
      <c r="L730" s="226"/>
      <c r="M730" s="226">
        <v>65</v>
      </c>
      <c r="N730" s="167"/>
      <c r="O730" s="395"/>
      <c r="P730" s="395"/>
      <c r="Q730" s="833"/>
      <c r="R730" s="396"/>
      <c r="S730" s="395"/>
      <c r="T730" s="395"/>
    </row>
    <row r="731" spans="1:20" s="149" customFormat="1" ht="15" hidden="1" customHeight="1" outlineLevel="1" x14ac:dyDescent="0.25">
      <c r="A731" s="225"/>
      <c r="B731" s="319" t="s">
        <v>997</v>
      </c>
      <c r="C731" s="347">
        <v>490</v>
      </c>
      <c r="D731" s="656">
        <v>4</v>
      </c>
      <c r="E731" s="708" t="s">
        <v>2543</v>
      </c>
      <c r="F731" s="232">
        <v>20</v>
      </c>
      <c r="G731" s="213"/>
      <c r="H731" s="232"/>
      <c r="I731" s="863"/>
      <c r="J731" s="863"/>
      <c r="K731" s="864"/>
      <c r="L731" s="232"/>
      <c r="M731" s="232">
        <v>65</v>
      </c>
      <c r="N731" s="167"/>
      <c r="O731" s="395"/>
      <c r="P731" s="178" t="s">
        <v>2914</v>
      </c>
      <c r="Q731" s="229">
        <v>45468</v>
      </c>
      <c r="R731" s="396"/>
      <c r="S731" s="395"/>
      <c r="T731" s="395"/>
    </row>
    <row r="732" spans="1:20" s="149" customFormat="1" ht="15" customHeight="1" outlineLevel="1" x14ac:dyDescent="0.25">
      <c r="A732" s="225"/>
      <c r="B732" s="319" t="s">
        <v>997</v>
      </c>
      <c r="C732" s="347">
        <v>491</v>
      </c>
      <c r="D732" s="656">
        <v>2</v>
      </c>
      <c r="E732" s="628" t="s">
        <v>2544</v>
      </c>
      <c r="F732" s="226">
        <v>20</v>
      </c>
      <c r="G732" s="178"/>
      <c r="H732" s="226"/>
      <c r="I732" s="820"/>
      <c r="J732" s="820"/>
      <c r="K732" s="228"/>
      <c r="L732" s="226"/>
      <c r="M732" s="226">
        <v>65</v>
      </c>
      <c r="N732" s="167"/>
      <c r="O732" s="395"/>
      <c r="P732" s="395"/>
      <c r="Q732" s="833"/>
      <c r="R732" s="396"/>
      <c r="S732" s="395"/>
      <c r="T732" s="395"/>
    </row>
    <row r="733" spans="1:20" s="149" customFormat="1" ht="15" customHeight="1" outlineLevel="1" x14ac:dyDescent="0.25">
      <c r="A733" s="225"/>
      <c r="B733" s="319" t="s">
        <v>997</v>
      </c>
      <c r="C733" s="347">
        <v>492</v>
      </c>
      <c r="D733" s="656">
        <v>3</v>
      </c>
      <c r="E733" s="628" t="s">
        <v>2544</v>
      </c>
      <c r="F733" s="226">
        <v>20</v>
      </c>
      <c r="G733" s="178"/>
      <c r="H733" s="226"/>
      <c r="I733" s="820"/>
      <c r="J733" s="820"/>
      <c r="K733" s="228"/>
      <c r="L733" s="226"/>
      <c r="M733" s="226">
        <v>65</v>
      </c>
      <c r="N733" s="167"/>
      <c r="O733" s="395"/>
      <c r="P733" s="395"/>
      <c r="Q733" s="833"/>
      <c r="R733" s="396"/>
      <c r="S733" s="395"/>
      <c r="T733" s="395"/>
    </row>
    <row r="734" spans="1:20" s="149" customFormat="1" ht="15" hidden="1" customHeight="1" outlineLevel="1" x14ac:dyDescent="0.25">
      <c r="A734" s="225"/>
      <c r="B734" s="319" t="s">
        <v>997</v>
      </c>
      <c r="C734" s="347">
        <v>493</v>
      </c>
      <c r="D734" s="656">
        <v>4</v>
      </c>
      <c r="E734" s="708" t="s">
        <v>2544</v>
      </c>
      <c r="F734" s="232">
        <v>20</v>
      </c>
      <c r="G734" s="213"/>
      <c r="H734" s="232"/>
      <c r="I734" s="863"/>
      <c r="J734" s="863"/>
      <c r="K734" s="864"/>
      <c r="L734" s="232"/>
      <c r="M734" s="232">
        <v>65</v>
      </c>
      <c r="N734" s="167"/>
      <c r="O734" s="395"/>
      <c r="P734" s="395" t="s">
        <v>486</v>
      </c>
      <c r="Q734" s="833">
        <v>45418</v>
      </c>
      <c r="R734" s="396">
        <f>+M734*14.5</f>
        <v>942.5</v>
      </c>
      <c r="S734" s="395"/>
      <c r="T734" s="395"/>
    </row>
    <row r="735" spans="1:20" s="149" customFormat="1" ht="15" customHeight="1" outlineLevel="1" x14ac:dyDescent="0.25">
      <c r="A735" s="225"/>
      <c r="B735" s="893" t="s">
        <v>997</v>
      </c>
      <c r="C735" s="347">
        <v>494</v>
      </c>
      <c r="D735" s="656">
        <v>48</v>
      </c>
      <c r="E735" s="628" t="s">
        <v>2545</v>
      </c>
      <c r="F735" s="226">
        <v>30</v>
      </c>
      <c r="G735" s="178"/>
      <c r="H735" s="226"/>
      <c r="I735" s="820"/>
      <c r="J735" s="820"/>
      <c r="K735" s="228"/>
      <c r="L735" s="226"/>
      <c r="M735" s="226">
        <v>75</v>
      </c>
      <c r="N735" s="167"/>
      <c r="O735" s="395"/>
      <c r="P735" s="395"/>
      <c r="Q735" s="833"/>
      <c r="R735" s="396"/>
      <c r="S735" s="395"/>
      <c r="T735" s="395"/>
    </row>
    <row r="736" spans="1:20" s="178" customFormat="1" x14ac:dyDescent="0.25">
      <c r="A736" s="225" t="s">
        <v>587</v>
      </c>
      <c r="B736" s="319" t="s">
        <v>2570</v>
      </c>
      <c r="C736" s="347">
        <v>495</v>
      </c>
      <c r="D736" s="656">
        <v>44</v>
      </c>
      <c r="E736" s="628" t="s">
        <v>2485</v>
      </c>
      <c r="F736" s="226">
        <v>27</v>
      </c>
      <c r="G736" s="178">
        <v>540</v>
      </c>
      <c r="H736" s="226">
        <v>535</v>
      </c>
      <c r="I736" s="226">
        <f t="shared" ref="I736:I755" si="175">+F736/G736*H736</f>
        <v>26.75</v>
      </c>
      <c r="J736" s="226">
        <f t="shared" ref="J736:J755" si="176">+F736+I736</f>
        <v>53.75</v>
      </c>
      <c r="K736" s="228">
        <v>0.4</v>
      </c>
      <c r="L736" s="226">
        <f t="shared" ref="L736:L755" si="177">+J736*1.4</f>
        <v>75.25</v>
      </c>
      <c r="M736" s="226">
        <v>90</v>
      </c>
      <c r="N736" s="226"/>
      <c r="R736" s="914"/>
    </row>
    <row r="737" spans="1:18" s="178" customFormat="1" x14ac:dyDescent="0.25">
      <c r="A737" s="225" t="s">
        <v>587</v>
      </c>
      <c r="B737" s="319" t="s">
        <v>2570</v>
      </c>
      <c r="C737" s="347">
        <v>496</v>
      </c>
      <c r="D737" s="656">
        <v>46</v>
      </c>
      <c r="E737" s="628" t="s">
        <v>2485</v>
      </c>
      <c r="F737" s="226">
        <v>27</v>
      </c>
      <c r="G737" s="178">
        <v>540</v>
      </c>
      <c r="H737" s="226">
        <v>535</v>
      </c>
      <c r="I737" s="226">
        <f t="shared" si="175"/>
        <v>26.75</v>
      </c>
      <c r="J737" s="226">
        <f t="shared" si="176"/>
        <v>53.75</v>
      </c>
      <c r="K737" s="228">
        <v>0.4</v>
      </c>
      <c r="L737" s="226">
        <f t="shared" si="177"/>
        <v>75.25</v>
      </c>
      <c r="M737" s="226">
        <v>90</v>
      </c>
      <c r="N737" s="226"/>
      <c r="R737" s="914"/>
    </row>
    <row r="738" spans="1:18" s="178" customFormat="1" hidden="1" x14ac:dyDescent="0.25">
      <c r="A738" s="225" t="s">
        <v>587</v>
      </c>
      <c r="B738" s="319" t="s">
        <v>2570</v>
      </c>
      <c r="C738" s="347">
        <v>497</v>
      </c>
      <c r="D738" s="656">
        <v>48</v>
      </c>
      <c r="E738" s="708" t="s">
        <v>2485</v>
      </c>
      <c r="F738" s="232">
        <v>27</v>
      </c>
      <c r="G738" s="213">
        <v>540</v>
      </c>
      <c r="H738" s="232">
        <v>535</v>
      </c>
      <c r="I738" s="232">
        <f t="shared" si="175"/>
        <v>26.75</v>
      </c>
      <c r="J738" s="232">
        <f t="shared" si="176"/>
        <v>53.75</v>
      </c>
      <c r="K738" s="864">
        <v>0.4</v>
      </c>
      <c r="L738" s="232">
        <f t="shared" si="177"/>
        <v>75.25</v>
      </c>
      <c r="M738" s="232">
        <v>90</v>
      </c>
      <c r="N738" s="226"/>
      <c r="P738" s="178" t="s">
        <v>2914</v>
      </c>
      <c r="Q738" s="229">
        <v>45468</v>
      </c>
      <c r="R738" s="914"/>
    </row>
    <row r="739" spans="1:18" s="178" customFormat="1" x14ac:dyDescent="0.25">
      <c r="A739" s="225" t="s">
        <v>587</v>
      </c>
      <c r="B739" s="319" t="s">
        <v>2570</v>
      </c>
      <c r="C739" s="347">
        <v>498</v>
      </c>
      <c r="D739" s="656">
        <v>50</v>
      </c>
      <c r="E739" s="628" t="s">
        <v>2485</v>
      </c>
      <c r="F739" s="226">
        <v>27</v>
      </c>
      <c r="G739" s="178">
        <v>540</v>
      </c>
      <c r="H739" s="226">
        <v>535</v>
      </c>
      <c r="I739" s="226">
        <f t="shared" si="175"/>
        <v>26.75</v>
      </c>
      <c r="J739" s="226">
        <f t="shared" si="176"/>
        <v>53.75</v>
      </c>
      <c r="K739" s="228">
        <v>0.4</v>
      </c>
      <c r="L739" s="226">
        <f t="shared" si="177"/>
        <v>75.25</v>
      </c>
      <c r="M739" s="226">
        <v>90</v>
      </c>
      <c r="N739" s="226"/>
      <c r="R739" s="914"/>
    </row>
    <row r="740" spans="1:18" s="178" customFormat="1" hidden="1" x14ac:dyDescent="0.25">
      <c r="A740" s="225" t="s">
        <v>587</v>
      </c>
      <c r="B740" s="319" t="s">
        <v>2570</v>
      </c>
      <c r="C740" s="347">
        <v>499</v>
      </c>
      <c r="D740" s="656">
        <v>44</v>
      </c>
      <c r="E740" s="708" t="s">
        <v>2571</v>
      </c>
      <c r="F740" s="232">
        <v>27</v>
      </c>
      <c r="G740" s="213">
        <v>540</v>
      </c>
      <c r="H740" s="232">
        <v>535</v>
      </c>
      <c r="I740" s="232">
        <f t="shared" si="175"/>
        <v>26.75</v>
      </c>
      <c r="J740" s="232">
        <f t="shared" si="176"/>
        <v>53.75</v>
      </c>
      <c r="K740" s="864">
        <v>0.4</v>
      </c>
      <c r="L740" s="232">
        <f t="shared" si="177"/>
        <v>75.25</v>
      </c>
      <c r="M740" s="232">
        <v>90</v>
      </c>
      <c r="N740" s="226"/>
      <c r="P740" s="178" t="s">
        <v>2461</v>
      </c>
      <c r="Q740" s="229">
        <v>45430</v>
      </c>
      <c r="R740" s="914"/>
    </row>
    <row r="741" spans="1:18" s="178" customFormat="1" x14ac:dyDescent="0.25">
      <c r="A741" s="225" t="s">
        <v>587</v>
      </c>
      <c r="B741" s="319" t="s">
        <v>2570</v>
      </c>
      <c r="C741" s="347">
        <v>500</v>
      </c>
      <c r="D741" s="656">
        <v>46</v>
      </c>
      <c r="E741" s="628" t="s">
        <v>2571</v>
      </c>
      <c r="F741" s="226">
        <v>27</v>
      </c>
      <c r="G741" s="178">
        <v>540</v>
      </c>
      <c r="H741" s="226">
        <v>535</v>
      </c>
      <c r="I741" s="226">
        <f t="shared" si="175"/>
        <v>26.75</v>
      </c>
      <c r="J741" s="226">
        <f t="shared" si="176"/>
        <v>53.75</v>
      </c>
      <c r="K741" s="228">
        <v>0.4</v>
      </c>
      <c r="L741" s="226">
        <f t="shared" si="177"/>
        <v>75.25</v>
      </c>
      <c r="M741" s="226">
        <v>90</v>
      </c>
      <c r="N741" s="226"/>
      <c r="R741" s="914"/>
    </row>
    <row r="742" spans="1:18" s="178" customFormat="1" hidden="1" x14ac:dyDescent="0.25">
      <c r="A742" s="225" t="s">
        <v>587</v>
      </c>
      <c r="B742" s="319" t="s">
        <v>2570</v>
      </c>
      <c r="C742" s="347">
        <v>501</v>
      </c>
      <c r="D742" s="656">
        <v>48</v>
      </c>
      <c r="E742" s="708" t="s">
        <v>2571</v>
      </c>
      <c r="F742" s="232">
        <v>27</v>
      </c>
      <c r="G742" s="213">
        <v>540</v>
      </c>
      <c r="H742" s="232">
        <v>535</v>
      </c>
      <c r="I742" s="232">
        <f t="shared" si="175"/>
        <v>26.75</v>
      </c>
      <c r="J742" s="232">
        <f t="shared" si="176"/>
        <v>53.75</v>
      </c>
      <c r="K742" s="864">
        <v>0.4</v>
      </c>
      <c r="L742" s="232">
        <f t="shared" si="177"/>
        <v>75.25</v>
      </c>
      <c r="M742" s="232">
        <v>85</v>
      </c>
      <c r="N742" s="226"/>
      <c r="P742" s="178" t="s">
        <v>1818</v>
      </c>
      <c r="Q742" s="229">
        <v>45457</v>
      </c>
      <c r="R742" s="914">
        <f>+M742*14.5</f>
        <v>1232.5</v>
      </c>
    </row>
    <row r="743" spans="1:18" s="178" customFormat="1" hidden="1" x14ac:dyDescent="0.25">
      <c r="A743" s="225" t="s">
        <v>587</v>
      </c>
      <c r="B743" s="319" t="s">
        <v>2570</v>
      </c>
      <c r="C743" s="347">
        <v>502</v>
      </c>
      <c r="D743" s="656">
        <v>50</v>
      </c>
      <c r="E743" s="708" t="s">
        <v>2571</v>
      </c>
      <c r="F743" s="232">
        <v>27</v>
      </c>
      <c r="G743" s="213">
        <v>540</v>
      </c>
      <c r="H743" s="232">
        <v>535</v>
      </c>
      <c r="I743" s="232">
        <f t="shared" si="175"/>
        <v>26.75</v>
      </c>
      <c r="J743" s="232">
        <f t="shared" si="176"/>
        <v>53.75</v>
      </c>
      <c r="K743" s="864">
        <v>0.4</v>
      </c>
      <c r="L743" s="232">
        <f t="shared" si="177"/>
        <v>75.25</v>
      </c>
      <c r="M743" s="232">
        <v>90</v>
      </c>
      <c r="N743" s="226"/>
      <c r="P743" s="178" t="s">
        <v>2303</v>
      </c>
      <c r="Q743" s="229">
        <v>45432</v>
      </c>
      <c r="R743" s="914">
        <f>+M743*14.5</f>
        <v>1305</v>
      </c>
    </row>
    <row r="744" spans="1:18" s="178" customFormat="1" hidden="1" x14ac:dyDescent="0.25">
      <c r="A744" s="225" t="s">
        <v>587</v>
      </c>
      <c r="B744" s="319" t="s">
        <v>2572</v>
      </c>
      <c r="C744" s="347">
        <v>503</v>
      </c>
      <c r="D744" s="656">
        <v>50</v>
      </c>
      <c r="E744" s="708" t="s">
        <v>2486</v>
      </c>
      <c r="F744" s="232">
        <v>27</v>
      </c>
      <c r="G744" s="213">
        <v>540</v>
      </c>
      <c r="H744" s="232">
        <v>535</v>
      </c>
      <c r="I744" s="232">
        <f t="shared" si="175"/>
        <v>26.75</v>
      </c>
      <c r="J744" s="232">
        <f t="shared" si="176"/>
        <v>53.75</v>
      </c>
      <c r="K744" s="864">
        <v>0.4</v>
      </c>
      <c r="L744" s="232">
        <f t="shared" si="177"/>
        <v>75.25</v>
      </c>
      <c r="M744" s="232">
        <v>90</v>
      </c>
      <c r="N744" s="226"/>
      <c r="P744" s="178" t="s">
        <v>2781</v>
      </c>
      <c r="Q744" s="229">
        <v>45454</v>
      </c>
      <c r="R744" s="914">
        <f>+M744*14.5</f>
        <v>1305</v>
      </c>
    </row>
    <row r="745" spans="1:18" s="178" customFormat="1" hidden="1" x14ac:dyDescent="0.25">
      <c r="A745" s="225" t="s">
        <v>587</v>
      </c>
      <c r="B745" s="319" t="s">
        <v>2572</v>
      </c>
      <c r="C745" s="347">
        <v>504</v>
      </c>
      <c r="D745" s="656">
        <v>52</v>
      </c>
      <c r="E745" s="708" t="s">
        <v>2486</v>
      </c>
      <c r="F745" s="232">
        <v>27</v>
      </c>
      <c r="G745" s="213">
        <v>540</v>
      </c>
      <c r="H745" s="232">
        <v>535</v>
      </c>
      <c r="I745" s="232">
        <f t="shared" si="175"/>
        <v>26.75</v>
      </c>
      <c r="J745" s="232">
        <f t="shared" si="176"/>
        <v>53.75</v>
      </c>
      <c r="K745" s="864">
        <v>0.4</v>
      </c>
      <c r="L745" s="232">
        <f t="shared" si="177"/>
        <v>75.25</v>
      </c>
      <c r="M745" s="232">
        <v>90</v>
      </c>
      <c r="N745" s="226"/>
      <c r="P745" s="178" t="s">
        <v>2303</v>
      </c>
      <c r="Q745" s="229">
        <v>45432</v>
      </c>
      <c r="R745" s="914">
        <f>+M745*14.5</f>
        <v>1305</v>
      </c>
    </row>
    <row r="746" spans="1:18" s="178" customFormat="1" x14ac:dyDescent="0.25">
      <c r="A746" s="225" t="s">
        <v>587</v>
      </c>
      <c r="B746" s="319" t="s">
        <v>2572</v>
      </c>
      <c r="C746" s="347">
        <v>505</v>
      </c>
      <c r="D746" s="656">
        <v>54</v>
      </c>
      <c r="E746" s="628" t="s">
        <v>2486</v>
      </c>
      <c r="F746" s="226">
        <v>27</v>
      </c>
      <c r="G746" s="178">
        <v>540</v>
      </c>
      <c r="H746" s="226">
        <v>535</v>
      </c>
      <c r="I746" s="226">
        <f t="shared" si="175"/>
        <v>26.75</v>
      </c>
      <c r="J746" s="226">
        <f t="shared" si="176"/>
        <v>53.75</v>
      </c>
      <c r="K746" s="228">
        <v>0.4</v>
      </c>
      <c r="L746" s="226">
        <f t="shared" si="177"/>
        <v>75.25</v>
      </c>
      <c r="M746" s="226">
        <v>90</v>
      </c>
      <c r="N746" s="226"/>
      <c r="R746" s="914"/>
    </row>
    <row r="747" spans="1:18" s="178" customFormat="1" hidden="1" x14ac:dyDescent="0.25">
      <c r="A747" s="225" t="s">
        <v>587</v>
      </c>
      <c r="B747" s="319" t="s">
        <v>2572</v>
      </c>
      <c r="C747" s="347">
        <v>506</v>
      </c>
      <c r="D747" s="656">
        <v>56</v>
      </c>
      <c r="E747" s="708" t="s">
        <v>2486</v>
      </c>
      <c r="F747" s="232">
        <v>27</v>
      </c>
      <c r="G747" s="213">
        <v>540</v>
      </c>
      <c r="H747" s="232">
        <v>535</v>
      </c>
      <c r="I747" s="232">
        <f t="shared" si="175"/>
        <v>26.75</v>
      </c>
      <c r="J747" s="232">
        <f t="shared" si="176"/>
        <v>53.75</v>
      </c>
      <c r="K747" s="864">
        <v>0.4</v>
      </c>
      <c r="L747" s="232">
        <f t="shared" si="177"/>
        <v>75.25</v>
      </c>
      <c r="M747" s="232">
        <v>90</v>
      </c>
      <c r="N747" s="226"/>
      <c r="P747" s="178" t="s">
        <v>2610</v>
      </c>
      <c r="Q747" s="229">
        <v>45429</v>
      </c>
      <c r="R747" s="914">
        <f>+M747*14.5</f>
        <v>1305</v>
      </c>
    </row>
    <row r="748" spans="1:18" s="178" customFormat="1" x14ac:dyDescent="0.25">
      <c r="A748" s="225" t="s">
        <v>587</v>
      </c>
      <c r="B748" s="319" t="s">
        <v>2572</v>
      </c>
      <c r="C748" s="347">
        <v>507</v>
      </c>
      <c r="D748" s="656">
        <v>50</v>
      </c>
      <c r="E748" s="628" t="s">
        <v>2488</v>
      </c>
      <c r="F748" s="226">
        <v>27</v>
      </c>
      <c r="G748" s="178">
        <v>540</v>
      </c>
      <c r="H748" s="226">
        <v>535</v>
      </c>
      <c r="I748" s="226">
        <f t="shared" si="175"/>
        <v>26.75</v>
      </c>
      <c r="J748" s="226">
        <f t="shared" si="176"/>
        <v>53.75</v>
      </c>
      <c r="K748" s="228">
        <v>0.4</v>
      </c>
      <c r="L748" s="226">
        <f t="shared" si="177"/>
        <v>75.25</v>
      </c>
      <c r="M748" s="226">
        <v>90</v>
      </c>
      <c r="N748" s="226"/>
      <c r="R748" s="914"/>
    </row>
    <row r="749" spans="1:18" s="178" customFormat="1" x14ac:dyDescent="0.25">
      <c r="A749" s="225" t="s">
        <v>587</v>
      </c>
      <c r="B749" s="319" t="s">
        <v>2572</v>
      </c>
      <c r="C749" s="347">
        <v>508</v>
      </c>
      <c r="D749" s="656">
        <v>52</v>
      </c>
      <c r="E749" s="628" t="s">
        <v>2488</v>
      </c>
      <c r="F749" s="226">
        <v>27</v>
      </c>
      <c r="G749" s="178">
        <v>540</v>
      </c>
      <c r="H749" s="226">
        <v>535</v>
      </c>
      <c r="I749" s="226">
        <f t="shared" si="175"/>
        <v>26.75</v>
      </c>
      <c r="J749" s="226">
        <f t="shared" si="176"/>
        <v>53.75</v>
      </c>
      <c r="K749" s="228">
        <v>0.4</v>
      </c>
      <c r="L749" s="226">
        <f t="shared" si="177"/>
        <v>75.25</v>
      </c>
      <c r="M749" s="226">
        <v>90</v>
      </c>
      <c r="N749" s="226"/>
      <c r="R749" s="914"/>
    </row>
    <row r="750" spans="1:18" s="178" customFormat="1" hidden="1" x14ac:dyDescent="0.25">
      <c r="A750" s="225" t="s">
        <v>587</v>
      </c>
      <c r="B750" s="319" t="s">
        <v>2572</v>
      </c>
      <c r="C750" s="347">
        <v>509</v>
      </c>
      <c r="D750" s="656">
        <v>54</v>
      </c>
      <c r="E750" s="708" t="s">
        <v>2488</v>
      </c>
      <c r="F750" s="232">
        <v>27</v>
      </c>
      <c r="G750" s="213">
        <v>540</v>
      </c>
      <c r="H750" s="232">
        <v>535</v>
      </c>
      <c r="I750" s="232">
        <f t="shared" si="175"/>
        <v>26.75</v>
      </c>
      <c r="J750" s="232">
        <f t="shared" si="176"/>
        <v>53.75</v>
      </c>
      <c r="K750" s="864">
        <v>0.4</v>
      </c>
      <c r="L750" s="232">
        <f t="shared" si="177"/>
        <v>75.25</v>
      </c>
      <c r="M750" s="232">
        <v>90</v>
      </c>
      <c r="N750" s="226"/>
      <c r="P750" s="178" t="s">
        <v>12</v>
      </c>
      <c r="Q750" s="229">
        <v>45479</v>
      </c>
      <c r="R750" s="914"/>
    </row>
    <row r="751" spans="1:18" s="178" customFormat="1" x14ac:dyDescent="0.25">
      <c r="A751" s="225" t="s">
        <v>587</v>
      </c>
      <c r="B751" s="319" t="s">
        <v>2572</v>
      </c>
      <c r="C751" s="347">
        <v>510</v>
      </c>
      <c r="D751" s="656">
        <v>56</v>
      </c>
      <c r="E751" s="628" t="s">
        <v>2488</v>
      </c>
      <c r="F751" s="226">
        <v>27</v>
      </c>
      <c r="G751" s="178">
        <v>540</v>
      </c>
      <c r="H751" s="226">
        <v>535</v>
      </c>
      <c r="I751" s="226">
        <f t="shared" si="175"/>
        <v>26.75</v>
      </c>
      <c r="J751" s="226">
        <f t="shared" si="176"/>
        <v>53.75</v>
      </c>
      <c r="K751" s="228">
        <v>0.4</v>
      </c>
      <c r="L751" s="226">
        <f t="shared" si="177"/>
        <v>75.25</v>
      </c>
      <c r="M751" s="226">
        <v>90</v>
      </c>
      <c r="N751" s="226"/>
      <c r="R751" s="914"/>
    </row>
    <row r="752" spans="1:18" s="178" customFormat="1" x14ac:dyDescent="0.25">
      <c r="A752" s="225" t="s">
        <v>587</v>
      </c>
      <c r="B752" s="319" t="s">
        <v>2572</v>
      </c>
      <c r="C752" s="347">
        <v>511</v>
      </c>
      <c r="D752" s="656">
        <v>50</v>
      </c>
      <c r="E752" s="628" t="s">
        <v>2487</v>
      </c>
      <c r="F752" s="226">
        <v>27</v>
      </c>
      <c r="G752" s="178">
        <v>540</v>
      </c>
      <c r="H752" s="226">
        <v>535</v>
      </c>
      <c r="I752" s="226">
        <f t="shared" si="175"/>
        <v>26.75</v>
      </c>
      <c r="J752" s="226">
        <f t="shared" si="176"/>
        <v>53.75</v>
      </c>
      <c r="K752" s="228">
        <v>0.4</v>
      </c>
      <c r="L752" s="226">
        <f t="shared" si="177"/>
        <v>75.25</v>
      </c>
      <c r="M752" s="226">
        <v>90</v>
      </c>
      <c r="N752" s="226"/>
      <c r="R752" s="914"/>
    </row>
    <row r="753" spans="1:20" s="178" customFormat="1" hidden="1" x14ac:dyDescent="0.25">
      <c r="A753" s="225" t="s">
        <v>587</v>
      </c>
      <c r="B753" s="319" t="s">
        <v>2572</v>
      </c>
      <c r="C753" s="347">
        <v>512</v>
      </c>
      <c r="D753" s="656">
        <v>52</v>
      </c>
      <c r="E753" s="708" t="s">
        <v>2487</v>
      </c>
      <c r="F753" s="232">
        <v>27</v>
      </c>
      <c r="G753" s="213">
        <v>540</v>
      </c>
      <c r="H753" s="232">
        <v>535</v>
      </c>
      <c r="I753" s="232">
        <f t="shared" si="175"/>
        <v>26.75</v>
      </c>
      <c r="J753" s="232">
        <f t="shared" si="176"/>
        <v>53.75</v>
      </c>
      <c r="K753" s="864">
        <v>0.4</v>
      </c>
      <c r="L753" s="232">
        <f t="shared" si="177"/>
        <v>75.25</v>
      </c>
      <c r="M753" s="232">
        <v>90</v>
      </c>
      <c r="N753" s="226"/>
      <c r="P753" s="178" t="s">
        <v>12</v>
      </c>
      <c r="Q753" s="229">
        <v>45471</v>
      </c>
      <c r="R753" s="914"/>
    </row>
    <row r="754" spans="1:20" s="178" customFormat="1" x14ac:dyDescent="0.25">
      <c r="A754" s="225" t="s">
        <v>587</v>
      </c>
      <c r="B754" s="319" t="s">
        <v>2572</v>
      </c>
      <c r="C754" s="347">
        <v>513</v>
      </c>
      <c r="D754" s="656">
        <v>54</v>
      </c>
      <c r="E754" s="628" t="s">
        <v>2487</v>
      </c>
      <c r="F754" s="226">
        <v>27</v>
      </c>
      <c r="G754" s="178">
        <v>540</v>
      </c>
      <c r="H754" s="226">
        <v>535</v>
      </c>
      <c r="I754" s="226">
        <f t="shared" si="175"/>
        <v>26.75</v>
      </c>
      <c r="J754" s="226">
        <f t="shared" si="176"/>
        <v>53.75</v>
      </c>
      <c r="K754" s="228">
        <v>0.4</v>
      </c>
      <c r="L754" s="226">
        <f t="shared" si="177"/>
        <v>75.25</v>
      </c>
      <c r="M754" s="226">
        <v>90</v>
      </c>
      <c r="N754" s="226"/>
      <c r="R754" s="914"/>
    </row>
    <row r="755" spans="1:20" s="178" customFormat="1" x14ac:dyDescent="0.25">
      <c r="A755" s="225" t="s">
        <v>587</v>
      </c>
      <c r="B755" s="319" t="s">
        <v>2572</v>
      </c>
      <c r="C755" s="347">
        <v>514</v>
      </c>
      <c r="D755" s="656">
        <v>56</v>
      </c>
      <c r="E755" s="628" t="s">
        <v>2487</v>
      </c>
      <c r="F755" s="226">
        <v>27</v>
      </c>
      <c r="G755" s="178">
        <v>540</v>
      </c>
      <c r="H755" s="226">
        <v>535</v>
      </c>
      <c r="I755" s="226">
        <f t="shared" si="175"/>
        <v>26.75</v>
      </c>
      <c r="J755" s="226">
        <f t="shared" si="176"/>
        <v>53.75</v>
      </c>
      <c r="K755" s="228">
        <v>0.4</v>
      </c>
      <c r="L755" s="226">
        <f t="shared" si="177"/>
        <v>75.25</v>
      </c>
      <c r="M755" s="226">
        <v>90</v>
      </c>
      <c r="N755" s="226"/>
      <c r="R755" s="914"/>
    </row>
    <row r="756" spans="1:20" s="178" customFormat="1" x14ac:dyDescent="0.25">
      <c r="A756" s="225"/>
      <c r="B756" s="318" t="s">
        <v>2670</v>
      </c>
      <c r="C756" s="347"/>
      <c r="D756" s="656"/>
      <c r="E756" s="628"/>
      <c r="F756" s="226"/>
      <c r="H756" s="226"/>
      <c r="I756" s="226"/>
      <c r="J756" s="226"/>
      <c r="K756" s="228"/>
      <c r="L756" s="226"/>
      <c r="M756" s="226"/>
      <c r="N756" s="226"/>
      <c r="R756" s="914"/>
    </row>
    <row r="757" spans="1:20" s="149" customFormat="1" ht="15" customHeight="1" outlineLevel="1" x14ac:dyDescent="0.25">
      <c r="A757" s="154" t="s">
        <v>1360</v>
      </c>
      <c r="B757" s="319" t="s">
        <v>625</v>
      </c>
      <c r="C757" s="347">
        <v>515</v>
      </c>
      <c r="D757" s="656">
        <v>44</v>
      </c>
      <c r="E757" s="708" t="s">
        <v>2616</v>
      </c>
      <c r="F757" s="232">
        <v>22</v>
      </c>
      <c r="G757" s="213">
        <v>768</v>
      </c>
      <c r="H757" s="232">
        <v>515</v>
      </c>
      <c r="I757" s="863">
        <f>+F757/G757*H757</f>
        <v>14.752604166666666</v>
      </c>
      <c r="J757" s="863">
        <f>+F757+I757</f>
        <v>36.752604166666664</v>
      </c>
      <c r="K757" s="864"/>
      <c r="L757" s="232">
        <f>+J757*1.4</f>
        <v>51.453645833333326</v>
      </c>
      <c r="M757" s="232">
        <v>90</v>
      </c>
      <c r="O757" s="167"/>
      <c r="P757" s="395" t="s">
        <v>12</v>
      </c>
      <c r="Q757" s="495">
        <v>45500</v>
      </c>
      <c r="R757" s="396"/>
      <c r="S757" s="395"/>
      <c r="T757" s="395"/>
    </row>
    <row r="758" spans="1:20" s="149" customFormat="1" ht="15" customHeight="1" outlineLevel="1" x14ac:dyDescent="0.25">
      <c r="A758" s="888" t="s">
        <v>1360</v>
      </c>
      <c r="B758" s="319" t="s">
        <v>625</v>
      </c>
      <c r="C758" s="347">
        <v>516</v>
      </c>
      <c r="D758" s="656">
        <v>44</v>
      </c>
      <c r="E758" s="628" t="s">
        <v>2616</v>
      </c>
      <c r="F758" s="226">
        <v>22</v>
      </c>
      <c r="G758" s="178">
        <v>768</v>
      </c>
      <c r="H758" s="226">
        <v>515</v>
      </c>
      <c r="I758" s="820">
        <f t="shared" ref="I758:I768" si="178">+F758/G758*H758</f>
        <v>14.752604166666666</v>
      </c>
      <c r="J758" s="820">
        <f t="shared" ref="J758:J768" si="179">+F758+I758</f>
        <v>36.752604166666664</v>
      </c>
      <c r="K758" s="228"/>
      <c r="L758" s="226">
        <f t="shared" ref="L758:L768" si="180">+J758*1.4</f>
        <v>51.453645833333326</v>
      </c>
      <c r="M758" s="226">
        <v>90</v>
      </c>
      <c r="O758" s="167"/>
      <c r="P758" s="395"/>
      <c r="Q758" s="395"/>
      <c r="R758" s="396"/>
      <c r="S758" s="395"/>
      <c r="T758" s="395"/>
    </row>
    <row r="759" spans="1:20" s="149" customFormat="1" ht="15" hidden="1" customHeight="1" outlineLevel="1" x14ac:dyDescent="0.25">
      <c r="A759" s="154" t="s">
        <v>1360</v>
      </c>
      <c r="B759" s="319" t="s">
        <v>625</v>
      </c>
      <c r="C759" s="347">
        <v>517</v>
      </c>
      <c r="D759" s="656">
        <v>46</v>
      </c>
      <c r="E759" s="708" t="s">
        <v>2616</v>
      </c>
      <c r="F759" s="232">
        <v>22</v>
      </c>
      <c r="G759" s="213">
        <v>768</v>
      </c>
      <c r="H759" s="232">
        <v>515</v>
      </c>
      <c r="I759" s="863">
        <f t="shared" si="178"/>
        <v>14.752604166666666</v>
      </c>
      <c r="J759" s="863">
        <f t="shared" si="179"/>
        <v>36.752604166666664</v>
      </c>
      <c r="K759" s="864"/>
      <c r="L759" s="232">
        <f t="shared" si="180"/>
        <v>51.453645833333326</v>
      </c>
      <c r="M759" s="232">
        <v>90</v>
      </c>
      <c r="O759" s="167"/>
      <c r="P759" s="395" t="s">
        <v>12</v>
      </c>
      <c r="Q759" s="495">
        <v>45457</v>
      </c>
      <c r="R759" s="396">
        <f>+M759*14.5</f>
        <v>1305</v>
      </c>
      <c r="S759" s="395"/>
      <c r="T759" s="395"/>
    </row>
    <row r="760" spans="1:20" s="149" customFormat="1" ht="15" hidden="1" customHeight="1" outlineLevel="1" x14ac:dyDescent="0.25">
      <c r="A760" s="154" t="s">
        <v>1360</v>
      </c>
      <c r="B760" s="319" t="s">
        <v>625</v>
      </c>
      <c r="C760" s="347">
        <v>518</v>
      </c>
      <c r="D760" s="656">
        <v>48</v>
      </c>
      <c r="E760" s="708" t="s">
        <v>2616</v>
      </c>
      <c r="F760" s="232">
        <v>22</v>
      </c>
      <c r="G760" s="213">
        <v>768</v>
      </c>
      <c r="H760" s="232">
        <v>515</v>
      </c>
      <c r="I760" s="863">
        <f t="shared" si="178"/>
        <v>14.752604166666666</v>
      </c>
      <c r="J760" s="863">
        <f t="shared" si="179"/>
        <v>36.752604166666664</v>
      </c>
      <c r="K760" s="864"/>
      <c r="L760" s="232">
        <f t="shared" si="180"/>
        <v>51.453645833333326</v>
      </c>
      <c r="M760" s="232">
        <v>90</v>
      </c>
      <c r="O760" s="167"/>
      <c r="P760" s="395" t="s">
        <v>12</v>
      </c>
      <c r="Q760" s="495">
        <v>45457</v>
      </c>
      <c r="R760" s="396">
        <f>+M760*14.5</f>
        <v>1305</v>
      </c>
      <c r="S760" s="395"/>
      <c r="T760" s="395"/>
    </row>
    <row r="761" spans="1:20" s="149" customFormat="1" ht="15" customHeight="1" outlineLevel="1" x14ac:dyDescent="0.25">
      <c r="A761" s="154" t="s">
        <v>1360</v>
      </c>
      <c r="B761" s="319" t="s">
        <v>934</v>
      </c>
      <c r="C761" s="347">
        <v>519</v>
      </c>
      <c r="D761" s="656">
        <v>42</v>
      </c>
      <c r="E761" s="628" t="s">
        <v>2617</v>
      </c>
      <c r="F761" s="226">
        <v>22</v>
      </c>
      <c r="G761" s="178">
        <v>768</v>
      </c>
      <c r="H761" s="226">
        <v>515</v>
      </c>
      <c r="I761" s="820">
        <f t="shared" si="178"/>
        <v>14.752604166666666</v>
      </c>
      <c r="J761" s="820">
        <f t="shared" si="179"/>
        <v>36.752604166666664</v>
      </c>
      <c r="K761" s="228"/>
      <c r="L761" s="226">
        <f t="shared" si="180"/>
        <v>51.453645833333326</v>
      </c>
      <c r="M761" s="226">
        <v>90</v>
      </c>
      <c r="O761" s="167"/>
      <c r="P761" s="395"/>
      <c r="Q761" s="395"/>
      <c r="R761" s="396"/>
      <c r="S761" s="395"/>
      <c r="T761" s="395"/>
    </row>
    <row r="762" spans="1:20" s="149" customFormat="1" ht="15" hidden="1" customHeight="1" outlineLevel="1" x14ac:dyDescent="0.25">
      <c r="A762" s="154" t="s">
        <v>1360</v>
      </c>
      <c r="B762" s="319" t="s">
        <v>934</v>
      </c>
      <c r="C762" s="347">
        <v>520</v>
      </c>
      <c r="D762" s="656">
        <v>44</v>
      </c>
      <c r="E762" s="708" t="s">
        <v>2617</v>
      </c>
      <c r="F762" s="232">
        <v>22</v>
      </c>
      <c r="G762" s="213">
        <v>768</v>
      </c>
      <c r="H762" s="232">
        <v>515</v>
      </c>
      <c r="I762" s="863">
        <f t="shared" si="178"/>
        <v>14.752604166666666</v>
      </c>
      <c r="J762" s="863">
        <f t="shared" si="179"/>
        <v>36.752604166666664</v>
      </c>
      <c r="K762" s="864"/>
      <c r="L762" s="232">
        <f t="shared" si="180"/>
        <v>51.453645833333326</v>
      </c>
      <c r="M762" s="232">
        <v>90</v>
      </c>
      <c r="O762" s="167"/>
      <c r="P762" s="395" t="s">
        <v>12</v>
      </c>
      <c r="Q762" s="495">
        <v>45460</v>
      </c>
      <c r="R762" s="396">
        <f>+M762*14.5</f>
        <v>1305</v>
      </c>
      <c r="S762" s="395"/>
      <c r="T762" s="395"/>
    </row>
    <row r="763" spans="1:20" s="149" customFormat="1" ht="15" customHeight="1" outlineLevel="1" x14ac:dyDescent="0.25">
      <c r="A763" s="154" t="s">
        <v>1360</v>
      </c>
      <c r="B763" s="319" t="s">
        <v>934</v>
      </c>
      <c r="C763" s="347">
        <v>521</v>
      </c>
      <c r="D763" s="656">
        <v>46</v>
      </c>
      <c r="E763" s="628" t="s">
        <v>2617</v>
      </c>
      <c r="F763" s="226">
        <v>22</v>
      </c>
      <c r="G763" s="178">
        <v>768</v>
      </c>
      <c r="H763" s="226">
        <v>515</v>
      </c>
      <c r="I763" s="820">
        <f t="shared" si="178"/>
        <v>14.752604166666666</v>
      </c>
      <c r="J763" s="820">
        <f t="shared" si="179"/>
        <v>36.752604166666664</v>
      </c>
      <c r="K763" s="228"/>
      <c r="L763" s="226">
        <f t="shared" si="180"/>
        <v>51.453645833333326</v>
      </c>
      <c r="M763" s="226">
        <v>90</v>
      </c>
      <c r="O763" s="167"/>
      <c r="P763" s="395"/>
      <c r="Q763" s="395"/>
      <c r="R763" s="396"/>
      <c r="S763" s="395"/>
      <c r="T763" s="395"/>
    </row>
    <row r="764" spans="1:20" s="149" customFormat="1" ht="15" hidden="1" customHeight="1" outlineLevel="1" x14ac:dyDescent="0.25">
      <c r="A764" s="154" t="s">
        <v>1360</v>
      </c>
      <c r="B764" s="319" t="s">
        <v>934</v>
      </c>
      <c r="C764" s="347">
        <v>522</v>
      </c>
      <c r="D764" s="656">
        <v>48</v>
      </c>
      <c r="E764" s="708" t="s">
        <v>2617</v>
      </c>
      <c r="F764" s="232">
        <v>22</v>
      </c>
      <c r="G764" s="213">
        <v>768</v>
      </c>
      <c r="H764" s="232">
        <v>515</v>
      </c>
      <c r="I764" s="863">
        <f t="shared" si="178"/>
        <v>14.752604166666666</v>
      </c>
      <c r="J764" s="863">
        <f t="shared" si="179"/>
        <v>36.752604166666664</v>
      </c>
      <c r="K764" s="864"/>
      <c r="L764" s="232">
        <f t="shared" si="180"/>
        <v>51.453645833333326</v>
      </c>
      <c r="M764" s="232">
        <v>90</v>
      </c>
      <c r="O764" s="167"/>
      <c r="P764" s="395" t="s">
        <v>12</v>
      </c>
      <c r="Q764" s="495">
        <v>45461</v>
      </c>
      <c r="R764" s="396">
        <f>+M764*14.5</f>
        <v>1305</v>
      </c>
      <c r="S764" s="395"/>
      <c r="T764" s="395"/>
    </row>
    <row r="765" spans="1:20" s="149" customFormat="1" ht="15" customHeight="1" outlineLevel="1" x14ac:dyDescent="0.25">
      <c r="A765" s="154" t="s">
        <v>1360</v>
      </c>
      <c r="B765" s="319" t="s">
        <v>934</v>
      </c>
      <c r="C765" s="347">
        <v>523</v>
      </c>
      <c r="D765" s="656">
        <v>42</v>
      </c>
      <c r="E765" s="628" t="s">
        <v>2619</v>
      </c>
      <c r="F765" s="226">
        <v>22</v>
      </c>
      <c r="G765" s="178">
        <v>768</v>
      </c>
      <c r="H765" s="226">
        <v>515</v>
      </c>
      <c r="I765" s="820">
        <f t="shared" si="178"/>
        <v>14.752604166666666</v>
      </c>
      <c r="J765" s="820">
        <f t="shared" si="179"/>
        <v>36.752604166666664</v>
      </c>
      <c r="K765" s="228"/>
      <c r="L765" s="226">
        <f t="shared" si="180"/>
        <v>51.453645833333326</v>
      </c>
      <c r="M765" s="226">
        <v>90</v>
      </c>
      <c r="O765" s="167"/>
      <c r="P765" s="395"/>
      <c r="Q765" s="395"/>
      <c r="R765" s="396"/>
      <c r="S765" s="395"/>
      <c r="T765" s="395"/>
    </row>
    <row r="766" spans="1:20" s="149" customFormat="1" ht="15" customHeight="1" outlineLevel="1" x14ac:dyDescent="0.25">
      <c r="A766" s="154" t="s">
        <v>1360</v>
      </c>
      <c r="B766" s="319" t="s">
        <v>934</v>
      </c>
      <c r="C766" s="347">
        <v>524</v>
      </c>
      <c r="D766" s="656">
        <v>44</v>
      </c>
      <c r="E766" s="628" t="s">
        <v>2619</v>
      </c>
      <c r="F766" s="226">
        <v>22</v>
      </c>
      <c r="G766" s="178">
        <v>768</v>
      </c>
      <c r="H766" s="226">
        <v>515</v>
      </c>
      <c r="I766" s="820">
        <f t="shared" si="178"/>
        <v>14.752604166666666</v>
      </c>
      <c r="J766" s="820">
        <f t="shared" si="179"/>
        <v>36.752604166666664</v>
      </c>
      <c r="K766" s="228"/>
      <c r="L766" s="226">
        <f t="shared" si="180"/>
        <v>51.453645833333326</v>
      </c>
      <c r="M766" s="226">
        <v>90</v>
      </c>
      <c r="O766" s="167"/>
      <c r="P766" s="395"/>
      <c r="Q766" s="395"/>
      <c r="R766" s="396"/>
      <c r="S766" s="395"/>
      <c r="T766" s="395"/>
    </row>
    <row r="767" spans="1:20" s="149" customFormat="1" ht="15" customHeight="1" outlineLevel="1" x14ac:dyDescent="0.25">
      <c r="A767" s="154" t="s">
        <v>1360</v>
      </c>
      <c r="B767" s="319" t="s">
        <v>934</v>
      </c>
      <c r="C767" s="347">
        <v>525</v>
      </c>
      <c r="D767" s="656">
        <v>46</v>
      </c>
      <c r="E767" s="628" t="s">
        <v>2619</v>
      </c>
      <c r="F767" s="226">
        <v>22</v>
      </c>
      <c r="G767" s="178">
        <v>768</v>
      </c>
      <c r="H767" s="226">
        <v>515</v>
      </c>
      <c r="I767" s="820">
        <f t="shared" si="178"/>
        <v>14.752604166666666</v>
      </c>
      <c r="J767" s="820">
        <f t="shared" si="179"/>
        <v>36.752604166666664</v>
      </c>
      <c r="K767" s="228"/>
      <c r="L767" s="226">
        <f t="shared" si="180"/>
        <v>51.453645833333326</v>
      </c>
      <c r="M767" s="226">
        <v>90</v>
      </c>
      <c r="O767" s="167"/>
      <c r="P767" s="395"/>
      <c r="Q767" s="395"/>
      <c r="R767" s="396"/>
      <c r="S767" s="395"/>
      <c r="T767" s="395"/>
    </row>
    <row r="768" spans="1:20" s="149" customFormat="1" ht="15" hidden="1" customHeight="1" outlineLevel="1" x14ac:dyDescent="0.25">
      <c r="A768" s="154" t="s">
        <v>1360</v>
      </c>
      <c r="B768" s="319" t="s">
        <v>934</v>
      </c>
      <c r="C768" s="347"/>
      <c r="D768" s="656">
        <v>48</v>
      </c>
      <c r="E768" s="708" t="s">
        <v>2619</v>
      </c>
      <c r="F768" s="232">
        <v>22</v>
      </c>
      <c r="G768" s="213">
        <v>768</v>
      </c>
      <c r="H768" s="232">
        <v>515</v>
      </c>
      <c r="I768" s="863">
        <f t="shared" si="178"/>
        <v>14.752604166666666</v>
      </c>
      <c r="J768" s="863">
        <f t="shared" si="179"/>
        <v>36.752604166666664</v>
      </c>
      <c r="K768" s="864"/>
      <c r="L768" s="232">
        <f t="shared" si="180"/>
        <v>51.453645833333326</v>
      </c>
      <c r="M768" s="232">
        <v>90</v>
      </c>
      <c r="O768" s="167"/>
      <c r="P768" s="395" t="s">
        <v>12</v>
      </c>
      <c r="Q768" s="495">
        <v>45434</v>
      </c>
      <c r="R768" s="396">
        <f>+M768*14.5</f>
        <v>1305</v>
      </c>
      <c r="S768" s="395"/>
      <c r="T768" s="395"/>
    </row>
    <row r="769" spans="1:20" ht="15" customHeight="1" outlineLevel="1" x14ac:dyDescent="0.25">
      <c r="A769" s="393">
        <v>2022</v>
      </c>
      <c r="B769" s="393">
        <v>912</v>
      </c>
      <c r="C769" s="169">
        <v>-531</v>
      </c>
      <c r="D769" s="395">
        <f>+B769+C769</f>
        <v>381</v>
      </c>
      <c r="E769" s="395"/>
      <c r="F769" s="167"/>
      <c r="G769" s="167"/>
      <c r="H769" s="167"/>
      <c r="I769" s="167"/>
      <c r="J769" s="167"/>
      <c r="K769" s="167"/>
      <c r="L769" s="167"/>
      <c r="M769" s="167"/>
      <c r="N769" s="404"/>
      <c r="O769" s="395"/>
      <c r="P769" s="395"/>
      <c r="Q769" s="833"/>
      <c r="R769" s="396"/>
      <c r="S769" s="395"/>
      <c r="T769" s="395"/>
    </row>
    <row r="770" spans="1:20" ht="15" customHeight="1" outlineLevel="1" x14ac:dyDescent="0.25">
      <c r="A770" s="393">
        <v>2023</v>
      </c>
      <c r="B770" s="393">
        <f>493+106+91+111+28+73</f>
        <v>902</v>
      </c>
      <c r="C770" s="169">
        <v>-555</v>
      </c>
      <c r="D770" s="395">
        <f>+B770+C770</f>
        <v>347</v>
      </c>
      <c r="E770" s="395"/>
      <c r="F770" s="167"/>
      <c r="G770" s="167"/>
      <c r="H770" s="167"/>
      <c r="I770" s="167"/>
      <c r="J770" s="167"/>
      <c r="K770" s="167"/>
      <c r="L770" s="167"/>
      <c r="M770" s="167"/>
      <c r="N770" s="404"/>
      <c r="O770" s="395"/>
      <c r="P770" s="395"/>
      <c r="Q770" s="833"/>
      <c r="R770" s="396"/>
      <c r="S770" s="395"/>
      <c r="T770" s="395"/>
    </row>
    <row r="771" spans="1:20" ht="15" customHeight="1" outlineLevel="1" x14ac:dyDescent="0.25">
      <c r="A771" s="393"/>
      <c r="B771" s="393"/>
      <c r="C771" s="169"/>
      <c r="D771" s="395"/>
      <c r="E771" s="395"/>
      <c r="F771" s="167"/>
      <c r="G771" s="167"/>
      <c r="H771" s="167"/>
      <c r="I771" s="167"/>
      <c r="J771" s="167"/>
      <c r="K771" s="167"/>
      <c r="L771" s="167"/>
      <c r="M771" s="167"/>
      <c r="N771" s="404"/>
      <c r="O771" s="395"/>
      <c r="P771" s="395"/>
      <c r="Q771" s="833"/>
      <c r="R771" s="396"/>
      <c r="S771" s="395"/>
      <c r="T771" s="395"/>
    </row>
    <row r="772" spans="1:20" ht="23.25" customHeight="1" outlineLevel="1" x14ac:dyDescent="0.35">
      <c r="B772" s="332"/>
      <c r="C772" s="500"/>
      <c r="D772" s="501"/>
      <c r="E772" s="670" t="s">
        <v>11</v>
      </c>
      <c r="F772" s="150"/>
      <c r="G772" s="150"/>
      <c r="H772" s="150"/>
      <c r="I772" s="150"/>
      <c r="J772" s="150"/>
      <c r="K772" s="150"/>
      <c r="L772" s="150"/>
      <c r="M772" s="150"/>
      <c r="N772" s="404"/>
      <c r="O772" s="393"/>
      <c r="P772" s="393"/>
      <c r="Q772" s="837"/>
      <c r="R772" s="922"/>
      <c r="S772" s="28"/>
      <c r="T772" s="12"/>
    </row>
    <row r="773" spans="1:20" ht="15" customHeight="1" outlineLevel="1" x14ac:dyDescent="0.25">
      <c r="B773" s="393" t="s">
        <v>263</v>
      </c>
      <c r="C773" s="508"/>
      <c r="D773" s="508"/>
      <c r="E773" s="395"/>
      <c r="F773" s="258"/>
      <c r="G773" s="160"/>
      <c r="H773" s="160"/>
      <c r="K773" s="344"/>
      <c r="L773" s="258"/>
      <c r="M773" s="160"/>
      <c r="N773" s="494"/>
      <c r="O773" s="395"/>
      <c r="P773" s="395"/>
      <c r="Q773" s="834"/>
      <c r="R773" s="917"/>
      <c r="S773" s="22"/>
    </row>
    <row r="774" spans="1:20" ht="15" customHeight="1" outlineLevel="1" x14ac:dyDescent="0.25">
      <c r="A774" s="149" t="s">
        <v>256</v>
      </c>
      <c r="B774" s="395" t="s">
        <v>256</v>
      </c>
      <c r="C774" s="395">
        <v>1</v>
      </c>
      <c r="D774" s="395">
        <v>48</v>
      </c>
      <c r="E774" s="395" t="s">
        <v>853</v>
      </c>
      <c r="F774" s="394">
        <v>13</v>
      </c>
      <c r="G774" s="395">
        <v>4794</v>
      </c>
      <c r="H774" s="395">
        <v>7630</v>
      </c>
      <c r="I774" s="394">
        <f>+F774/G774*H774</f>
        <v>20.690446391322485</v>
      </c>
      <c r="J774" s="394">
        <f>+F774+I774</f>
        <v>33.690446391322482</v>
      </c>
      <c r="K774" s="491">
        <v>0.3</v>
      </c>
      <c r="L774" s="394">
        <f>+J774*K774+J774</f>
        <v>43.797580308719226</v>
      </c>
      <c r="M774" s="394">
        <v>65</v>
      </c>
      <c r="N774" s="504">
        <v>40</v>
      </c>
      <c r="O774" s="362"/>
      <c r="P774" s="395" t="s">
        <v>1723</v>
      </c>
      <c r="Q774" s="834">
        <v>45386</v>
      </c>
      <c r="R774" s="917">
        <f>+N774*35000</f>
        <v>1400000</v>
      </c>
      <c r="S774" s="22"/>
    </row>
    <row r="775" spans="1:20" ht="15" customHeight="1" outlineLevel="1" x14ac:dyDescent="0.25">
      <c r="A775" s="149" t="s">
        <v>256</v>
      </c>
      <c r="B775" s="395" t="s">
        <v>256</v>
      </c>
      <c r="C775" s="395">
        <v>2</v>
      </c>
      <c r="D775" s="395">
        <v>46</v>
      </c>
      <c r="E775" s="395" t="s">
        <v>853</v>
      </c>
      <c r="F775" s="258">
        <v>13</v>
      </c>
      <c r="G775" s="160">
        <v>4794</v>
      </c>
      <c r="H775" s="160">
        <v>7630</v>
      </c>
      <c r="I775" s="258">
        <f>+F775/G775*H775</f>
        <v>20.690446391322485</v>
      </c>
      <c r="J775" s="258">
        <f>+F775+I775</f>
        <v>33.690446391322482</v>
      </c>
      <c r="K775" s="344">
        <v>0.3</v>
      </c>
      <c r="L775" s="258">
        <f>+J775*K775+J775</f>
        <v>43.797580308719226</v>
      </c>
      <c r="M775" s="258">
        <v>65</v>
      </c>
      <c r="N775" s="504"/>
      <c r="O775" s="362"/>
      <c r="P775" s="395"/>
      <c r="Q775" s="834"/>
      <c r="R775" s="917"/>
      <c r="S775" s="22"/>
    </row>
    <row r="776" spans="1:20" ht="15" customHeight="1" outlineLevel="1" x14ac:dyDescent="0.25">
      <c r="A776" s="149" t="s">
        <v>256</v>
      </c>
      <c r="B776" s="395" t="s">
        <v>256</v>
      </c>
      <c r="C776" s="395">
        <v>3</v>
      </c>
      <c r="D776" s="395">
        <v>48</v>
      </c>
      <c r="E776" s="395" t="s">
        <v>853</v>
      </c>
      <c r="F776" s="258">
        <v>13</v>
      </c>
      <c r="G776" s="160">
        <v>4794</v>
      </c>
      <c r="H776" s="160">
        <v>7630</v>
      </c>
      <c r="I776" s="258">
        <f>+F776/G776*H776</f>
        <v>20.690446391322485</v>
      </c>
      <c r="J776" s="258">
        <f>+F776+I776</f>
        <v>33.690446391322482</v>
      </c>
      <c r="K776" s="344">
        <v>0.3</v>
      </c>
      <c r="L776" s="258">
        <f>+J776*K776+J776</f>
        <v>43.797580308719226</v>
      </c>
      <c r="M776" s="258">
        <v>65</v>
      </c>
      <c r="N776" s="504"/>
      <c r="O776" s="362"/>
      <c r="P776" s="395"/>
      <c r="Q776" s="834"/>
      <c r="R776" s="917"/>
      <c r="S776" s="22"/>
    </row>
    <row r="777" spans="1:20" ht="15" customHeight="1" outlineLevel="1" x14ac:dyDescent="0.25">
      <c r="B777" s="393" t="s">
        <v>273</v>
      </c>
      <c r="C777" s="508"/>
      <c r="D777" s="508"/>
      <c r="E777" s="395"/>
      <c r="F777" s="258"/>
      <c r="G777" s="160"/>
      <c r="H777" s="160"/>
      <c r="K777" s="344"/>
      <c r="L777" s="258"/>
      <c r="M777" s="258"/>
      <c r="N777" s="504"/>
      <c r="O777" s="395"/>
      <c r="P777" s="395"/>
      <c r="Q777" s="834"/>
      <c r="R777" s="917"/>
      <c r="S777" s="22"/>
    </row>
    <row r="778" spans="1:20" s="149" customFormat="1" ht="15" hidden="1" customHeight="1" outlineLevel="1" x14ac:dyDescent="0.25">
      <c r="A778" s="154"/>
      <c r="B778" s="395" t="s">
        <v>281</v>
      </c>
      <c r="C778" s="395">
        <v>4</v>
      </c>
      <c r="D778" s="395">
        <v>42</v>
      </c>
      <c r="E778" s="317" t="s">
        <v>854</v>
      </c>
      <c r="F778" s="545">
        <v>15</v>
      </c>
      <c r="G778" s="317">
        <v>8277</v>
      </c>
      <c r="H778" s="317">
        <v>15182</v>
      </c>
      <c r="I778" s="493">
        <f t="shared" ref="I778:I783" si="181">+F778/G778*H778</f>
        <v>27.513591881116344</v>
      </c>
      <c r="J778" s="493">
        <f t="shared" ref="J778:J783" si="182">+F778+I778</f>
        <v>42.513591881116341</v>
      </c>
      <c r="K778" s="692">
        <v>0.3</v>
      </c>
      <c r="L778" s="493">
        <f>+J778*K778+J778</f>
        <v>55.26766944545124</v>
      </c>
      <c r="M778" s="493">
        <v>65</v>
      </c>
      <c r="N778" s="504"/>
      <c r="O778" s="362"/>
      <c r="P778" s="395" t="s">
        <v>12</v>
      </c>
      <c r="Q778" s="834">
        <v>45360</v>
      </c>
      <c r="R778" s="917">
        <f>+M778*18000</f>
        <v>1170000</v>
      </c>
      <c r="S778" s="11"/>
      <c r="T778" s="11"/>
    </row>
    <row r="779" spans="1:20" s="113" customFormat="1" ht="15" customHeight="1" outlineLevel="1" x14ac:dyDescent="0.25">
      <c r="A779" s="682"/>
      <c r="B779" s="494" t="s">
        <v>281</v>
      </c>
      <c r="C779" s="494"/>
      <c r="D779" s="494">
        <v>44</v>
      </c>
      <c r="E779" s="494" t="s">
        <v>855</v>
      </c>
      <c r="F779" s="404">
        <v>15</v>
      </c>
      <c r="G779" s="494">
        <v>8277</v>
      </c>
      <c r="H779" s="494">
        <v>15182</v>
      </c>
      <c r="I779" s="504">
        <f t="shared" si="181"/>
        <v>27.513591881116344</v>
      </c>
      <c r="J779" s="504">
        <f t="shared" si="182"/>
        <v>42.513591881116341</v>
      </c>
      <c r="K779" s="586">
        <v>0.3</v>
      </c>
      <c r="L779" s="504">
        <f>+J779*K779+J779</f>
        <v>55.26766944545124</v>
      </c>
      <c r="M779" s="504">
        <v>65</v>
      </c>
      <c r="N779" s="504"/>
      <c r="O779" s="494"/>
      <c r="P779" s="494"/>
      <c r="Q779" s="841"/>
      <c r="R779" s="918"/>
    </row>
    <row r="780" spans="1:20" s="149" customFormat="1" ht="15" customHeight="1" outlineLevel="1" x14ac:dyDescent="0.25">
      <c r="A780" s="154"/>
      <c r="B780" s="395" t="s">
        <v>290</v>
      </c>
      <c r="C780" s="395">
        <v>5</v>
      </c>
      <c r="D780" s="395">
        <v>38</v>
      </c>
      <c r="E780" s="395" t="s">
        <v>284</v>
      </c>
      <c r="F780" s="167">
        <v>8</v>
      </c>
      <c r="G780" s="395">
        <v>8277</v>
      </c>
      <c r="H780" s="395">
        <v>15182</v>
      </c>
      <c r="I780" s="394">
        <f t="shared" ref="I780" si="183">+F780/G780*H780</f>
        <v>14.67391566992872</v>
      </c>
      <c r="J780" s="394">
        <f t="shared" ref="J780" si="184">+F780+I780</f>
        <v>22.673915669928718</v>
      </c>
      <c r="K780" s="492">
        <v>0.3</v>
      </c>
      <c r="L780" s="394">
        <f t="shared" ref="L780" si="185">+J780*K780+J780</f>
        <v>29.476090370907333</v>
      </c>
      <c r="M780" s="394">
        <v>40</v>
      </c>
      <c r="N780" s="504"/>
      <c r="O780" s="362"/>
      <c r="P780" s="659" t="s">
        <v>1710</v>
      </c>
      <c r="Q780" s="833"/>
      <c r="R780" s="396"/>
    </row>
    <row r="781" spans="1:20" ht="15" customHeight="1" outlineLevel="1" x14ac:dyDescent="0.25">
      <c r="B781" s="395" t="s">
        <v>290</v>
      </c>
      <c r="C781" s="395">
        <v>6</v>
      </c>
      <c r="D781" s="395">
        <v>38</v>
      </c>
      <c r="E781" s="395" t="s">
        <v>285</v>
      </c>
      <c r="F781" s="167">
        <v>9</v>
      </c>
      <c r="G781" s="395">
        <v>8277</v>
      </c>
      <c r="H781" s="395">
        <v>15182</v>
      </c>
      <c r="I781" s="394">
        <f t="shared" si="181"/>
        <v>16.508155128669806</v>
      </c>
      <c r="J781" s="394">
        <f t="shared" si="182"/>
        <v>25.508155128669806</v>
      </c>
      <c r="K781" s="492">
        <v>0.3</v>
      </c>
      <c r="L781" s="394">
        <f t="shared" ref="L781:L786" si="186">+J781*K781+J781</f>
        <v>33.160601667270747</v>
      </c>
      <c r="M781" s="394">
        <v>55</v>
      </c>
      <c r="N781" s="504"/>
      <c r="O781" s="362"/>
      <c r="P781" s="160"/>
      <c r="Q781" s="834"/>
      <c r="R781" s="917"/>
    </row>
    <row r="782" spans="1:20" ht="15" customHeight="1" outlineLevel="1" x14ac:dyDescent="0.25">
      <c r="B782" s="395" t="s">
        <v>290</v>
      </c>
      <c r="C782" s="395">
        <v>7</v>
      </c>
      <c r="D782" s="395">
        <v>40</v>
      </c>
      <c r="E782" s="395" t="s">
        <v>285</v>
      </c>
      <c r="F782" s="167">
        <v>9</v>
      </c>
      <c r="G782" s="395">
        <v>8277</v>
      </c>
      <c r="H782" s="395">
        <v>15182</v>
      </c>
      <c r="I782" s="394">
        <f t="shared" si="181"/>
        <v>16.508155128669806</v>
      </c>
      <c r="J782" s="394">
        <f t="shared" si="182"/>
        <v>25.508155128669806</v>
      </c>
      <c r="K782" s="492">
        <v>0.3</v>
      </c>
      <c r="L782" s="394">
        <f t="shared" si="186"/>
        <v>33.160601667270747</v>
      </c>
      <c r="M782" s="394">
        <v>55</v>
      </c>
      <c r="N782" s="504"/>
      <c r="O782" s="362"/>
      <c r="P782" s="160"/>
      <c r="Q782" s="834"/>
      <c r="R782" s="917"/>
    </row>
    <row r="783" spans="1:20" ht="15" customHeight="1" outlineLevel="1" x14ac:dyDescent="0.25">
      <c r="B783" s="395" t="s">
        <v>290</v>
      </c>
      <c r="C783" s="395">
        <v>8</v>
      </c>
      <c r="D783" s="395">
        <v>42</v>
      </c>
      <c r="E783" s="395" t="s">
        <v>285</v>
      </c>
      <c r="F783" s="167">
        <v>9</v>
      </c>
      <c r="G783" s="395">
        <v>8277</v>
      </c>
      <c r="H783" s="395">
        <v>15182</v>
      </c>
      <c r="I783" s="394">
        <f t="shared" si="181"/>
        <v>16.508155128669806</v>
      </c>
      <c r="J783" s="394">
        <f t="shared" si="182"/>
        <v>25.508155128669806</v>
      </c>
      <c r="K783" s="492">
        <v>0.3</v>
      </c>
      <c r="L783" s="394">
        <f t="shared" si="186"/>
        <v>33.160601667270747</v>
      </c>
      <c r="M783" s="394">
        <v>55</v>
      </c>
      <c r="N783" s="504"/>
      <c r="O783" s="362"/>
      <c r="P783" s="160"/>
      <c r="Q783" s="834"/>
      <c r="R783" s="917"/>
    </row>
    <row r="784" spans="1:20" ht="15" customHeight="1" outlineLevel="1" x14ac:dyDescent="0.25">
      <c r="B784" s="395"/>
      <c r="C784" s="395"/>
      <c r="D784" s="395"/>
      <c r="E784" s="393" t="s">
        <v>310</v>
      </c>
      <c r="F784" s="150"/>
      <c r="G784" s="160"/>
      <c r="H784" s="160"/>
      <c r="K784" s="497"/>
      <c r="L784" s="394">
        <f t="shared" si="186"/>
        <v>0</v>
      </c>
      <c r="M784" s="258"/>
      <c r="N784" s="504"/>
      <c r="O784" s="395"/>
      <c r="P784" s="160"/>
      <c r="Q784" s="834"/>
      <c r="R784" s="917"/>
    </row>
    <row r="785" spans="1:20" s="395" customFormat="1" ht="15.75" outlineLevel="1" x14ac:dyDescent="0.25">
      <c r="A785" s="154"/>
      <c r="B785" s="395" t="s">
        <v>308</v>
      </c>
      <c r="C785" s="395">
        <v>9</v>
      </c>
      <c r="D785" s="395">
        <v>38</v>
      </c>
      <c r="E785" s="395" t="s">
        <v>320</v>
      </c>
      <c r="F785" s="394">
        <v>15</v>
      </c>
      <c r="G785" s="395">
        <v>5877</v>
      </c>
      <c r="H785" s="395">
        <v>11925</v>
      </c>
      <c r="I785" s="394">
        <f t="shared" ref="I785:I789" si="187">+F785/G785*H785</f>
        <v>30.436447166921898</v>
      </c>
      <c r="J785" s="394">
        <f t="shared" ref="J785:J789" si="188">+F785+I785</f>
        <v>45.436447166921894</v>
      </c>
      <c r="K785" s="492">
        <v>0.3</v>
      </c>
      <c r="L785" s="394">
        <f t="shared" si="186"/>
        <v>59.067381316998464</v>
      </c>
      <c r="M785" s="394">
        <v>65</v>
      </c>
      <c r="N785" s="504"/>
      <c r="O785" s="362"/>
      <c r="P785" s="160"/>
      <c r="Q785" s="834"/>
      <c r="R785" s="917"/>
      <c r="S785" s="11"/>
      <c r="T785" s="11"/>
    </row>
    <row r="786" spans="1:20" s="395" customFormat="1" ht="15.75" outlineLevel="1" x14ac:dyDescent="0.25">
      <c r="A786" s="154"/>
      <c r="B786" s="395" t="s">
        <v>308</v>
      </c>
      <c r="C786" s="395">
        <v>10</v>
      </c>
      <c r="D786" s="395">
        <v>42</v>
      </c>
      <c r="E786" s="395" t="s">
        <v>320</v>
      </c>
      <c r="F786" s="258">
        <v>15</v>
      </c>
      <c r="G786" s="160">
        <v>5877</v>
      </c>
      <c r="H786" s="160">
        <v>11925</v>
      </c>
      <c r="I786" s="258">
        <f t="shared" si="187"/>
        <v>30.436447166921898</v>
      </c>
      <c r="J786" s="258">
        <f t="shared" si="188"/>
        <v>45.436447166921894</v>
      </c>
      <c r="K786" s="497">
        <v>0.3</v>
      </c>
      <c r="L786" s="394">
        <f t="shared" si="186"/>
        <v>59.067381316998464</v>
      </c>
      <c r="M786" s="258">
        <v>65</v>
      </c>
      <c r="N786" s="504"/>
      <c r="O786" s="362"/>
      <c r="Q786" s="833"/>
      <c r="R786" s="396"/>
      <c r="S786" s="149"/>
      <c r="T786" s="149"/>
    </row>
    <row r="787" spans="1:20" s="395" customFormat="1" ht="15.75" outlineLevel="1" x14ac:dyDescent="0.25">
      <c r="A787" s="154" t="s">
        <v>218</v>
      </c>
      <c r="B787" s="395" t="s">
        <v>19</v>
      </c>
      <c r="C787" s="395">
        <v>11</v>
      </c>
      <c r="D787" s="395">
        <v>46</v>
      </c>
      <c r="E787" s="395" t="s">
        <v>321</v>
      </c>
      <c r="F787" s="394">
        <v>10</v>
      </c>
      <c r="G787" s="395">
        <v>5877</v>
      </c>
      <c r="H787" s="395">
        <v>11925</v>
      </c>
      <c r="I787" s="394">
        <f t="shared" si="187"/>
        <v>20.290964777947934</v>
      </c>
      <c r="J787" s="394">
        <f t="shared" si="188"/>
        <v>30.290964777947934</v>
      </c>
      <c r="K787" s="492">
        <v>0.3</v>
      </c>
      <c r="L787" s="394">
        <f t="shared" ref="L787:L794" si="189">+J787*K787+J787</f>
        <v>39.378254211332312</v>
      </c>
      <c r="M787" s="394">
        <v>55</v>
      </c>
      <c r="N787" s="504"/>
      <c r="O787" s="362"/>
      <c r="P787" s="160"/>
      <c r="Q787" s="834"/>
      <c r="R787" s="917"/>
      <c r="S787" s="11"/>
      <c r="T787" s="11"/>
    </row>
    <row r="788" spans="1:20" s="395" customFormat="1" ht="15.75" outlineLevel="1" x14ac:dyDescent="0.25">
      <c r="A788" s="154"/>
      <c r="B788" s="395" t="s">
        <v>212</v>
      </c>
      <c r="C788" s="395">
        <v>12</v>
      </c>
      <c r="D788" s="395" t="s">
        <v>503</v>
      </c>
      <c r="E788" s="395" t="s">
        <v>346</v>
      </c>
      <c r="F788" s="258">
        <v>22</v>
      </c>
      <c r="G788" s="160">
        <v>5000</v>
      </c>
      <c r="H788" s="160">
        <v>8919</v>
      </c>
      <c r="I788" s="258">
        <f t="shared" si="187"/>
        <v>39.243600000000001</v>
      </c>
      <c r="J788" s="258">
        <f t="shared" si="188"/>
        <v>61.243600000000001</v>
      </c>
      <c r="K788" s="497">
        <v>0.3</v>
      </c>
      <c r="L788" s="394">
        <f t="shared" si="189"/>
        <v>79.616680000000002</v>
      </c>
      <c r="M788" s="258">
        <v>65</v>
      </c>
      <c r="N788" s="504"/>
      <c r="O788" s="362"/>
      <c r="P788" s="160"/>
      <c r="Q788" s="834"/>
      <c r="R788" s="917"/>
      <c r="S788" s="11"/>
      <c r="T788" s="11"/>
    </row>
    <row r="789" spans="1:20" s="395" customFormat="1" ht="15.75" outlineLevel="1" x14ac:dyDescent="0.25">
      <c r="A789" s="154"/>
      <c r="B789" s="395" t="s">
        <v>212</v>
      </c>
      <c r="C789" s="395">
        <v>13</v>
      </c>
      <c r="D789" s="395" t="s">
        <v>501</v>
      </c>
      <c r="E789" s="395" t="s">
        <v>346</v>
      </c>
      <c r="F789" s="394">
        <v>22</v>
      </c>
      <c r="G789" s="395">
        <v>5000</v>
      </c>
      <c r="H789" s="395">
        <v>8919</v>
      </c>
      <c r="I789" s="394">
        <f t="shared" si="187"/>
        <v>39.243600000000001</v>
      </c>
      <c r="J789" s="394">
        <f t="shared" si="188"/>
        <v>61.243600000000001</v>
      </c>
      <c r="K789" s="492">
        <v>0.3</v>
      </c>
      <c r="L789" s="394">
        <f t="shared" si="189"/>
        <v>79.616680000000002</v>
      </c>
      <c r="M789" s="394">
        <v>65</v>
      </c>
      <c r="N789" s="504"/>
      <c r="O789" s="362"/>
      <c r="P789" s="160"/>
      <c r="Q789" s="834"/>
      <c r="R789" s="917"/>
      <c r="S789" s="11"/>
      <c r="T789" s="11"/>
    </row>
    <row r="790" spans="1:20" s="395" customFormat="1" ht="15.75" outlineLevel="1" x14ac:dyDescent="0.25">
      <c r="A790" s="154"/>
      <c r="B790" s="393" t="s">
        <v>383</v>
      </c>
      <c r="F790" s="258"/>
      <c r="G790" s="160"/>
      <c r="H790" s="160"/>
      <c r="I790" s="258"/>
      <c r="J790" s="258"/>
      <c r="K790" s="497"/>
      <c r="L790" s="394">
        <f t="shared" si="189"/>
        <v>0</v>
      </c>
      <c r="M790" s="258"/>
      <c r="N790" s="504"/>
      <c r="P790" s="160"/>
      <c r="Q790" s="834"/>
      <c r="R790" s="917"/>
      <c r="S790" s="11"/>
      <c r="T790" s="11"/>
    </row>
    <row r="791" spans="1:20" s="395" customFormat="1" ht="15.75" outlineLevel="1" x14ac:dyDescent="0.25">
      <c r="A791" s="393"/>
      <c r="B791" s="395" t="s">
        <v>370</v>
      </c>
      <c r="C791" s="395">
        <v>14</v>
      </c>
      <c r="D791" s="395">
        <v>44</v>
      </c>
      <c r="E791" s="395" t="s">
        <v>378</v>
      </c>
      <c r="F791" s="394">
        <v>7.7333333333333334</v>
      </c>
      <c r="G791" s="179">
        <v>5690</v>
      </c>
      <c r="H791" s="394">
        <v>9443</v>
      </c>
      <c r="I791" s="394">
        <f>+F791/G791*H791</f>
        <v>12.834071470415935</v>
      </c>
      <c r="J791" s="394">
        <f>+F791+I791</f>
        <v>20.56740480374927</v>
      </c>
      <c r="K791" s="491">
        <v>0.3</v>
      </c>
      <c r="L791" s="394">
        <f t="shared" si="189"/>
        <v>26.73762624487405</v>
      </c>
      <c r="M791" s="394">
        <v>35</v>
      </c>
      <c r="N791" s="504"/>
      <c r="O791" s="362"/>
      <c r="Q791" s="833"/>
      <c r="R791" s="396"/>
    </row>
    <row r="792" spans="1:20" s="395" customFormat="1" ht="15.75" outlineLevel="1" x14ac:dyDescent="0.25">
      <c r="A792" s="393"/>
      <c r="B792" s="395" t="s">
        <v>370</v>
      </c>
      <c r="C792" s="395">
        <v>15</v>
      </c>
      <c r="D792" s="395">
        <v>48</v>
      </c>
      <c r="E792" s="395" t="s">
        <v>378</v>
      </c>
      <c r="F792" s="394">
        <v>7.7333333333333334</v>
      </c>
      <c r="G792" s="179">
        <v>5690</v>
      </c>
      <c r="H792" s="394">
        <v>9443</v>
      </c>
      <c r="I792" s="394">
        <f>+F792/G792*H792</f>
        <v>12.834071470415935</v>
      </c>
      <c r="J792" s="394">
        <f>+F792+I792</f>
        <v>20.56740480374927</v>
      </c>
      <c r="K792" s="491">
        <v>0.3</v>
      </c>
      <c r="L792" s="394">
        <f t="shared" si="189"/>
        <v>26.73762624487405</v>
      </c>
      <c r="M792" s="394">
        <v>35</v>
      </c>
      <c r="N792" s="504"/>
      <c r="O792" s="362"/>
      <c r="Q792" s="833"/>
      <c r="R792" s="396"/>
    </row>
    <row r="793" spans="1:20" s="494" customFormat="1" ht="15.75" outlineLevel="1" x14ac:dyDescent="0.25">
      <c r="A793" s="428"/>
      <c r="B793" s="494" t="s">
        <v>370</v>
      </c>
      <c r="D793" s="494">
        <v>38</v>
      </c>
      <c r="E793" s="494" t="s">
        <v>378</v>
      </c>
      <c r="F793" s="504">
        <v>7.7333333333333334</v>
      </c>
      <c r="G793" s="585">
        <v>5690</v>
      </c>
      <c r="H793" s="504">
        <v>9443</v>
      </c>
      <c r="I793" s="504">
        <f>+F793/G793*H793</f>
        <v>12.834071470415935</v>
      </c>
      <c r="J793" s="504">
        <f>+F793+I793</f>
        <v>20.56740480374927</v>
      </c>
      <c r="K793" s="671">
        <v>0.3</v>
      </c>
      <c r="L793" s="504">
        <f t="shared" si="189"/>
        <v>26.73762624487405</v>
      </c>
      <c r="M793" s="504">
        <v>35</v>
      </c>
      <c r="N793" s="504"/>
      <c r="Q793" s="841"/>
      <c r="R793" s="918"/>
    </row>
    <row r="794" spans="1:20" s="395" customFormat="1" ht="15.75" outlineLevel="1" x14ac:dyDescent="0.25">
      <c r="A794" s="393"/>
      <c r="E794" s="393" t="s">
        <v>565</v>
      </c>
      <c r="F794" s="394"/>
      <c r="G794" s="179"/>
      <c r="H794" s="394"/>
      <c r="I794" s="394"/>
      <c r="J794" s="394"/>
      <c r="K794" s="491"/>
      <c r="L794" s="394">
        <f t="shared" si="189"/>
        <v>0</v>
      </c>
      <c r="M794" s="498"/>
      <c r="N794" s="688"/>
      <c r="P794" s="495"/>
      <c r="Q794" s="833"/>
      <c r="R794" s="396"/>
    </row>
    <row r="795" spans="1:20" s="494" customFormat="1" ht="15.75" outlineLevel="1" x14ac:dyDescent="0.25">
      <c r="A795" s="428"/>
      <c r="B795" s="494" t="s">
        <v>562</v>
      </c>
      <c r="D795" s="494">
        <v>42</v>
      </c>
      <c r="E795" s="494" t="s">
        <v>559</v>
      </c>
      <c r="F795" s="504">
        <v>12</v>
      </c>
      <c r="G795" s="585">
        <v>787</v>
      </c>
      <c r="H795" s="504">
        <f>787+388+40+47</f>
        <v>1262</v>
      </c>
      <c r="I795" s="504">
        <f>+F795/G795*H795</f>
        <v>19.242693773824652</v>
      </c>
      <c r="J795" s="504">
        <f>+F795+I795</f>
        <v>31.242693773824652</v>
      </c>
      <c r="K795" s="586">
        <v>0.3</v>
      </c>
      <c r="L795" s="504">
        <f t="shared" ref="L795:L814" si="190">+J795*K795+J795</f>
        <v>40.615501905972046</v>
      </c>
      <c r="M795" s="504">
        <v>50</v>
      </c>
      <c r="N795" s="504"/>
      <c r="P795" s="658" t="s">
        <v>1753</v>
      </c>
      <c r="Q795" s="841"/>
      <c r="R795" s="918"/>
    </row>
    <row r="796" spans="1:20" s="395" customFormat="1" ht="15.75" outlineLevel="1" x14ac:dyDescent="0.25">
      <c r="A796" s="393"/>
      <c r="B796" s="395" t="s">
        <v>562</v>
      </c>
      <c r="C796" s="395">
        <v>16</v>
      </c>
      <c r="D796" s="395">
        <v>50</v>
      </c>
      <c r="E796" s="395" t="s">
        <v>564</v>
      </c>
      <c r="F796" s="394">
        <v>12</v>
      </c>
      <c r="G796" s="179">
        <v>787</v>
      </c>
      <c r="H796" s="394">
        <f>787+388+40+47</f>
        <v>1262</v>
      </c>
      <c r="I796" s="394">
        <f>+F796/G796*H796</f>
        <v>19.242693773824652</v>
      </c>
      <c r="J796" s="394">
        <f>+F796+I796</f>
        <v>31.242693773824652</v>
      </c>
      <c r="K796" s="492">
        <v>0.3</v>
      </c>
      <c r="L796" s="394">
        <f t="shared" si="190"/>
        <v>40.615501905972046</v>
      </c>
      <c r="M796" s="394">
        <v>50</v>
      </c>
      <c r="N796" s="504"/>
      <c r="O796" s="362"/>
      <c r="P796" s="395" t="s">
        <v>1751</v>
      </c>
      <c r="Q796" s="833"/>
      <c r="R796" s="396"/>
    </row>
    <row r="797" spans="1:20" s="395" customFormat="1" ht="15.75" outlineLevel="1" x14ac:dyDescent="0.25">
      <c r="A797" s="393"/>
      <c r="B797" s="395" t="s">
        <v>562</v>
      </c>
      <c r="C797" s="395">
        <v>17</v>
      </c>
      <c r="D797" s="395">
        <v>56</v>
      </c>
      <c r="E797" s="395" t="s">
        <v>1752</v>
      </c>
      <c r="F797" s="394">
        <v>12</v>
      </c>
      <c r="G797" s="179">
        <v>787</v>
      </c>
      <c r="H797" s="394">
        <f>787+388+40+47</f>
        <v>1262</v>
      </c>
      <c r="I797" s="394">
        <f>+F797/G797*H797</f>
        <v>19.242693773824652</v>
      </c>
      <c r="J797" s="394">
        <f>+F797+I797</f>
        <v>31.242693773824652</v>
      </c>
      <c r="K797" s="492">
        <v>0.3</v>
      </c>
      <c r="L797" s="394">
        <f t="shared" si="190"/>
        <v>40.615501905972046</v>
      </c>
      <c r="M797" s="394">
        <v>50</v>
      </c>
      <c r="N797" s="504"/>
      <c r="O797" s="362"/>
      <c r="P797" s="495"/>
      <c r="Q797" s="833"/>
      <c r="R797" s="396"/>
    </row>
    <row r="798" spans="1:20" s="395" customFormat="1" ht="15.75" outlineLevel="1" x14ac:dyDescent="0.25">
      <c r="A798" s="393"/>
      <c r="E798" s="393" t="s">
        <v>629</v>
      </c>
      <c r="F798" s="394"/>
      <c r="G798" s="179"/>
      <c r="H798" s="394"/>
      <c r="I798" s="394"/>
      <c r="J798" s="394"/>
      <c r="K798" s="492"/>
      <c r="L798" s="394">
        <f t="shared" si="190"/>
        <v>0</v>
      </c>
      <c r="M798" s="394"/>
      <c r="N798" s="504"/>
      <c r="P798" s="495"/>
      <c r="Q798" s="833"/>
      <c r="R798" s="396"/>
    </row>
    <row r="799" spans="1:20" s="395" customFormat="1" ht="15.75" outlineLevel="1" x14ac:dyDescent="0.25">
      <c r="A799" s="393"/>
      <c r="B799" s="395" t="s">
        <v>281</v>
      </c>
      <c r="C799" s="395">
        <v>18</v>
      </c>
      <c r="D799" s="395" t="s">
        <v>494</v>
      </c>
      <c r="E799" s="395" t="s">
        <v>584</v>
      </c>
      <c r="F799" s="394">
        <v>15</v>
      </c>
      <c r="G799" s="179">
        <v>9148</v>
      </c>
      <c r="H799" s="394">
        <v>15477</v>
      </c>
      <c r="I799" s="394">
        <f t="shared" ref="I799:I804" si="191">+F799/G799*H799</f>
        <v>25.377678181023175</v>
      </c>
      <c r="J799" s="394">
        <f t="shared" ref="J799:J804" si="192">+F799+I799</f>
        <v>40.377678181023171</v>
      </c>
      <c r="K799" s="492">
        <v>0.3</v>
      </c>
      <c r="L799" s="394">
        <f t="shared" si="190"/>
        <v>52.490981635330122</v>
      </c>
      <c r="M799" s="394">
        <v>45</v>
      </c>
      <c r="N799" s="504"/>
      <c r="O799" s="362"/>
      <c r="Q799" s="833"/>
      <c r="R799" s="396"/>
    </row>
    <row r="800" spans="1:20" s="395" customFormat="1" ht="15.75" outlineLevel="1" x14ac:dyDescent="0.25">
      <c r="A800" s="393"/>
      <c r="B800" s="395" t="s">
        <v>281</v>
      </c>
      <c r="C800" s="395">
        <v>19</v>
      </c>
      <c r="D800" s="395">
        <v>38</v>
      </c>
      <c r="E800" s="395" t="s">
        <v>623</v>
      </c>
      <c r="F800" s="394">
        <v>15</v>
      </c>
      <c r="G800" s="179">
        <v>9148</v>
      </c>
      <c r="H800" s="394">
        <v>15477</v>
      </c>
      <c r="I800" s="394">
        <f t="shared" si="191"/>
        <v>25.377678181023175</v>
      </c>
      <c r="J800" s="394">
        <f t="shared" si="192"/>
        <v>40.377678181023171</v>
      </c>
      <c r="K800" s="492">
        <v>0.3</v>
      </c>
      <c r="L800" s="394">
        <f t="shared" si="190"/>
        <v>52.490981635330122</v>
      </c>
      <c r="M800" s="394">
        <v>65</v>
      </c>
      <c r="N800" s="504"/>
      <c r="O800" s="362"/>
      <c r="P800" s="495"/>
      <c r="Q800" s="833"/>
      <c r="R800" s="396"/>
    </row>
    <row r="801" spans="1:20" s="395" customFormat="1" ht="15.75" outlineLevel="1" x14ac:dyDescent="0.25">
      <c r="A801" s="393"/>
      <c r="B801" s="395" t="s">
        <v>281</v>
      </c>
      <c r="C801" s="395">
        <v>20</v>
      </c>
      <c r="D801" s="395">
        <v>40</v>
      </c>
      <c r="E801" s="395" t="s">
        <v>623</v>
      </c>
      <c r="F801" s="394">
        <v>15</v>
      </c>
      <c r="G801" s="179">
        <v>9148</v>
      </c>
      <c r="H801" s="394">
        <v>15477</v>
      </c>
      <c r="I801" s="394">
        <f t="shared" si="191"/>
        <v>25.377678181023175</v>
      </c>
      <c r="J801" s="394">
        <f t="shared" si="192"/>
        <v>40.377678181023171</v>
      </c>
      <c r="K801" s="492">
        <v>0.3</v>
      </c>
      <c r="L801" s="394">
        <f t="shared" si="190"/>
        <v>52.490981635330122</v>
      </c>
      <c r="M801" s="394">
        <v>65</v>
      </c>
      <c r="N801" s="504"/>
      <c r="O801" s="362"/>
      <c r="P801" s="495"/>
      <c r="Q801" s="833"/>
      <c r="R801" s="396"/>
    </row>
    <row r="802" spans="1:20" s="395" customFormat="1" ht="15.75" hidden="1" outlineLevel="1" x14ac:dyDescent="0.25">
      <c r="A802" s="393"/>
      <c r="B802" s="395" t="s">
        <v>281</v>
      </c>
      <c r="C802" s="395">
        <v>21</v>
      </c>
      <c r="D802" s="395">
        <v>42</v>
      </c>
      <c r="E802" s="317" t="s">
        <v>623</v>
      </c>
      <c r="F802" s="493">
        <v>15</v>
      </c>
      <c r="G802" s="509">
        <v>9148</v>
      </c>
      <c r="H802" s="493">
        <v>15477</v>
      </c>
      <c r="I802" s="493">
        <f t="shared" si="191"/>
        <v>25.377678181023175</v>
      </c>
      <c r="J802" s="493">
        <f t="shared" si="192"/>
        <v>40.377678181023171</v>
      </c>
      <c r="K802" s="692">
        <v>0.3</v>
      </c>
      <c r="L802" s="493">
        <f t="shared" si="190"/>
        <v>52.490981635330122</v>
      </c>
      <c r="M802" s="493">
        <v>65</v>
      </c>
      <c r="N802" s="504">
        <v>40</v>
      </c>
      <c r="O802" s="362"/>
      <c r="P802" s="495" t="s">
        <v>12</v>
      </c>
      <c r="Q802" s="833">
        <v>45324</v>
      </c>
      <c r="R802" s="396">
        <f>+N802*8000</f>
        <v>320000</v>
      </c>
    </row>
    <row r="803" spans="1:20" s="395" customFormat="1" ht="15.75" outlineLevel="1" x14ac:dyDescent="0.25">
      <c r="A803" s="393"/>
      <c r="B803" s="395" t="s">
        <v>281</v>
      </c>
      <c r="C803" s="395">
        <v>22</v>
      </c>
      <c r="D803" s="395">
        <v>38</v>
      </c>
      <c r="E803" s="395" t="s">
        <v>624</v>
      </c>
      <c r="F803" s="394">
        <v>15</v>
      </c>
      <c r="G803" s="179">
        <v>9148</v>
      </c>
      <c r="H803" s="394">
        <v>15477</v>
      </c>
      <c r="I803" s="394">
        <f t="shared" si="191"/>
        <v>25.377678181023175</v>
      </c>
      <c r="J803" s="394">
        <f t="shared" si="192"/>
        <v>40.377678181023171</v>
      </c>
      <c r="K803" s="492">
        <v>0.3</v>
      </c>
      <c r="L803" s="394">
        <f t="shared" si="190"/>
        <v>52.490981635330122</v>
      </c>
      <c r="M803" s="394">
        <v>65</v>
      </c>
      <c r="N803" s="504"/>
      <c r="O803" s="362"/>
      <c r="P803" s="495"/>
      <c r="Q803" s="833"/>
      <c r="R803" s="396"/>
    </row>
    <row r="804" spans="1:20" s="395" customFormat="1" ht="15.75" outlineLevel="1" x14ac:dyDescent="0.25">
      <c r="A804" s="393"/>
      <c r="B804" s="395" t="s">
        <v>639</v>
      </c>
      <c r="C804" s="395">
        <v>23</v>
      </c>
      <c r="D804" s="395">
        <v>42</v>
      </c>
      <c r="E804" s="395" t="s">
        <v>967</v>
      </c>
      <c r="F804" s="394">
        <v>10</v>
      </c>
      <c r="G804" s="179">
        <v>9148</v>
      </c>
      <c r="H804" s="394">
        <v>15477</v>
      </c>
      <c r="I804" s="394">
        <f t="shared" si="191"/>
        <v>16.918452120682115</v>
      </c>
      <c r="J804" s="394">
        <f t="shared" si="192"/>
        <v>26.918452120682115</v>
      </c>
      <c r="K804" s="492">
        <v>0.3</v>
      </c>
      <c r="L804" s="394">
        <f t="shared" si="190"/>
        <v>34.993987756886753</v>
      </c>
      <c r="M804" s="394">
        <v>55</v>
      </c>
      <c r="N804" s="504"/>
      <c r="O804" s="362"/>
      <c r="P804" s="495"/>
      <c r="Q804" s="833"/>
      <c r="R804" s="396"/>
    </row>
    <row r="805" spans="1:20" s="169" customFormat="1" ht="15.75" outlineLevel="1" x14ac:dyDescent="0.25">
      <c r="A805" s="393"/>
      <c r="B805" s="395" t="s">
        <v>111</v>
      </c>
      <c r="C805" s="395">
        <v>24</v>
      </c>
      <c r="D805" s="395">
        <v>46</v>
      </c>
      <c r="E805" s="395" t="s">
        <v>615</v>
      </c>
      <c r="F805" s="394">
        <v>18</v>
      </c>
      <c r="G805" s="179">
        <v>9148</v>
      </c>
      <c r="H805" s="394">
        <v>15477</v>
      </c>
      <c r="I805" s="394">
        <f t="shared" ref="I805:I814" si="193">+F805/G805*H805</f>
        <v>30.453213817227809</v>
      </c>
      <c r="J805" s="394">
        <f t="shared" ref="J805:J814" si="194">+F805+I805</f>
        <v>48.453213817227805</v>
      </c>
      <c r="K805" s="492">
        <v>0.3</v>
      </c>
      <c r="L805" s="394">
        <f t="shared" si="190"/>
        <v>62.989177962396148</v>
      </c>
      <c r="M805" s="394">
        <v>65</v>
      </c>
      <c r="N805" s="504"/>
      <c r="O805" s="362"/>
      <c r="P805" s="495"/>
      <c r="Q805" s="833"/>
      <c r="R805" s="396"/>
      <c r="S805" s="395"/>
      <c r="T805" s="395"/>
    </row>
    <row r="806" spans="1:20" s="169" customFormat="1" ht="15.75" hidden="1" outlineLevel="1" x14ac:dyDescent="0.25">
      <c r="A806" s="393"/>
      <c r="B806" s="395" t="s">
        <v>111</v>
      </c>
      <c r="C806" s="395">
        <v>25</v>
      </c>
      <c r="D806" s="395">
        <v>48</v>
      </c>
      <c r="E806" s="317" t="s">
        <v>615</v>
      </c>
      <c r="F806" s="493">
        <v>18</v>
      </c>
      <c r="G806" s="509">
        <v>9148</v>
      </c>
      <c r="H806" s="493">
        <v>15477</v>
      </c>
      <c r="I806" s="493">
        <f t="shared" si="193"/>
        <v>30.453213817227809</v>
      </c>
      <c r="J806" s="493">
        <f t="shared" si="194"/>
        <v>48.453213817227805</v>
      </c>
      <c r="K806" s="692">
        <v>0.3</v>
      </c>
      <c r="L806" s="493">
        <f t="shared" si="190"/>
        <v>62.989177962396148</v>
      </c>
      <c r="M806" s="493">
        <v>65</v>
      </c>
      <c r="N806" s="504">
        <v>40</v>
      </c>
      <c r="O806" s="362"/>
      <c r="P806" s="495" t="s">
        <v>2325</v>
      </c>
      <c r="Q806" s="833">
        <v>45387</v>
      </c>
      <c r="R806" s="396">
        <f>+N806*35000</f>
        <v>1400000</v>
      </c>
      <c r="S806" s="395"/>
      <c r="T806" s="395"/>
    </row>
    <row r="807" spans="1:20" s="395" customFormat="1" ht="15.75" outlineLevel="1" x14ac:dyDescent="0.25">
      <c r="A807" s="393"/>
      <c r="B807" s="395" t="s">
        <v>111</v>
      </c>
      <c r="C807" s="395">
        <v>26</v>
      </c>
      <c r="D807" s="395">
        <v>48</v>
      </c>
      <c r="E807" s="395" t="s">
        <v>614</v>
      </c>
      <c r="F807" s="394">
        <v>20</v>
      </c>
      <c r="G807" s="179">
        <v>9148</v>
      </c>
      <c r="H807" s="394">
        <v>15477</v>
      </c>
      <c r="I807" s="394">
        <f t="shared" si="193"/>
        <v>33.83690424136423</v>
      </c>
      <c r="J807" s="394">
        <f t="shared" si="194"/>
        <v>53.83690424136423</v>
      </c>
      <c r="K807" s="492">
        <v>0.3</v>
      </c>
      <c r="L807" s="394">
        <f t="shared" si="190"/>
        <v>69.987975513773506</v>
      </c>
      <c r="M807" s="394">
        <v>65</v>
      </c>
      <c r="N807" s="504"/>
      <c r="O807" s="362"/>
      <c r="P807" s="495"/>
      <c r="Q807" s="833"/>
      <c r="R807" s="396"/>
    </row>
    <row r="808" spans="1:20" s="395" customFormat="1" ht="15.75" outlineLevel="1" x14ac:dyDescent="0.25">
      <c r="A808" s="169" t="s">
        <v>589</v>
      </c>
      <c r="B808" s="169" t="s">
        <v>19</v>
      </c>
      <c r="C808" s="395">
        <v>27</v>
      </c>
      <c r="D808" s="169">
        <v>44</v>
      </c>
      <c r="E808" s="169" t="s">
        <v>590</v>
      </c>
      <c r="F808" s="180">
        <v>10</v>
      </c>
      <c r="G808" s="499">
        <v>9148</v>
      </c>
      <c r="H808" s="180">
        <v>15477</v>
      </c>
      <c r="I808" s="180">
        <f t="shared" si="193"/>
        <v>16.918452120682115</v>
      </c>
      <c r="J808" s="180">
        <f t="shared" si="194"/>
        <v>26.918452120682115</v>
      </c>
      <c r="K808" s="345">
        <v>0.3</v>
      </c>
      <c r="L808" s="394">
        <f t="shared" si="190"/>
        <v>34.993987756886753</v>
      </c>
      <c r="M808" s="180">
        <v>55</v>
      </c>
      <c r="N808" s="525"/>
      <c r="O808" s="361"/>
      <c r="P808" s="505"/>
      <c r="Q808" s="838"/>
      <c r="R808" s="580"/>
      <c r="S808" s="169"/>
      <c r="T808" s="169"/>
    </row>
    <row r="809" spans="1:20" s="395" customFormat="1" ht="15.75" outlineLevel="1" x14ac:dyDescent="0.25">
      <c r="A809" s="169" t="s">
        <v>589</v>
      </c>
      <c r="B809" s="169" t="s">
        <v>19</v>
      </c>
      <c r="C809" s="395">
        <v>28</v>
      </c>
      <c r="D809" s="169">
        <v>46</v>
      </c>
      <c r="E809" s="169" t="s">
        <v>590</v>
      </c>
      <c r="F809" s="180">
        <v>10</v>
      </c>
      <c r="G809" s="499">
        <v>9148</v>
      </c>
      <c r="H809" s="180">
        <v>15477</v>
      </c>
      <c r="I809" s="180">
        <f t="shared" si="193"/>
        <v>16.918452120682115</v>
      </c>
      <c r="J809" s="180">
        <f t="shared" si="194"/>
        <v>26.918452120682115</v>
      </c>
      <c r="K809" s="345">
        <v>0.3</v>
      </c>
      <c r="L809" s="394">
        <f t="shared" si="190"/>
        <v>34.993987756886753</v>
      </c>
      <c r="M809" s="180">
        <v>55</v>
      </c>
      <c r="N809" s="525"/>
      <c r="O809" s="361"/>
      <c r="P809" s="505"/>
      <c r="Q809" s="838"/>
      <c r="R809" s="580"/>
      <c r="S809" s="169"/>
      <c r="T809" s="169"/>
    </row>
    <row r="810" spans="1:20" s="395" customFormat="1" ht="15.75" outlineLevel="1" x14ac:dyDescent="0.25">
      <c r="A810" s="169" t="s">
        <v>589</v>
      </c>
      <c r="B810" s="169" t="s">
        <v>19</v>
      </c>
      <c r="C810" s="395">
        <v>29</v>
      </c>
      <c r="D810" s="169">
        <v>48</v>
      </c>
      <c r="E810" s="169" t="s">
        <v>590</v>
      </c>
      <c r="F810" s="180">
        <v>10</v>
      </c>
      <c r="G810" s="499">
        <v>9148</v>
      </c>
      <c r="H810" s="180">
        <v>15477</v>
      </c>
      <c r="I810" s="180">
        <f t="shared" si="193"/>
        <v>16.918452120682115</v>
      </c>
      <c r="J810" s="180">
        <f t="shared" si="194"/>
        <v>26.918452120682115</v>
      </c>
      <c r="K810" s="345">
        <v>0.3</v>
      </c>
      <c r="L810" s="394">
        <f t="shared" si="190"/>
        <v>34.993987756886753</v>
      </c>
      <c r="M810" s="180">
        <v>55</v>
      </c>
      <c r="N810" s="525"/>
      <c r="O810" s="361"/>
      <c r="P810" s="505"/>
      <c r="Q810" s="838"/>
      <c r="R810" s="580"/>
      <c r="S810" s="169"/>
      <c r="T810" s="169"/>
    </row>
    <row r="811" spans="1:20" s="494" customFormat="1" ht="15.75" outlineLevel="1" x14ac:dyDescent="0.25">
      <c r="A811" s="365" t="s">
        <v>589</v>
      </c>
      <c r="B811" s="365" t="s">
        <v>589</v>
      </c>
      <c r="D811" s="365"/>
      <c r="E811" s="365" t="s">
        <v>590</v>
      </c>
      <c r="F811" s="525">
        <v>10</v>
      </c>
      <c r="G811" s="666">
        <v>9148</v>
      </c>
      <c r="H811" s="525">
        <v>15477</v>
      </c>
      <c r="I811" s="525">
        <f t="shared" si="193"/>
        <v>16.918452120682115</v>
      </c>
      <c r="J811" s="525">
        <f t="shared" si="194"/>
        <v>26.918452120682115</v>
      </c>
      <c r="K811" s="667">
        <v>0.3</v>
      </c>
      <c r="L811" s="504">
        <f t="shared" si="190"/>
        <v>34.993987756886753</v>
      </c>
      <c r="M811" s="525">
        <v>55</v>
      </c>
      <c r="N811" s="525"/>
      <c r="O811" s="365"/>
      <c r="P811" s="683"/>
      <c r="Q811" s="846"/>
      <c r="R811" s="919"/>
      <c r="S811" s="365"/>
      <c r="T811" s="365"/>
    </row>
    <row r="812" spans="1:20" s="494" customFormat="1" ht="15.75" outlineLevel="1" x14ac:dyDescent="0.25">
      <c r="A812" s="365" t="s">
        <v>589</v>
      </c>
      <c r="B812" s="365" t="s">
        <v>589</v>
      </c>
      <c r="D812" s="365"/>
      <c r="E812" s="365" t="s">
        <v>590</v>
      </c>
      <c r="F812" s="525">
        <v>10</v>
      </c>
      <c r="G812" s="666">
        <v>9148</v>
      </c>
      <c r="H812" s="525">
        <v>15477</v>
      </c>
      <c r="I812" s="525">
        <f t="shared" si="193"/>
        <v>16.918452120682115</v>
      </c>
      <c r="J812" s="525">
        <f t="shared" si="194"/>
        <v>26.918452120682115</v>
      </c>
      <c r="K812" s="667">
        <v>0.3</v>
      </c>
      <c r="L812" s="504">
        <f t="shared" si="190"/>
        <v>34.993987756886753</v>
      </c>
      <c r="M812" s="525">
        <v>55</v>
      </c>
      <c r="N812" s="525"/>
      <c r="O812" s="365"/>
      <c r="P812" s="683"/>
      <c r="Q812" s="846"/>
      <c r="R812" s="919"/>
      <c r="S812" s="365"/>
      <c r="T812" s="365"/>
    </row>
    <row r="813" spans="1:20" s="395" customFormat="1" ht="15.75" hidden="1" outlineLevel="1" x14ac:dyDescent="0.25">
      <c r="A813" s="169" t="s">
        <v>589</v>
      </c>
      <c r="B813" s="169" t="s">
        <v>19</v>
      </c>
      <c r="C813" s="395">
        <v>30</v>
      </c>
      <c r="D813" s="169">
        <v>56</v>
      </c>
      <c r="E813" s="699" t="s">
        <v>638</v>
      </c>
      <c r="F813" s="700">
        <v>21</v>
      </c>
      <c r="G813" s="701">
        <v>9148</v>
      </c>
      <c r="H813" s="700">
        <v>15477</v>
      </c>
      <c r="I813" s="700">
        <f t="shared" si="193"/>
        <v>35.528749453432447</v>
      </c>
      <c r="J813" s="700">
        <f t="shared" si="194"/>
        <v>56.528749453432447</v>
      </c>
      <c r="K813" s="702">
        <v>0.3</v>
      </c>
      <c r="L813" s="493">
        <f t="shared" si="190"/>
        <v>73.487374289462181</v>
      </c>
      <c r="M813" s="700">
        <v>65</v>
      </c>
      <c r="N813" s="525"/>
      <c r="O813" s="361"/>
      <c r="P813" s="505" t="s">
        <v>12</v>
      </c>
      <c r="Q813" s="838">
        <v>45295</v>
      </c>
      <c r="R813" s="580" t="e">
        <f>+#REF!*10000</f>
        <v>#REF!</v>
      </c>
      <c r="S813" s="169"/>
      <c r="T813" s="169"/>
    </row>
    <row r="814" spans="1:20" s="395" customFormat="1" ht="15.75" outlineLevel="1" x14ac:dyDescent="0.25">
      <c r="A814" s="393" t="s">
        <v>477</v>
      </c>
      <c r="B814" s="395" t="s">
        <v>477</v>
      </c>
      <c r="C814" s="395">
        <v>31</v>
      </c>
      <c r="D814" s="395">
        <v>38</v>
      </c>
      <c r="E814" s="395" t="s">
        <v>622</v>
      </c>
      <c r="F814" s="394">
        <v>13</v>
      </c>
      <c r="G814" s="179">
        <v>9148</v>
      </c>
      <c r="H814" s="394">
        <v>15477</v>
      </c>
      <c r="I814" s="394">
        <f t="shared" si="193"/>
        <v>21.993987756886749</v>
      </c>
      <c r="J814" s="394">
        <f t="shared" si="194"/>
        <v>34.993987756886753</v>
      </c>
      <c r="K814" s="492">
        <v>0.3</v>
      </c>
      <c r="L814" s="394">
        <f t="shared" si="190"/>
        <v>45.492184083952779</v>
      </c>
      <c r="M814" s="394">
        <v>65</v>
      </c>
      <c r="N814" s="504"/>
      <c r="O814" s="362"/>
      <c r="P814" s="495"/>
      <c r="Q814" s="833"/>
      <c r="R814" s="396"/>
    </row>
    <row r="815" spans="1:20" s="395" customFormat="1" ht="15.75" outlineLevel="1" x14ac:dyDescent="0.25">
      <c r="A815" s="393"/>
      <c r="B815" s="393" t="s">
        <v>681</v>
      </c>
      <c r="F815" s="394"/>
      <c r="G815" s="179"/>
      <c r="H815" s="394"/>
      <c r="I815" s="394"/>
      <c r="J815" s="394"/>
      <c r="K815" s="492"/>
      <c r="L815" s="394">
        <f t="shared" ref="L815:L817" si="195">+J815*K815+J815</f>
        <v>0</v>
      </c>
      <c r="M815" s="394"/>
      <c r="N815" s="504"/>
      <c r="P815" s="495"/>
      <c r="Q815" s="833"/>
      <c r="R815" s="396"/>
    </row>
    <row r="816" spans="1:20" s="395" customFormat="1" ht="15.75" outlineLevel="1" x14ac:dyDescent="0.25">
      <c r="A816" s="393"/>
      <c r="B816" s="393" t="s">
        <v>657</v>
      </c>
      <c r="C816" s="395">
        <v>32</v>
      </c>
      <c r="D816" s="395">
        <v>58</v>
      </c>
      <c r="E816" s="395" t="s">
        <v>658</v>
      </c>
      <c r="F816" s="395">
        <v>10</v>
      </c>
      <c r="G816" s="395">
        <v>6556</v>
      </c>
      <c r="H816" s="394">
        <v>9750</v>
      </c>
      <c r="I816" s="394">
        <f>+F816/G816*H816</f>
        <v>14.871873093349604</v>
      </c>
      <c r="J816" s="394">
        <f>+F816+I816</f>
        <v>24.871873093349606</v>
      </c>
      <c r="K816" s="492">
        <v>0.3</v>
      </c>
      <c r="L816" s="394">
        <f t="shared" si="195"/>
        <v>32.333435021354489</v>
      </c>
      <c r="M816" s="394">
        <v>45</v>
      </c>
      <c r="N816" s="504"/>
      <c r="O816" s="362"/>
      <c r="Q816" s="833"/>
      <c r="R816" s="396"/>
    </row>
    <row r="817" spans="1:20" s="395" customFormat="1" ht="15.75" outlineLevel="1" x14ac:dyDescent="0.25">
      <c r="A817" s="393"/>
      <c r="B817" s="393" t="s">
        <v>702</v>
      </c>
      <c r="H817" s="394"/>
      <c r="I817" s="394"/>
      <c r="J817" s="394"/>
      <c r="K817" s="492"/>
      <c r="L817" s="394">
        <f t="shared" si="195"/>
        <v>0</v>
      </c>
      <c r="M817" s="394"/>
      <c r="N817" s="504"/>
      <c r="Q817" s="833"/>
      <c r="R817" s="396"/>
    </row>
    <row r="818" spans="1:20" s="395" customFormat="1" ht="15.75" x14ac:dyDescent="0.25">
      <c r="B818" s="393" t="s">
        <v>800</v>
      </c>
      <c r="E818" s="276"/>
      <c r="F818" s="167"/>
      <c r="G818" s="394"/>
      <c r="H818" s="394"/>
      <c r="I818" s="394"/>
      <c r="J818" s="394"/>
      <c r="K818" s="492"/>
      <c r="L818" s="394"/>
      <c r="M818" s="394"/>
      <c r="N818" s="504"/>
      <c r="Q818" s="833"/>
      <c r="R818" s="396"/>
    </row>
    <row r="819" spans="1:20" s="395" customFormat="1" ht="15.75" x14ac:dyDescent="0.25">
      <c r="A819" s="393"/>
      <c r="B819" s="395" t="s">
        <v>562</v>
      </c>
      <c r="C819" s="395">
        <v>33</v>
      </c>
      <c r="D819" s="395">
        <v>56</v>
      </c>
      <c r="E819" s="276" t="s">
        <v>766</v>
      </c>
      <c r="F819" s="394">
        <v>12</v>
      </c>
      <c r="G819" s="179">
        <v>8183</v>
      </c>
      <c r="H819" s="394">
        <v>13183</v>
      </c>
      <c r="I819" s="394">
        <f t="shared" ref="I819:I836" si="196">+F819/G819*H819</f>
        <v>19.332274227056089</v>
      </c>
      <c r="J819" s="394">
        <f t="shared" ref="J819:J836" si="197">+F819+I819</f>
        <v>31.332274227056089</v>
      </c>
      <c r="K819" s="492">
        <v>0.3</v>
      </c>
      <c r="L819" s="394">
        <f t="shared" ref="L819:L821" si="198">+J819*K819+J819</f>
        <v>40.731956495172916</v>
      </c>
      <c r="M819" s="394">
        <v>55</v>
      </c>
      <c r="N819" s="504"/>
      <c r="O819" s="362"/>
      <c r="Q819" s="833"/>
      <c r="R819" s="396"/>
    </row>
    <row r="820" spans="1:20" s="395" customFormat="1" ht="15.75" x14ac:dyDescent="0.25">
      <c r="A820" s="393"/>
      <c r="B820" s="395" t="s">
        <v>562</v>
      </c>
      <c r="C820" s="395">
        <v>34</v>
      </c>
      <c r="D820" s="395">
        <v>50</v>
      </c>
      <c r="E820" s="276" t="s">
        <v>767</v>
      </c>
      <c r="F820" s="394">
        <v>12</v>
      </c>
      <c r="G820" s="179">
        <v>8183</v>
      </c>
      <c r="H820" s="394">
        <v>13183</v>
      </c>
      <c r="I820" s="394">
        <f t="shared" si="196"/>
        <v>19.332274227056089</v>
      </c>
      <c r="J820" s="394">
        <f t="shared" si="197"/>
        <v>31.332274227056089</v>
      </c>
      <c r="K820" s="492">
        <v>0.3</v>
      </c>
      <c r="L820" s="394">
        <f t="shared" si="198"/>
        <v>40.731956495172916</v>
      </c>
      <c r="M820" s="394">
        <v>55</v>
      </c>
      <c r="N820" s="504"/>
      <c r="O820" s="362"/>
      <c r="Q820" s="833"/>
      <c r="R820" s="396"/>
    </row>
    <row r="821" spans="1:20" s="395" customFormat="1" ht="15.75" x14ac:dyDescent="0.25">
      <c r="A821" s="393"/>
      <c r="B821" s="395" t="s">
        <v>562</v>
      </c>
      <c r="C821" s="395">
        <v>35</v>
      </c>
      <c r="D821" s="395">
        <v>54</v>
      </c>
      <c r="E821" s="276" t="s">
        <v>767</v>
      </c>
      <c r="F821" s="394">
        <v>12</v>
      </c>
      <c r="G821" s="179">
        <v>8183</v>
      </c>
      <c r="H821" s="394">
        <v>13183</v>
      </c>
      <c r="I821" s="394">
        <f t="shared" si="196"/>
        <v>19.332274227056089</v>
      </c>
      <c r="J821" s="394">
        <f t="shared" si="197"/>
        <v>31.332274227056089</v>
      </c>
      <c r="K821" s="492">
        <v>0.3</v>
      </c>
      <c r="L821" s="394">
        <f t="shared" si="198"/>
        <v>40.731956495172916</v>
      </c>
      <c r="M821" s="394">
        <v>55</v>
      </c>
      <c r="N821" s="504"/>
      <c r="O821" s="362"/>
      <c r="Q821" s="833"/>
      <c r="R821" s="396"/>
    </row>
    <row r="822" spans="1:20" s="395" customFormat="1" ht="15.75" x14ac:dyDescent="0.25">
      <c r="A822" s="393"/>
      <c r="E822" s="429" t="s">
        <v>958</v>
      </c>
      <c r="F822" s="394"/>
      <c r="G822" s="179"/>
      <c r="H822" s="394"/>
      <c r="I822" s="394"/>
      <c r="J822" s="394"/>
      <c r="K822" s="492"/>
      <c r="L822" s="394"/>
      <c r="M822" s="394"/>
      <c r="N822" s="504"/>
      <c r="Q822" s="833"/>
      <c r="R822" s="396"/>
    </row>
    <row r="823" spans="1:20" s="494" customFormat="1" ht="15.75" x14ac:dyDescent="0.25">
      <c r="A823" s="428" t="s">
        <v>765</v>
      </c>
      <c r="B823" s="494" t="s">
        <v>562</v>
      </c>
      <c r="D823" s="494">
        <v>50</v>
      </c>
      <c r="E823" s="494" t="s">
        <v>893</v>
      </c>
      <c r="F823" s="504">
        <v>13</v>
      </c>
      <c r="G823" s="585">
        <v>6911</v>
      </c>
      <c r="H823" s="504">
        <v>4716</v>
      </c>
      <c r="I823" s="504">
        <f t="shared" si="196"/>
        <v>8.8710750976703814</v>
      </c>
      <c r="J823" s="504">
        <f t="shared" si="197"/>
        <v>21.871075097670381</v>
      </c>
      <c r="K823" s="586">
        <v>0.3</v>
      </c>
      <c r="L823" s="504">
        <f t="shared" ref="L823:L826" si="199">+J823*K823+J823</f>
        <v>28.432397626971497</v>
      </c>
      <c r="M823" s="504">
        <v>45</v>
      </c>
      <c r="N823" s="504"/>
      <c r="Q823" s="841"/>
      <c r="R823" s="918"/>
    </row>
    <row r="824" spans="1:20" s="395" customFormat="1" ht="15.75" x14ac:dyDescent="0.25">
      <c r="A824" s="393" t="s">
        <v>765</v>
      </c>
      <c r="B824" s="395" t="s">
        <v>562</v>
      </c>
      <c r="C824" s="395">
        <v>36</v>
      </c>
      <c r="D824" s="395">
        <v>52</v>
      </c>
      <c r="E824" s="395" t="s">
        <v>893</v>
      </c>
      <c r="F824" s="394">
        <v>13</v>
      </c>
      <c r="G824" s="179">
        <v>6911</v>
      </c>
      <c r="H824" s="394">
        <v>4716</v>
      </c>
      <c r="I824" s="394">
        <f t="shared" si="196"/>
        <v>8.8710750976703814</v>
      </c>
      <c r="J824" s="394">
        <f t="shared" si="197"/>
        <v>21.871075097670381</v>
      </c>
      <c r="K824" s="492">
        <v>0.3</v>
      </c>
      <c r="L824" s="394">
        <f t="shared" si="199"/>
        <v>28.432397626971497</v>
      </c>
      <c r="M824" s="394">
        <v>45</v>
      </c>
      <c r="N824" s="504"/>
      <c r="O824" s="362"/>
      <c r="Q824" s="833"/>
      <c r="R824" s="396"/>
    </row>
    <row r="825" spans="1:20" s="494" customFormat="1" ht="15.75" x14ac:dyDescent="0.25">
      <c r="A825" s="428" t="s">
        <v>765</v>
      </c>
      <c r="B825" s="494" t="s">
        <v>562</v>
      </c>
      <c r="D825" s="494">
        <v>54</v>
      </c>
      <c r="E825" s="494" t="s">
        <v>894</v>
      </c>
      <c r="F825" s="504">
        <v>13</v>
      </c>
      <c r="G825" s="585">
        <v>6911</v>
      </c>
      <c r="H825" s="504">
        <v>4716</v>
      </c>
      <c r="I825" s="504">
        <f t="shared" si="196"/>
        <v>8.8710750976703814</v>
      </c>
      <c r="J825" s="504">
        <f t="shared" si="197"/>
        <v>21.871075097670381</v>
      </c>
      <c r="K825" s="586">
        <v>0.3</v>
      </c>
      <c r="L825" s="504">
        <f t="shared" si="199"/>
        <v>28.432397626971497</v>
      </c>
      <c r="M825" s="504">
        <v>45</v>
      </c>
      <c r="N825" s="504"/>
      <c r="Q825" s="841"/>
      <c r="R825" s="918"/>
    </row>
    <row r="826" spans="1:20" s="395" customFormat="1" ht="15.75" x14ac:dyDescent="0.25">
      <c r="A826" s="393" t="s">
        <v>765</v>
      </c>
      <c r="B826" s="395" t="s">
        <v>562</v>
      </c>
      <c r="C826" s="395">
        <v>37</v>
      </c>
      <c r="D826" s="395">
        <v>56</v>
      </c>
      <c r="E826" s="395" t="s">
        <v>894</v>
      </c>
      <c r="F826" s="394">
        <v>13</v>
      </c>
      <c r="G826" s="179">
        <v>6911</v>
      </c>
      <c r="H826" s="394">
        <v>4716</v>
      </c>
      <c r="I826" s="394">
        <f t="shared" si="196"/>
        <v>8.8710750976703814</v>
      </c>
      <c r="J826" s="394">
        <f t="shared" si="197"/>
        <v>21.871075097670381</v>
      </c>
      <c r="K826" s="492">
        <v>0.3</v>
      </c>
      <c r="L826" s="394">
        <f t="shared" si="199"/>
        <v>28.432397626971497</v>
      </c>
      <c r="M826" s="394">
        <v>45</v>
      </c>
      <c r="N826" s="504"/>
      <c r="O826" s="362"/>
      <c r="Q826" s="833"/>
      <c r="R826" s="396"/>
    </row>
    <row r="827" spans="1:20" s="169" customFormat="1" ht="15.75" x14ac:dyDescent="0.25">
      <c r="A827" s="393"/>
      <c r="B827" s="395"/>
      <c r="C827" s="395">
        <v>38</v>
      </c>
      <c r="D827" s="395">
        <v>46</v>
      </c>
      <c r="E827" s="395" t="s">
        <v>894</v>
      </c>
      <c r="F827" s="394"/>
      <c r="G827" s="179"/>
      <c r="H827" s="394"/>
      <c r="I827" s="394"/>
      <c r="J827" s="394"/>
      <c r="K827" s="492"/>
      <c r="L827" s="394"/>
      <c r="M827" s="394"/>
      <c r="N827" s="504"/>
      <c r="O827" s="362"/>
      <c r="P827" s="395" t="s">
        <v>966</v>
      </c>
      <c r="Q827" s="833"/>
      <c r="R827" s="396"/>
      <c r="S827" s="395"/>
      <c r="T827" s="395"/>
    </row>
    <row r="828" spans="1:20" s="169" customFormat="1" ht="15.75" x14ac:dyDescent="0.25">
      <c r="A828" s="393" t="s">
        <v>917</v>
      </c>
      <c r="B828" s="395" t="s">
        <v>928</v>
      </c>
      <c r="C828" s="395">
        <v>39</v>
      </c>
      <c r="D828" s="395">
        <v>38</v>
      </c>
      <c r="E828" s="395" t="s">
        <v>930</v>
      </c>
      <c r="F828" s="394">
        <v>9</v>
      </c>
      <c r="G828" s="179">
        <v>6911</v>
      </c>
      <c r="H828" s="394">
        <v>4716</v>
      </c>
      <c r="I828" s="394">
        <f t="shared" si="196"/>
        <v>6.1415135291564171</v>
      </c>
      <c r="J828" s="394">
        <f t="shared" si="197"/>
        <v>15.141513529156416</v>
      </c>
      <c r="K828" s="492">
        <v>0.3</v>
      </c>
      <c r="L828" s="394">
        <f t="shared" ref="L828:L832" si="200">+J828*K828+J828</f>
        <v>19.683967587903339</v>
      </c>
      <c r="M828" s="394">
        <v>45</v>
      </c>
      <c r="N828" s="504"/>
      <c r="O828" s="362"/>
      <c r="P828" s="395"/>
      <c r="Q828" s="833"/>
      <c r="R828" s="396"/>
      <c r="S828" s="395"/>
      <c r="T828" s="395"/>
    </row>
    <row r="829" spans="1:20" s="169" customFormat="1" ht="15.75" x14ac:dyDescent="0.25">
      <c r="A829" s="393" t="s">
        <v>917</v>
      </c>
      <c r="B829" s="395" t="s">
        <v>928</v>
      </c>
      <c r="C829" s="395">
        <v>40</v>
      </c>
      <c r="D829" s="395">
        <v>40</v>
      </c>
      <c r="E829" s="395" t="s">
        <v>930</v>
      </c>
      <c r="F829" s="394">
        <v>9</v>
      </c>
      <c r="G829" s="179">
        <v>6911</v>
      </c>
      <c r="H829" s="394">
        <v>4716</v>
      </c>
      <c r="I829" s="394">
        <f t="shared" si="196"/>
        <v>6.1415135291564171</v>
      </c>
      <c r="J829" s="394">
        <f t="shared" si="197"/>
        <v>15.141513529156416</v>
      </c>
      <c r="K829" s="492">
        <v>0.3</v>
      </c>
      <c r="L829" s="394">
        <f t="shared" si="200"/>
        <v>19.683967587903339</v>
      </c>
      <c r="M829" s="394">
        <v>45</v>
      </c>
      <c r="N829" s="504"/>
      <c r="O829" s="362"/>
      <c r="P829" s="395"/>
      <c r="Q829" s="833"/>
      <c r="R829" s="396"/>
      <c r="S829" s="395"/>
      <c r="T829" s="395"/>
    </row>
    <row r="830" spans="1:20" s="365" customFormat="1" ht="15.75" x14ac:dyDescent="0.25">
      <c r="A830" s="428" t="s">
        <v>917</v>
      </c>
      <c r="B830" s="494" t="s">
        <v>928</v>
      </c>
      <c r="C830" s="494"/>
      <c r="D830" s="494">
        <v>48</v>
      </c>
      <c r="E830" s="494" t="s">
        <v>929</v>
      </c>
      <c r="F830" s="504">
        <v>10</v>
      </c>
      <c r="G830" s="585">
        <v>6911</v>
      </c>
      <c r="H830" s="504">
        <v>4716</v>
      </c>
      <c r="I830" s="504">
        <f t="shared" si="196"/>
        <v>6.8239039212849084</v>
      </c>
      <c r="J830" s="504">
        <f t="shared" si="197"/>
        <v>16.823903921284909</v>
      </c>
      <c r="K830" s="586">
        <v>0.3</v>
      </c>
      <c r="L830" s="504">
        <f t="shared" si="200"/>
        <v>21.871075097670381</v>
      </c>
      <c r="M830" s="504">
        <v>45</v>
      </c>
      <c r="N830" s="504"/>
      <c r="O830" s="494"/>
      <c r="P830" s="494"/>
      <c r="Q830" s="841"/>
      <c r="R830" s="918"/>
      <c r="S830" s="494"/>
      <c r="T830" s="494"/>
    </row>
    <row r="831" spans="1:20" s="169" customFormat="1" ht="15.75" x14ac:dyDescent="0.25">
      <c r="A831" s="393" t="s">
        <v>917</v>
      </c>
      <c r="B831" s="395" t="s">
        <v>928</v>
      </c>
      <c r="C831" s="395">
        <v>41</v>
      </c>
      <c r="D831" s="395">
        <v>50</v>
      </c>
      <c r="E831" s="395" t="s">
        <v>929</v>
      </c>
      <c r="F831" s="394">
        <v>10</v>
      </c>
      <c r="G831" s="179">
        <v>6911</v>
      </c>
      <c r="H831" s="394">
        <v>4716</v>
      </c>
      <c r="I831" s="394">
        <f t="shared" si="196"/>
        <v>6.8239039212849084</v>
      </c>
      <c r="J831" s="394">
        <f t="shared" si="197"/>
        <v>16.823903921284909</v>
      </c>
      <c r="K831" s="492">
        <v>0.3</v>
      </c>
      <c r="L831" s="394">
        <f t="shared" si="200"/>
        <v>21.871075097670381</v>
      </c>
      <c r="M831" s="394">
        <v>45</v>
      </c>
      <c r="N831" s="504"/>
      <c r="O831" s="362"/>
      <c r="P831" s="395"/>
      <c r="Q831" s="833"/>
      <c r="R831" s="396"/>
      <c r="S831" s="395"/>
      <c r="T831" s="395"/>
    </row>
    <row r="832" spans="1:20" s="169" customFormat="1" ht="15.75" hidden="1" x14ac:dyDescent="0.25">
      <c r="A832" s="393" t="s">
        <v>917</v>
      </c>
      <c r="B832" s="395" t="s">
        <v>928</v>
      </c>
      <c r="C832" s="395">
        <v>42</v>
      </c>
      <c r="D832" s="395">
        <v>48</v>
      </c>
      <c r="E832" s="317" t="s">
        <v>930</v>
      </c>
      <c r="F832" s="493">
        <v>12</v>
      </c>
      <c r="G832" s="509">
        <v>6911</v>
      </c>
      <c r="H832" s="493">
        <v>4716</v>
      </c>
      <c r="I832" s="493">
        <f t="shared" si="196"/>
        <v>8.1886847055418901</v>
      </c>
      <c r="J832" s="493">
        <f t="shared" si="197"/>
        <v>20.188684705541888</v>
      </c>
      <c r="K832" s="692">
        <v>0.3</v>
      </c>
      <c r="L832" s="493">
        <f t="shared" si="200"/>
        <v>26.245290117204455</v>
      </c>
      <c r="M832" s="493">
        <v>55</v>
      </c>
      <c r="N832" s="504"/>
      <c r="O832" s="362"/>
      <c r="P832" s="395" t="s">
        <v>12</v>
      </c>
      <c r="Q832" s="833">
        <v>45378</v>
      </c>
      <c r="R832" s="396">
        <f>+M832*30000</f>
        <v>1650000</v>
      </c>
      <c r="S832" s="395"/>
      <c r="T832" s="395"/>
    </row>
    <row r="833" spans="1:20" s="169" customFormat="1" ht="15.75" x14ac:dyDescent="0.25">
      <c r="A833" s="393"/>
      <c r="B833" s="395"/>
      <c r="C833" s="395"/>
      <c r="D833" s="395"/>
      <c r="E833" s="393" t="s">
        <v>1068</v>
      </c>
      <c r="F833" s="394"/>
      <c r="G833" s="179"/>
      <c r="H833" s="394"/>
      <c r="I833" s="394"/>
      <c r="J833" s="394"/>
      <c r="K833" s="492"/>
      <c r="L833" s="394"/>
      <c r="M833" s="394"/>
      <c r="N833" s="504"/>
      <c r="O833" s="395"/>
      <c r="P833" s="395"/>
      <c r="Q833" s="833"/>
      <c r="R833" s="396"/>
      <c r="S833" s="395"/>
      <c r="T833" s="395"/>
    </row>
    <row r="834" spans="1:20" s="337" customFormat="1" ht="15.75" x14ac:dyDescent="0.25">
      <c r="A834" s="169" t="s">
        <v>1027</v>
      </c>
      <c r="B834" s="169" t="s">
        <v>1033</v>
      </c>
      <c r="C834" s="169">
        <v>43</v>
      </c>
      <c r="D834" s="169">
        <v>38</v>
      </c>
      <c r="E834" s="169" t="s">
        <v>1011</v>
      </c>
      <c r="F834" s="180">
        <v>12</v>
      </c>
      <c r="G834" s="499">
        <v>4607</v>
      </c>
      <c r="H834" s="180">
        <f t="shared" ref="H834:H836" si="201">7503-G834</f>
        <v>2896</v>
      </c>
      <c r="I834" s="180">
        <f t="shared" si="196"/>
        <v>7.5433036683308012</v>
      </c>
      <c r="J834" s="180">
        <f t="shared" si="197"/>
        <v>19.5433036683308</v>
      </c>
      <c r="K834" s="345">
        <v>0.3</v>
      </c>
      <c r="L834" s="180">
        <f t="shared" ref="L834:L836" si="202">+J834*K834+J834</f>
        <v>25.40629476883004</v>
      </c>
      <c r="M834" s="170">
        <v>55</v>
      </c>
      <c r="N834" s="532"/>
      <c r="O834" s="361"/>
      <c r="P834" s="169"/>
      <c r="Q834" s="838"/>
      <c r="R834" s="580"/>
      <c r="S834" s="169"/>
      <c r="T834" s="169"/>
    </row>
    <row r="835" spans="1:20" s="337" customFormat="1" ht="15.75" x14ac:dyDescent="0.25">
      <c r="A835" s="169" t="s">
        <v>1027</v>
      </c>
      <c r="B835" s="169" t="s">
        <v>1033</v>
      </c>
      <c r="C835" s="169">
        <v>44</v>
      </c>
      <c r="D835" s="169">
        <v>40</v>
      </c>
      <c r="E835" s="699" t="s">
        <v>1011</v>
      </c>
      <c r="F835" s="700">
        <v>12</v>
      </c>
      <c r="G835" s="701">
        <v>4607</v>
      </c>
      <c r="H835" s="700">
        <f t="shared" si="201"/>
        <v>2896</v>
      </c>
      <c r="I835" s="700">
        <f t="shared" si="196"/>
        <v>7.5433036683308012</v>
      </c>
      <c r="J835" s="700">
        <f t="shared" si="197"/>
        <v>19.5433036683308</v>
      </c>
      <c r="K835" s="702">
        <v>0.3</v>
      </c>
      <c r="L835" s="700">
        <f t="shared" si="202"/>
        <v>25.40629476883004</v>
      </c>
      <c r="M835" s="703">
        <v>55</v>
      </c>
      <c r="N835" s="532"/>
      <c r="O835" s="361"/>
      <c r="P835" s="169" t="s">
        <v>3006</v>
      </c>
      <c r="Q835" s="838">
        <v>45496</v>
      </c>
      <c r="R835" s="580"/>
      <c r="S835" s="169"/>
      <c r="T835" s="169"/>
    </row>
    <row r="836" spans="1:20" s="337" customFormat="1" ht="15.75" x14ac:dyDescent="0.25">
      <c r="A836" s="169" t="s">
        <v>1027</v>
      </c>
      <c r="B836" s="169" t="s">
        <v>1033</v>
      </c>
      <c r="C836" s="169">
        <v>45</v>
      </c>
      <c r="D836" s="169">
        <v>46</v>
      </c>
      <c r="E836" s="169" t="s">
        <v>1028</v>
      </c>
      <c r="F836" s="180">
        <v>12</v>
      </c>
      <c r="G836" s="499">
        <v>4607</v>
      </c>
      <c r="H836" s="180">
        <f t="shared" si="201"/>
        <v>2896</v>
      </c>
      <c r="I836" s="180">
        <f t="shared" si="196"/>
        <v>7.5433036683308012</v>
      </c>
      <c r="J836" s="180">
        <f t="shared" si="197"/>
        <v>19.5433036683308</v>
      </c>
      <c r="K836" s="345">
        <v>0.3</v>
      </c>
      <c r="L836" s="180">
        <f t="shared" si="202"/>
        <v>25.40629476883004</v>
      </c>
      <c r="M836" s="170">
        <v>55</v>
      </c>
      <c r="N836" s="532"/>
      <c r="O836" s="361"/>
      <c r="P836" s="169"/>
      <c r="Q836" s="838"/>
      <c r="R836" s="580"/>
      <c r="S836" s="169"/>
      <c r="T836" s="169"/>
    </row>
    <row r="837" spans="1:20" ht="15" customHeight="1" outlineLevel="1" x14ac:dyDescent="0.25">
      <c r="A837" s="169"/>
      <c r="B837" s="331" t="s">
        <v>1189</v>
      </c>
      <c r="C837" s="337">
        <v>46</v>
      </c>
      <c r="D837" s="337">
        <v>44</v>
      </c>
      <c r="E837" s="337" t="s">
        <v>1190</v>
      </c>
      <c r="F837" s="338">
        <v>12</v>
      </c>
      <c r="G837" s="339">
        <v>8267</v>
      </c>
      <c r="H837" s="338">
        <v>7400</v>
      </c>
      <c r="I837" s="338">
        <f t="shared" ref="I837" si="203">+F837/G837*H837</f>
        <v>10.741502358775856</v>
      </c>
      <c r="J837" s="338">
        <f t="shared" ref="J837" si="204">+F837+I837</f>
        <v>22.741502358775854</v>
      </c>
      <c r="K837" s="340">
        <v>0.3</v>
      </c>
      <c r="L837" s="338">
        <f t="shared" ref="L837" si="205">+J837*1.3</f>
        <v>29.563953066408612</v>
      </c>
      <c r="M837" s="341">
        <v>55</v>
      </c>
      <c r="N837" s="675"/>
      <c r="O837" s="361"/>
      <c r="P837" s="169"/>
      <c r="Q837" s="835"/>
      <c r="R837" s="580"/>
      <c r="S837" s="337"/>
      <c r="T837" s="337"/>
    </row>
    <row r="838" spans="1:20" s="149" customFormat="1" ht="15" customHeight="1" outlineLevel="1" x14ac:dyDescent="0.25">
      <c r="A838" s="169"/>
      <c r="B838" s="331"/>
      <c r="C838" s="337"/>
      <c r="D838" s="337"/>
      <c r="E838" s="549" t="s">
        <v>1363</v>
      </c>
      <c r="F838" s="338"/>
      <c r="G838" s="339"/>
      <c r="H838" s="338"/>
      <c r="I838" s="338"/>
      <c r="J838" s="338"/>
      <c r="K838" s="340"/>
      <c r="L838" s="338"/>
      <c r="M838" s="341"/>
      <c r="N838" s="675"/>
      <c r="O838" s="169"/>
      <c r="P838" s="169"/>
      <c r="Q838" s="835"/>
      <c r="R838" s="580"/>
      <c r="S838" s="337"/>
      <c r="T838" s="337"/>
    </row>
    <row r="839" spans="1:20" s="178" customFormat="1" ht="15.75" x14ac:dyDescent="0.25">
      <c r="A839" s="319"/>
      <c r="B839" s="319" t="s">
        <v>786</v>
      </c>
      <c r="C839" s="169">
        <v>47</v>
      </c>
      <c r="D839" s="226">
        <v>56</v>
      </c>
      <c r="E839" s="337" t="s">
        <v>1191</v>
      </c>
      <c r="F839" s="227">
        <v>10</v>
      </c>
      <c r="G839" s="227">
        <v>9682</v>
      </c>
      <c r="H839" s="226">
        <v>7766</v>
      </c>
      <c r="I839" s="174">
        <f t="shared" ref="I839:I852" si="206">+F839/G839*H839</f>
        <v>8.0210700268539554</v>
      </c>
      <c r="J839" s="174">
        <f t="shared" ref="J839:J852" si="207">+F839+I839</f>
        <v>18.021070026853955</v>
      </c>
      <c r="K839" s="316">
        <v>0.4</v>
      </c>
      <c r="L839" s="174">
        <f t="shared" ref="L839:L852" si="208">+J839*1.4</f>
        <v>25.229498037595537</v>
      </c>
      <c r="M839" s="175">
        <v>45</v>
      </c>
      <c r="N839" s="633"/>
      <c r="O839" s="362"/>
      <c r="P839" s="395"/>
      <c r="Q839" s="836"/>
      <c r="R839" s="914"/>
    </row>
    <row r="840" spans="1:20" s="178" customFormat="1" ht="15.75" hidden="1" x14ac:dyDescent="0.25">
      <c r="A840" s="319"/>
      <c r="B840" s="319" t="s">
        <v>786</v>
      </c>
      <c r="C840" s="169">
        <v>48</v>
      </c>
      <c r="D840" s="226">
        <v>58</v>
      </c>
      <c r="E840" s="704" t="s">
        <v>1191</v>
      </c>
      <c r="F840" s="305">
        <v>10</v>
      </c>
      <c r="G840" s="305">
        <v>9682</v>
      </c>
      <c r="H840" s="232">
        <v>7766</v>
      </c>
      <c r="I840" s="611">
        <f t="shared" si="206"/>
        <v>8.0210700268539554</v>
      </c>
      <c r="J840" s="611">
        <f t="shared" si="207"/>
        <v>18.021070026853955</v>
      </c>
      <c r="K840" s="612">
        <v>0.4</v>
      </c>
      <c r="L840" s="611">
        <f t="shared" si="208"/>
        <v>25.229498037595537</v>
      </c>
      <c r="M840" s="698">
        <v>45</v>
      </c>
      <c r="N840" s="633"/>
      <c r="O840" s="362"/>
      <c r="P840" s="395" t="s">
        <v>1925</v>
      </c>
      <c r="Q840" s="836">
        <v>45320</v>
      </c>
      <c r="R840" s="914"/>
    </row>
    <row r="841" spans="1:20" s="178" customFormat="1" ht="15.75" x14ac:dyDescent="0.25">
      <c r="A841" s="319"/>
      <c r="B841" s="319" t="s">
        <v>786</v>
      </c>
      <c r="C841" s="169">
        <v>49</v>
      </c>
      <c r="D841" s="226">
        <v>48</v>
      </c>
      <c r="E841" s="337" t="s">
        <v>1191</v>
      </c>
      <c r="F841" s="227">
        <v>10</v>
      </c>
      <c r="G841" s="227">
        <v>9682</v>
      </c>
      <c r="H841" s="226">
        <v>7766</v>
      </c>
      <c r="I841" s="174">
        <f t="shared" si="206"/>
        <v>8.0210700268539554</v>
      </c>
      <c r="J841" s="174">
        <f t="shared" si="207"/>
        <v>18.021070026853955</v>
      </c>
      <c r="K841" s="316">
        <v>0.4</v>
      </c>
      <c r="L841" s="174">
        <f t="shared" si="208"/>
        <v>25.229498037595537</v>
      </c>
      <c r="M841" s="175">
        <v>45</v>
      </c>
      <c r="N841" s="633"/>
      <c r="O841" s="362"/>
      <c r="Q841" s="836"/>
      <c r="R841" s="914"/>
    </row>
    <row r="842" spans="1:20" s="178" customFormat="1" ht="15.75" hidden="1" x14ac:dyDescent="0.25">
      <c r="A842" s="319"/>
      <c r="B842" s="319" t="s">
        <v>786</v>
      </c>
      <c r="C842" s="169">
        <v>50</v>
      </c>
      <c r="D842" s="226">
        <v>48</v>
      </c>
      <c r="E842" s="704" t="s">
        <v>1192</v>
      </c>
      <c r="F842" s="305">
        <v>10</v>
      </c>
      <c r="G842" s="305">
        <v>9682</v>
      </c>
      <c r="H842" s="232">
        <v>7766</v>
      </c>
      <c r="I842" s="611">
        <f t="shared" si="206"/>
        <v>8.0210700268539554</v>
      </c>
      <c r="J842" s="611">
        <f t="shared" si="207"/>
        <v>18.021070026853955</v>
      </c>
      <c r="K842" s="612">
        <v>0.4</v>
      </c>
      <c r="L842" s="611">
        <f t="shared" si="208"/>
        <v>25.229498037595537</v>
      </c>
      <c r="M842" s="698">
        <v>45</v>
      </c>
      <c r="N842" s="633"/>
      <c r="O842" s="362"/>
      <c r="P842" s="395" t="s">
        <v>2625</v>
      </c>
      <c r="Q842" s="836">
        <v>45433</v>
      </c>
      <c r="R842" s="914">
        <f>+M842*14.5</f>
        <v>652.5</v>
      </c>
    </row>
    <row r="843" spans="1:20" s="178" customFormat="1" ht="15.75" x14ac:dyDescent="0.25">
      <c r="A843" s="319"/>
      <c r="B843" s="319" t="s">
        <v>786</v>
      </c>
      <c r="C843" s="169">
        <v>51</v>
      </c>
      <c r="D843" s="226">
        <v>50</v>
      </c>
      <c r="E843" s="337" t="s">
        <v>1192</v>
      </c>
      <c r="F843" s="227">
        <v>10</v>
      </c>
      <c r="G843" s="227">
        <v>9682</v>
      </c>
      <c r="H843" s="226">
        <v>7766</v>
      </c>
      <c r="I843" s="174">
        <f t="shared" si="206"/>
        <v>8.0210700268539554</v>
      </c>
      <c r="J843" s="174">
        <f t="shared" si="207"/>
        <v>18.021070026853955</v>
      </c>
      <c r="K843" s="316">
        <v>0.4</v>
      </c>
      <c r="L843" s="174">
        <f t="shared" si="208"/>
        <v>25.229498037595537</v>
      </c>
      <c r="M843" s="175">
        <v>45</v>
      </c>
      <c r="N843" s="633"/>
      <c r="O843" s="395"/>
      <c r="P843" s="395"/>
      <c r="Q843" s="836"/>
      <c r="R843" s="914"/>
    </row>
    <row r="844" spans="1:20" s="178" customFormat="1" ht="15.75" x14ac:dyDescent="0.25">
      <c r="A844" s="319"/>
      <c r="B844" s="319" t="s">
        <v>786</v>
      </c>
      <c r="C844" s="169">
        <v>52</v>
      </c>
      <c r="D844" s="226">
        <v>44</v>
      </c>
      <c r="E844" s="337" t="s">
        <v>1265</v>
      </c>
      <c r="F844" s="227">
        <v>10</v>
      </c>
      <c r="G844" s="227">
        <v>9682</v>
      </c>
      <c r="H844" s="226">
        <v>7766</v>
      </c>
      <c r="I844" s="174">
        <f t="shared" si="206"/>
        <v>8.0210700268539554</v>
      </c>
      <c r="J844" s="174">
        <f t="shared" si="207"/>
        <v>18.021070026853955</v>
      </c>
      <c r="K844" s="316">
        <v>0.4</v>
      </c>
      <c r="L844" s="174">
        <f t="shared" si="208"/>
        <v>25.229498037595537</v>
      </c>
      <c r="M844" s="175">
        <v>45</v>
      </c>
      <c r="N844" s="633"/>
      <c r="O844" s="362"/>
      <c r="P844" s="395"/>
      <c r="Q844" s="836"/>
      <c r="R844" s="914"/>
    </row>
    <row r="845" spans="1:20" s="178" customFormat="1" ht="15.75" x14ac:dyDescent="0.25">
      <c r="A845" s="319"/>
      <c r="B845" s="319" t="s">
        <v>786</v>
      </c>
      <c r="C845" s="169">
        <v>53</v>
      </c>
      <c r="D845" s="226">
        <v>46</v>
      </c>
      <c r="E845" s="337" t="s">
        <v>1265</v>
      </c>
      <c r="F845" s="227">
        <v>10</v>
      </c>
      <c r="G845" s="227">
        <v>9682</v>
      </c>
      <c r="H845" s="226">
        <v>7766</v>
      </c>
      <c r="I845" s="174">
        <f t="shared" si="206"/>
        <v>8.0210700268539554</v>
      </c>
      <c r="J845" s="174">
        <f t="shared" si="207"/>
        <v>18.021070026853955</v>
      </c>
      <c r="K845" s="316">
        <v>0.4</v>
      </c>
      <c r="L845" s="174">
        <f t="shared" si="208"/>
        <v>25.229498037595537</v>
      </c>
      <c r="M845" s="175">
        <v>45</v>
      </c>
      <c r="N845" s="633"/>
      <c r="O845" s="362"/>
      <c r="P845" s="395"/>
      <c r="Q845" s="836"/>
      <c r="R845" s="914"/>
    </row>
    <row r="846" spans="1:20" s="178" customFormat="1" ht="15.75" x14ac:dyDescent="0.25">
      <c r="A846" s="319"/>
      <c r="B846" s="319" t="s">
        <v>786</v>
      </c>
      <c r="C846" s="169">
        <v>54</v>
      </c>
      <c r="D846" s="226">
        <v>46</v>
      </c>
      <c r="E846" s="337" t="s">
        <v>1265</v>
      </c>
      <c r="F846" s="227">
        <v>10</v>
      </c>
      <c r="G846" s="227">
        <v>9682</v>
      </c>
      <c r="H846" s="226">
        <v>7766</v>
      </c>
      <c r="I846" s="174">
        <f t="shared" si="206"/>
        <v>8.0210700268539554</v>
      </c>
      <c r="J846" s="174">
        <f t="shared" si="207"/>
        <v>18.021070026853955</v>
      </c>
      <c r="K846" s="316">
        <v>0.4</v>
      </c>
      <c r="L846" s="174">
        <f t="shared" si="208"/>
        <v>25.229498037595537</v>
      </c>
      <c r="M846" s="175">
        <v>45</v>
      </c>
      <c r="N846" s="633"/>
      <c r="O846" s="362"/>
      <c r="Q846" s="836"/>
      <c r="R846" s="914"/>
    </row>
    <row r="847" spans="1:20" s="238" customFormat="1" ht="15.75" x14ac:dyDescent="0.25">
      <c r="A847" s="676"/>
      <c r="B847" s="676" t="s">
        <v>786</v>
      </c>
      <c r="D847" s="631">
        <v>40</v>
      </c>
      <c r="E847" s="632" t="s">
        <v>1265</v>
      </c>
      <c r="F847" s="677">
        <v>10</v>
      </c>
      <c r="G847" s="677">
        <v>9682</v>
      </c>
      <c r="H847" s="631">
        <v>7766</v>
      </c>
      <c r="I847" s="663">
        <f t="shared" si="206"/>
        <v>8.0210700268539554</v>
      </c>
      <c r="J847" s="663">
        <f t="shared" si="207"/>
        <v>18.021070026853955</v>
      </c>
      <c r="K847" s="662">
        <v>0.4</v>
      </c>
      <c r="L847" s="663">
        <f t="shared" si="208"/>
        <v>25.229498037595537</v>
      </c>
      <c r="M847" s="633">
        <v>40</v>
      </c>
      <c r="N847" s="633"/>
      <c r="O847" s="494"/>
      <c r="P847" s="238" t="s">
        <v>1679</v>
      </c>
      <c r="Q847" s="843">
        <v>45252</v>
      </c>
      <c r="R847" s="920">
        <f>+M847*7800</f>
        <v>312000</v>
      </c>
    </row>
    <row r="848" spans="1:20" s="178" customFormat="1" ht="15.75" x14ac:dyDescent="0.25">
      <c r="A848" s="319"/>
      <c r="B848" s="319" t="s">
        <v>786</v>
      </c>
      <c r="C848" s="169">
        <v>55</v>
      </c>
      <c r="D848" s="226">
        <v>44</v>
      </c>
      <c r="E848" s="337" t="s">
        <v>1265</v>
      </c>
      <c r="F848" s="227">
        <v>10</v>
      </c>
      <c r="G848" s="227">
        <v>9682</v>
      </c>
      <c r="H848" s="226">
        <v>7766</v>
      </c>
      <c r="I848" s="174">
        <f t="shared" si="206"/>
        <v>8.0210700268539554</v>
      </c>
      <c r="J848" s="174">
        <f t="shared" si="207"/>
        <v>18.021070026853955</v>
      </c>
      <c r="K848" s="316">
        <v>0.4</v>
      </c>
      <c r="L848" s="174">
        <f t="shared" si="208"/>
        <v>25.229498037595537</v>
      </c>
      <c r="M848" s="175">
        <v>45</v>
      </c>
      <c r="N848" s="633"/>
      <c r="O848" s="362"/>
      <c r="P848" s="395"/>
      <c r="Q848" s="836"/>
      <c r="R848" s="914"/>
    </row>
    <row r="849" spans="1:18" s="178" customFormat="1" ht="15.75" x14ac:dyDescent="0.25">
      <c r="A849" s="319"/>
      <c r="B849" s="319" t="s">
        <v>786</v>
      </c>
      <c r="C849" s="169">
        <v>56</v>
      </c>
      <c r="D849" s="226">
        <v>38</v>
      </c>
      <c r="E849" s="337" t="s">
        <v>1265</v>
      </c>
      <c r="F849" s="227">
        <v>10</v>
      </c>
      <c r="G849" s="227">
        <v>9682</v>
      </c>
      <c r="H849" s="226">
        <v>7766</v>
      </c>
      <c r="I849" s="174">
        <f t="shared" si="206"/>
        <v>8.0210700268539554</v>
      </c>
      <c r="J849" s="174">
        <f t="shared" si="207"/>
        <v>18.021070026853955</v>
      </c>
      <c r="K849" s="316">
        <v>0.4</v>
      </c>
      <c r="L849" s="174">
        <f t="shared" si="208"/>
        <v>25.229498037595537</v>
      </c>
      <c r="M849" s="175">
        <v>45</v>
      </c>
      <c r="N849" s="633"/>
      <c r="O849" s="362"/>
      <c r="P849" s="395"/>
      <c r="Q849" s="836"/>
      <c r="R849" s="914"/>
    </row>
    <row r="850" spans="1:18" s="178" customFormat="1" ht="15.75" x14ac:dyDescent="0.25">
      <c r="A850" s="319"/>
      <c r="B850" s="319" t="s">
        <v>786</v>
      </c>
      <c r="C850" s="169">
        <v>57</v>
      </c>
      <c r="D850" s="226">
        <v>42</v>
      </c>
      <c r="E850" s="337" t="s">
        <v>1265</v>
      </c>
      <c r="F850" s="227">
        <v>10</v>
      </c>
      <c r="G850" s="227">
        <v>9682</v>
      </c>
      <c r="H850" s="226">
        <v>7766</v>
      </c>
      <c r="I850" s="174">
        <f t="shared" ref="I850" si="209">+F850/G850*H850</f>
        <v>8.0210700268539554</v>
      </c>
      <c r="J850" s="174">
        <f t="shared" ref="J850" si="210">+F850+I850</f>
        <v>18.021070026853955</v>
      </c>
      <c r="K850" s="316">
        <v>0.4</v>
      </c>
      <c r="L850" s="174">
        <f t="shared" ref="L850" si="211">+J850*1.4</f>
        <v>25.229498037595537</v>
      </c>
      <c r="M850" s="175">
        <v>45</v>
      </c>
      <c r="N850" s="633"/>
      <c r="O850" s="362"/>
      <c r="P850" s="395" t="s">
        <v>1731</v>
      </c>
      <c r="Q850" s="836"/>
      <c r="R850" s="914"/>
    </row>
    <row r="851" spans="1:18" s="178" customFormat="1" ht="15.75" hidden="1" x14ac:dyDescent="0.25">
      <c r="A851" s="319"/>
      <c r="B851" s="319" t="s">
        <v>786</v>
      </c>
      <c r="C851" s="169">
        <v>58</v>
      </c>
      <c r="D851" s="226">
        <v>38</v>
      </c>
      <c r="E851" s="704" t="s">
        <v>1304</v>
      </c>
      <c r="F851" s="305">
        <v>10</v>
      </c>
      <c r="G851" s="305">
        <v>9682</v>
      </c>
      <c r="H851" s="232">
        <v>7766</v>
      </c>
      <c r="I851" s="611">
        <f t="shared" si="206"/>
        <v>8.0210700268539554</v>
      </c>
      <c r="J851" s="611">
        <f t="shared" si="207"/>
        <v>18.021070026853955</v>
      </c>
      <c r="K851" s="612">
        <v>0.4</v>
      </c>
      <c r="L851" s="611">
        <f t="shared" si="208"/>
        <v>25.229498037595537</v>
      </c>
      <c r="M851" s="698">
        <v>45</v>
      </c>
      <c r="N851" s="633"/>
      <c r="O851" s="362"/>
      <c r="P851" s="395" t="s">
        <v>12</v>
      </c>
      <c r="Q851" s="836">
        <v>45313</v>
      </c>
      <c r="R851" s="914">
        <f>+M851*7000</f>
        <v>315000</v>
      </c>
    </row>
    <row r="852" spans="1:18" s="178" customFormat="1" ht="15.75" hidden="1" x14ac:dyDescent="0.25">
      <c r="A852" s="319"/>
      <c r="B852" s="319" t="s">
        <v>786</v>
      </c>
      <c r="C852" s="169">
        <v>59</v>
      </c>
      <c r="D852" s="226">
        <v>46</v>
      </c>
      <c r="E852" s="704" t="s">
        <v>1304</v>
      </c>
      <c r="F852" s="305">
        <v>10</v>
      </c>
      <c r="G852" s="305">
        <v>9682</v>
      </c>
      <c r="H852" s="232">
        <v>7766</v>
      </c>
      <c r="I852" s="611">
        <f t="shared" si="206"/>
        <v>8.0210700268539554</v>
      </c>
      <c r="J852" s="611">
        <f t="shared" si="207"/>
        <v>18.021070026853955</v>
      </c>
      <c r="K852" s="612">
        <v>0.4</v>
      </c>
      <c r="L852" s="611">
        <f t="shared" si="208"/>
        <v>25.229498037595537</v>
      </c>
      <c r="M852" s="698">
        <v>45</v>
      </c>
      <c r="N852" s="633"/>
      <c r="O852" s="362"/>
      <c r="P852" s="395" t="s">
        <v>1976</v>
      </c>
      <c r="Q852" s="836">
        <v>45299</v>
      </c>
      <c r="R852" s="914">
        <f>+M852*8000</f>
        <v>360000</v>
      </c>
    </row>
    <row r="853" spans="1:18" s="178" customFormat="1" ht="15.75" x14ac:dyDescent="0.25">
      <c r="A853" s="319"/>
      <c r="B853" s="319"/>
      <c r="D853" s="226"/>
      <c r="E853" s="549" t="s">
        <v>1452</v>
      </c>
      <c r="F853" s="227"/>
      <c r="G853" s="227"/>
      <c r="H853" s="226"/>
      <c r="I853" s="174"/>
      <c r="J853" s="174"/>
      <c r="K853" s="316"/>
      <c r="L853" s="174"/>
      <c r="M853" s="175"/>
      <c r="N853" s="633"/>
      <c r="O853" s="395"/>
      <c r="P853" s="395"/>
      <c r="Q853" s="836"/>
      <c r="R853" s="914"/>
    </row>
    <row r="854" spans="1:18" s="178" customFormat="1" x14ac:dyDescent="0.25">
      <c r="A854" s="225" t="s">
        <v>1412</v>
      </c>
      <c r="B854" s="225" t="s">
        <v>1412</v>
      </c>
      <c r="C854" s="178">
        <v>60</v>
      </c>
      <c r="D854" s="178">
        <v>46</v>
      </c>
      <c r="E854" s="178" t="s">
        <v>1413</v>
      </c>
      <c r="F854" s="226">
        <v>13</v>
      </c>
      <c r="G854" s="178">
        <v>6066</v>
      </c>
      <c r="H854" s="226">
        <v>6015</v>
      </c>
      <c r="I854" s="338">
        <f t="shared" ref="I854:I862" si="212">+F854/G854*H854</f>
        <v>12.890702274975274</v>
      </c>
      <c r="J854" s="614">
        <f t="shared" ref="J854:J862" si="213">+F854+I854</f>
        <v>25.890702274975276</v>
      </c>
      <c r="K854" s="316">
        <v>0.4</v>
      </c>
      <c r="L854" s="174">
        <f t="shared" ref="L854:L862" si="214">+J854*1.4</f>
        <v>36.24698318496538</v>
      </c>
      <c r="M854" s="226">
        <v>55</v>
      </c>
      <c r="N854" s="631"/>
      <c r="O854" s="590"/>
      <c r="Q854" s="836"/>
      <c r="R854" s="914"/>
    </row>
    <row r="855" spans="1:18" s="178" customFormat="1" ht="15.75" hidden="1" x14ac:dyDescent="0.25">
      <c r="A855" s="225" t="s">
        <v>1412</v>
      </c>
      <c r="B855" s="225" t="s">
        <v>1412</v>
      </c>
      <c r="C855" s="178">
        <v>61</v>
      </c>
      <c r="D855" s="178">
        <v>48</v>
      </c>
      <c r="E855" s="213" t="s">
        <v>1413</v>
      </c>
      <c r="F855" s="232">
        <v>13</v>
      </c>
      <c r="G855" s="213">
        <v>6066</v>
      </c>
      <c r="H855" s="232">
        <v>6015</v>
      </c>
      <c r="I855" s="695">
        <f t="shared" si="212"/>
        <v>12.890702274975274</v>
      </c>
      <c r="J855" s="696">
        <f t="shared" si="213"/>
        <v>25.890702274975276</v>
      </c>
      <c r="K855" s="612">
        <v>0.4</v>
      </c>
      <c r="L855" s="611">
        <f t="shared" si="214"/>
        <v>36.24698318496538</v>
      </c>
      <c r="M855" s="232">
        <v>55</v>
      </c>
      <c r="N855" s="631"/>
      <c r="O855" s="590"/>
      <c r="P855" s="395" t="s">
        <v>12</v>
      </c>
      <c r="Q855" s="836">
        <v>45345</v>
      </c>
      <c r="R855" s="914">
        <f>+M855*10000</f>
        <v>550000</v>
      </c>
    </row>
    <row r="856" spans="1:18" s="178" customFormat="1" x14ac:dyDescent="0.25">
      <c r="A856" s="225" t="s">
        <v>1412</v>
      </c>
      <c r="B856" s="225" t="s">
        <v>1412</v>
      </c>
      <c r="C856" s="178">
        <v>62</v>
      </c>
      <c r="D856" s="178">
        <v>44</v>
      </c>
      <c r="E856" s="178" t="s">
        <v>1414</v>
      </c>
      <c r="F856" s="226">
        <v>13</v>
      </c>
      <c r="G856" s="178">
        <v>6066</v>
      </c>
      <c r="H856" s="226">
        <v>6015</v>
      </c>
      <c r="I856" s="338">
        <f t="shared" si="212"/>
        <v>12.890702274975274</v>
      </c>
      <c r="J856" s="614">
        <f t="shared" si="213"/>
        <v>25.890702274975276</v>
      </c>
      <c r="K856" s="316">
        <v>0.4</v>
      </c>
      <c r="L856" s="174">
        <f t="shared" si="214"/>
        <v>36.24698318496538</v>
      </c>
      <c r="M856" s="226">
        <v>55</v>
      </c>
      <c r="N856" s="631"/>
      <c r="O856" s="590"/>
      <c r="Q856" s="836"/>
      <c r="R856" s="914"/>
    </row>
    <row r="857" spans="1:18" s="178" customFormat="1" x14ac:dyDescent="0.25">
      <c r="A857" s="225" t="s">
        <v>1412</v>
      </c>
      <c r="B857" s="225" t="s">
        <v>1412</v>
      </c>
      <c r="C857" s="178">
        <v>63</v>
      </c>
      <c r="D857" s="178">
        <v>46</v>
      </c>
      <c r="E857" s="178" t="s">
        <v>1414</v>
      </c>
      <c r="F857" s="226">
        <v>13</v>
      </c>
      <c r="G857" s="178">
        <v>6066</v>
      </c>
      <c r="H857" s="226">
        <v>6015</v>
      </c>
      <c r="I857" s="338">
        <f t="shared" si="212"/>
        <v>12.890702274975274</v>
      </c>
      <c r="J857" s="614">
        <f t="shared" si="213"/>
        <v>25.890702274975276</v>
      </c>
      <c r="K857" s="316">
        <v>0.4</v>
      </c>
      <c r="L857" s="174">
        <f t="shared" si="214"/>
        <v>36.24698318496538</v>
      </c>
      <c r="M857" s="226">
        <v>55</v>
      </c>
      <c r="N857" s="631"/>
      <c r="O857" s="590"/>
      <c r="Q857" s="836"/>
      <c r="R857" s="914"/>
    </row>
    <row r="858" spans="1:18" s="178" customFormat="1" x14ac:dyDescent="0.25">
      <c r="A858" s="225" t="s">
        <v>1412</v>
      </c>
      <c r="B858" s="225" t="s">
        <v>1412</v>
      </c>
      <c r="C858" s="178">
        <v>64</v>
      </c>
      <c r="D858" s="178">
        <v>48</v>
      </c>
      <c r="E858" s="178" t="s">
        <v>1414</v>
      </c>
      <c r="F858" s="226">
        <v>13</v>
      </c>
      <c r="G858" s="178">
        <v>6066</v>
      </c>
      <c r="H858" s="226">
        <v>6015</v>
      </c>
      <c r="I858" s="338">
        <f t="shared" si="212"/>
        <v>12.890702274975274</v>
      </c>
      <c r="J858" s="614">
        <f t="shared" si="213"/>
        <v>25.890702274975276</v>
      </c>
      <c r="K858" s="316">
        <v>0.4</v>
      </c>
      <c r="L858" s="174">
        <f t="shared" si="214"/>
        <v>36.24698318496538</v>
      </c>
      <c r="M858" s="226">
        <v>55</v>
      </c>
      <c r="N858" s="631"/>
      <c r="O858" s="590"/>
      <c r="Q858" s="836"/>
      <c r="R858" s="914"/>
    </row>
    <row r="859" spans="1:18" s="178" customFormat="1" x14ac:dyDescent="0.25">
      <c r="A859" s="225" t="s">
        <v>1412</v>
      </c>
      <c r="B859" s="225" t="s">
        <v>1412</v>
      </c>
      <c r="C859" s="178">
        <v>65</v>
      </c>
      <c r="D859" s="178">
        <v>46</v>
      </c>
      <c r="E859" s="178" t="s">
        <v>1011</v>
      </c>
      <c r="F859" s="226">
        <v>13</v>
      </c>
      <c r="G859" s="178">
        <v>6066</v>
      </c>
      <c r="H859" s="226">
        <v>6015</v>
      </c>
      <c r="I859" s="338">
        <f t="shared" si="212"/>
        <v>12.890702274975274</v>
      </c>
      <c r="J859" s="614">
        <f t="shared" si="213"/>
        <v>25.890702274975276</v>
      </c>
      <c r="K859" s="316">
        <v>0.4</v>
      </c>
      <c r="L859" s="174">
        <f t="shared" si="214"/>
        <v>36.24698318496538</v>
      </c>
      <c r="M859" s="226">
        <v>55</v>
      </c>
      <c r="N859" s="631"/>
      <c r="O859" s="590"/>
      <c r="Q859" s="836"/>
      <c r="R859" s="914"/>
    </row>
    <row r="860" spans="1:18" s="178" customFormat="1" x14ac:dyDescent="0.25">
      <c r="A860" s="225" t="s">
        <v>1412</v>
      </c>
      <c r="B860" s="225" t="s">
        <v>1412</v>
      </c>
      <c r="C860" s="178">
        <v>66</v>
      </c>
      <c r="D860" s="178">
        <v>48</v>
      </c>
      <c r="E860" s="178" t="s">
        <v>1011</v>
      </c>
      <c r="F860" s="226">
        <v>13</v>
      </c>
      <c r="G860" s="178">
        <v>6066</v>
      </c>
      <c r="H860" s="226">
        <v>6015</v>
      </c>
      <c r="I860" s="338">
        <f t="shared" si="212"/>
        <v>12.890702274975274</v>
      </c>
      <c r="J860" s="614">
        <f t="shared" si="213"/>
        <v>25.890702274975276</v>
      </c>
      <c r="K860" s="316">
        <v>0.4</v>
      </c>
      <c r="L860" s="174">
        <f t="shared" si="214"/>
        <v>36.24698318496538</v>
      </c>
      <c r="M860" s="226">
        <v>55</v>
      </c>
      <c r="N860" s="631"/>
      <c r="O860" s="590"/>
      <c r="Q860" s="836"/>
      <c r="R860" s="914"/>
    </row>
    <row r="861" spans="1:18" s="178" customFormat="1" x14ac:dyDescent="0.25">
      <c r="A861" s="225" t="s">
        <v>1412</v>
      </c>
      <c r="B861" s="225" t="s">
        <v>1412</v>
      </c>
      <c r="C861" s="178">
        <v>67</v>
      </c>
      <c r="D861" s="178">
        <v>38</v>
      </c>
      <c r="E861" s="178" t="s">
        <v>1415</v>
      </c>
      <c r="F861" s="226">
        <v>12</v>
      </c>
      <c r="G861" s="178">
        <v>6066</v>
      </c>
      <c r="H861" s="226">
        <v>6015</v>
      </c>
      <c r="I861" s="338">
        <f t="shared" si="212"/>
        <v>11.899109792284866</v>
      </c>
      <c r="J861" s="614">
        <f t="shared" si="213"/>
        <v>23.899109792284868</v>
      </c>
      <c r="K861" s="316">
        <v>0.4</v>
      </c>
      <c r="L861" s="174">
        <f t="shared" si="214"/>
        <v>33.458753709198817</v>
      </c>
      <c r="M861" s="226">
        <v>55</v>
      </c>
      <c r="N861" s="631"/>
      <c r="O861" s="590"/>
      <c r="Q861" s="836"/>
      <c r="R861" s="914"/>
    </row>
    <row r="862" spans="1:18" s="178" customFormat="1" x14ac:dyDescent="0.25">
      <c r="A862" s="225" t="s">
        <v>1412</v>
      </c>
      <c r="B862" s="225" t="s">
        <v>1412</v>
      </c>
      <c r="C862" s="178">
        <v>68</v>
      </c>
      <c r="D862" s="178">
        <v>40</v>
      </c>
      <c r="E862" s="178" t="s">
        <v>1415</v>
      </c>
      <c r="F862" s="226">
        <v>12</v>
      </c>
      <c r="G862" s="178">
        <v>6066</v>
      </c>
      <c r="H862" s="226">
        <v>6015</v>
      </c>
      <c r="I862" s="338">
        <f t="shared" si="212"/>
        <v>11.899109792284866</v>
      </c>
      <c r="J862" s="614">
        <f t="shared" si="213"/>
        <v>23.899109792284868</v>
      </c>
      <c r="K862" s="316">
        <v>0.4</v>
      </c>
      <c r="L862" s="174">
        <f t="shared" si="214"/>
        <v>33.458753709198817</v>
      </c>
      <c r="M862" s="226">
        <v>55</v>
      </c>
      <c r="N862" s="631"/>
      <c r="O862" s="590"/>
      <c r="Q862" s="836"/>
      <c r="R862" s="914"/>
    </row>
    <row r="863" spans="1:18" s="178" customFormat="1" x14ac:dyDescent="0.25">
      <c r="A863" s="225"/>
      <c r="B863" s="653">
        <v>45352</v>
      </c>
      <c r="F863" s="226"/>
      <c r="H863" s="226"/>
      <c r="I863" s="338"/>
      <c r="J863" s="614"/>
      <c r="K863" s="316"/>
      <c r="L863" s="174"/>
      <c r="M863" s="226"/>
      <c r="N863" s="631"/>
      <c r="O863" s="590"/>
      <c r="Q863" s="836"/>
      <c r="R863" s="914"/>
    </row>
    <row r="864" spans="1:18" s="178" customFormat="1" hidden="1" x14ac:dyDescent="0.25">
      <c r="A864" s="319" t="s">
        <v>2123</v>
      </c>
      <c r="C864" s="178">
        <v>69</v>
      </c>
      <c r="D864" s="656">
        <v>42</v>
      </c>
      <c r="E864" s="708" t="s">
        <v>2129</v>
      </c>
      <c r="F864" s="698">
        <v>12</v>
      </c>
      <c r="G864" s="213">
        <v>4192</v>
      </c>
      <c r="H864" s="232">
        <v>3417</v>
      </c>
      <c r="I864" s="232">
        <f t="shared" ref="I864:I866" si="215">+H864/G864*F864</f>
        <v>9.7814885496183201</v>
      </c>
      <c r="J864" s="863">
        <f t="shared" ref="J864:J866" si="216">+F864+I864</f>
        <v>21.78148854961832</v>
      </c>
      <c r="K864" s="864">
        <v>1.4</v>
      </c>
      <c r="L864" s="232">
        <f t="shared" ref="L864:L866" si="217">+J864*K864</f>
        <v>30.494083969465645</v>
      </c>
      <c r="M864" s="232">
        <v>45</v>
      </c>
      <c r="N864" s="226"/>
      <c r="P864" s="178" t="s">
        <v>2405</v>
      </c>
      <c r="Q864" s="229">
        <v>45399</v>
      </c>
      <c r="R864" s="914">
        <f>+M864*36000</f>
        <v>1620000</v>
      </c>
    </row>
    <row r="865" spans="1:20" s="178" customFormat="1" x14ac:dyDescent="0.25">
      <c r="A865" s="319" t="s">
        <v>2123</v>
      </c>
      <c r="C865" s="178">
        <v>70</v>
      </c>
      <c r="D865" s="656">
        <v>44</v>
      </c>
      <c r="E865" s="628" t="s">
        <v>2129</v>
      </c>
      <c r="F865" s="175">
        <v>12</v>
      </c>
      <c r="G865" s="178">
        <v>4192</v>
      </c>
      <c r="H865" s="226">
        <v>3417</v>
      </c>
      <c r="I865" s="226">
        <f t="shared" si="215"/>
        <v>9.7814885496183201</v>
      </c>
      <c r="J865" s="820">
        <f t="shared" si="216"/>
        <v>21.78148854961832</v>
      </c>
      <c r="K865" s="228">
        <v>1.4</v>
      </c>
      <c r="L865" s="226">
        <f t="shared" si="217"/>
        <v>30.494083969465645</v>
      </c>
      <c r="M865" s="226">
        <v>45</v>
      </c>
      <c r="N865" s="226"/>
      <c r="R865" s="914"/>
    </row>
    <row r="866" spans="1:20" s="178" customFormat="1" x14ac:dyDescent="0.25">
      <c r="A866" s="319" t="s">
        <v>2123</v>
      </c>
      <c r="C866" s="178">
        <v>71</v>
      </c>
      <c r="D866" s="656">
        <v>46</v>
      </c>
      <c r="E866" s="628" t="s">
        <v>2129</v>
      </c>
      <c r="F866" s="175">
        <v>12</v>
      </c>
      <c r="G866" s="178">
        <v>4192</v>
      </c>
      <c r="H866" s="226">
        <v>3417</v>
      </c>
      <c r="I866" s="226">
        <f t="shared" si="215"/>
        <v>9.7814885496183201</v>
      </c>
      <c r="J866" s="820">
        <f t="shared" si="216"/>
        <v>21.78148854961832</v>
      </c>
      <c r="K866" s="228">
        <v>1.4</v>
      </c>
      <c r="L866" s="226">
        <f t="shared" si="217"/>
        <v>30.494083969465645</v>
      </c>
      <c r="M866" s="226">
        <v>45</v>
      </c>
      <c r="N866" s="226"/>
      <c r="R866" s="914"/>
    </row>
    <row r="867" spans="1:20" s="149" customFormat="1" ht="15" customHeight="1" outlineLevel="1" thickBot="1" x14ac:dyDescent="0.3">
      <c r="A867" s="169"/>
      <c r="B867" s="331"/>
      <c r="C867" s="337"/>
      <c r="D867" s="337"/>
      <c r="E867" s="337"/>
      <c r="F867" s="338"/>
      <c r="G867" s="339"/>
      <c r="H867" s="338"/>
      <c r="I867" s="338"/>
      <c r="J867" s="338"/>
      <c r="K867" s="340"/>
      <c r="L867" s="338"/>
      <c r="M867" s="341"/>
      <c r="N867" s="675"/>
      <c r="O867" s="169"/>
      <c r="P867" s="169"/>
      <c r="Q867" s="835"/>
      <c r="R867" s="580"/>
      <c r="S867" s="337"/>
      <c r="T867" s="337"/>
    </row>
    <row r="868" spans="1:20" ht="15" customHeight="1" outlineLevel="1" thickBot="1" x14ac:dyDescent="0.3">
      <c r="A868" s="680"/>
      <c r="B868" s="393" t="s">
        <v>159</v>
      </c>
      <c r="C868" s="500"/>
      <c r="D868" s="501"/>
      <c r="E868" s="393"/>
      <c r="F868" s="150">
        <f>SUM(F773:F836)</f>
        <v>656.19999999999993</v>
      </c>
      <c r="G868" s="150"/>
      <c r="H868" s="150"/>
      <c r="I868" s="150"/>
      <c r="J868" s="150"/>
      <c r="K868" s="150"/>
      <c r="L868" s="150">
        <f>SUM(L773:L836)</f>
        <v>2130.8896158272</v>
      </c>
      <c r="M868" s="150">
        <f>SUM(M773:M836)</f>
        <v>2850</v>
      </c>
      <c r="N868" s="404"/>
      <c r="O868" s="167"/>
      <c r="P868" s="191"/>
      <c r="Q868" s="837"/>
      <c r="R868" s="915"/>
      <c r="S868" s="10"/>
      <c r="T868" s="10"/>
    </row>
    <row r="869" spans="1:20" ht="15" customHeight="1" outlineLevel="1" x14ac:dyDescent="0.25">
      <c r="B869" s="393">
        <v>2021</v>
      </c>
      <c r="C869" s="500">
        <v>205</v>
      </c>
      <c r="D869" s="501">
        <v>-114</v>
      </c>
      <c r="E869" s="393" t="s">
        <v>729</v>
      </c>
      <c r="F869" s="150"/>
      <c r="G869" s="191"/>
      <c r="H869" s="191"/>
      <c r="I869" s="150"/>
      <c r="J869" s="150"/>
      <c r="K869" s="342"/>
      <c r="L869" s="394">
        <f>+J869*K869+J869</f>
        <v>0</v>
      </c>
      <c r="M869" s="150"/>
      <c r="N869" s="404"/>
      <c r="O869" s="393"/>
      <c r="P869" s="191"/>
      <c r="Q869" s="837"/>
      <c r="R869" s="915"/>
      <c r="S869" s="12"/>
      <c r="T869" s="12"/>
    </row>
    <row r="870" spans="1:20" ht="15" customHeight="1" outlineLevel="1" x14ac:dyDescent="0.25">
      <c r="B870" s="393">
        <v>2022</v>
      </c>
      <c r="C870" s="500">
        <v>169</v>
      </c>
      <c r="D870" s="501">
        <v>-100</v>
      </c>
      <c r="E870" s="150" t="s">
        <v>1077</v>
      </c>
      <c r="F870" s="11"/>
      <c r="G870" s="191"/>
      <c r="H870" s="191"/>
      <c r="I870" s="150"/>
      <c r="J870" s="150"/>
      <c r="K870" s="342"/>
      <c r="M870" s="150"/>
      <c r="N870" s="404"/>
      <c r="O870" s="393"/>
      <c r="P870" s="191"/>
      <c r="Q870" s="837"/>
      <c r="R870" s="915"/>
      <c r="S870" s="12"/>
      <c r="T870" s="12"/>
    </row>
    <row r="871" spans="1:20" ht="15" customHeight="1" outlineLevel="1" x14ac:dyDescent="0.25">
      <c r="B871" s="393">
        <v>2023</v>
      </c>
      <c r="C871" s="500">
        <v>149</v>
      </c>
      <c r="D871" s="501">
        <v>-68</v>
      </c>
      <c r="E871" s="393" t="s">
        <v>1776</v>
      </c>
      <c r="F871" s="150"/>
      <c r="G871" s="191"/>
      <c r="H871" s="191"/>
      <c r="I871" s="150"/>
      <c r="J871" s="150"/>
      <c r="K871" s="342"/>
      <c r="M871" s="150"/>
      <c r="N871" s="404"/>
      <c r="O871" s="393"/>
      <c r="P871" s="191"/>
      <c r="Q871" s="837"/>
      <c r="R871" s="915"/>
      <c r="S871" s="12"/>
      <c r="T871" s="12"/>
    </row>
    <row r="872" spans="1:20" ht="15" customHeight="1" outlineLevel="1" x14ac:dyDescent="0.25">
      <c r="B872" s="393"/>
      <c r="C872" s="500"/>
      <c r="D872" s="501"/>
      <c r="E872" s="393"/>
      <c r="F872" s="150"/>
      <c r="G872" s="191"/>
      <c r="H872" s="191"/>
      <c r="I872" s="150"/>
      <c r="J872" s="150"/>
      <c r="K872" s="342"/>
      <c r="M872" s="150"/>
      <c r="N872" s="404"/>
      <c r="O872" s="393"/>
      <c r="P872" s="191"/>
      <c r="Q872" s="837"/>
      <c r="R872" s="915"/>
      <c r="S872" s="12"/>
      <c r="T872" s="12"/>
    </row>
    <row r="873" spans="1:20" ht="20.25" customHeight="1" outlineLevel="1" x14ac:dyDescent="0.35">
      <c r="A873" s="144"/>
      <c r="B873" s="11"/>
      <c r="C873" s="508"/>
      <c r="D873" s="508"/>
      <c r="E873" s="432" t="s">
        <v>195</v>
      </c>
      <c r="F873" s="253"/>
      <c r="G873" s="326"/>
      <c r="H873" s="520"/>
      <c r="I873" s="326"/>
      <c r="J873" s="326"/>
      <c r="K873" s="343"/>
      <c r="L873" s="394">
        <f t="shared" ref="L873:L886" si="218">+J873*K873+J873</f>
        <v>0</v>
      </c>
      <c r="M873" s="221"/>
      <c r="N873" s="741"/>
      <c r="O873" s="152"/>
      <c r="P873" s="523"/>
      <c r="Q873" s="847"/>
      <c r="R873" s="923"/>
      <c r="S873" s="387"/>
      <c r="T873" s="387"/>
    </row>
    <row r="874" spans="1:20" ht="15" customHeight="1" outlineLevel="1" x14ac:dyDescent="0.25">
      <c r="A874" s="149"/>
      <c r="B874" s="395"/>
      <c r="C874" s="395">
        <v>1</v>
      </c>
      <c r="D874" s="395"/>
      <c r="E874" s="786" t="s">
        <v>728</v>
      </c>
      <c r="F874" s="510">
        <v>9</v>
      </c>
      <c r="G874" s="510">
        <v>2951</v>
      </c>
      <c r="H874" s="510">
        <v>8770</v>
      </c>
      <c r="I874" s="510">
        <f>+F874/G874*H874</f>
        <v>26.74686546933243</v>
      </c>
      <c r="J874" s="512">
        <f>+F874+I874</f>
        <v>35.746865469332434</v>
      </c>
      <c r="K874" s="510">
        <v>0.3</v>
      </c>
      <c r="L874" s="512">
        <f t="shared" si="218"/>
        <v>46.470925110132164</v>
      </c>
      <c r="M874" s="510">
        <v>35</v>
      </c>
      <c r="N874" s="494"/>
      <c r="O874" s="377"/>
      <c r="P874" s="524" t="s">
        <v>1996</v>
      </c>
      <c r="Q874" s="848">
        <v>45336</v>
      </c>
      <c r="R874" s="924"/>
      <c r="S874" s="390"/>
      <c r="T874" s="390"/>
    </row>
    <row r="875" spans="1:20" s="395" customFormat="1" ht="15.75" outlineLevel="1" x14ac:dyDescent="0.25">
      <c r="A875" s="154"/>
      <c r="B875" s="395" t="s">
        <v>18</v>
      </c>
      <c r="C875" s="395">
        <v>2</v>
      </c>
      <c r="D875" s="395">
        <v>48</v>
      </c>
      <c r="E875" s="395" t="s">
        <v>197</v>
      </c>
      <c r="F875" s="191">
        <v>15</v>
      </c>
      <c r="G875" s="160">
        <v>7554</v>
      </c>
      <c r="H875" s="160">
        <v>14418</v>
      </c>
      <c r="I875" s="258">
        <f>+F875/G875*H875</f>
        <v>28.629864972200156</v>
      </c>
      <c r="J875" s="258">
        <f>+F875+I875</f>
        <v>43.629864972200153</v>
      </c>
      <c r="K875" s="344">
        <v>0.3</v>
      </c>
      <c r="L875" s="394">
        <f t="shared" si="218"/>
        <v>56.718824463860201</v>
      </c>
      <c r="M875" s="160">
        <v>65</v>
      </c>
      <c r="N875" s="494"/>
      <c r="O875" s="362"/>
      <c r="P875" s="160"/>
      <c r="Q875" s="834"/>
      <c r="R875" s="913"/>
      <c r="S875" s="11"/>
      <c r="T875" s="11"/>
    </row>
    <row r="876" spans="1:20" s="395" customFormat="1" ht="15.75" outlineLevel="1" x14ac:dyDescent="0.25">
      <c r="A876" s="154"/>
      <c r="B876" s="395" t="s">
        <v>196</v>
      </c>
      <c r="C876" s="395">
        <v>3</v>
      </c>
      <c r="D876" s="395">
        <v>54</v>
      </c>
      <c r="E876" s="395" t="s">
        <v>270</v>
      </c>
      <c r="F876" s="394">
        <v>15</v>
      </c>
      <c r="G876" s="395">
        <v>3717</v>
      </c>
      <c r="H876" s="395">
        <v>9633</v>
      </c>
      <c r="I876" s="394"/>
      <c r="J876" s="394"/>
      <c r="K876" s="492">
        <v>0.3</v>
      </c>
      <c r="L876" s="394">
        <f t="shared" si="218"/>
        <v>0</v>
      </c>
      <c r="M876" s="395">
        <v>65</v>
      </c>
      <c r="N876" s="494"/>
      <c r="O876" s="362"/>
      <c r="P876" s="160"/>
      <c r="Q876" s="834"/>
      <c r="R876" s="913"/>
      <c r="S876" s="11"/>
      <c r="T876" s="11"/>
    </row>
    <row r="877" spans="1:20" s="395" customFormat="1" ht="15.75" outlineLevel="1" x14ac:dyDescent="0.25">
      <c r="A877" s="154"/>
      <c r="B877" s="395" t="s">
        <v>196</v>
      </c>
      <c r="C877" s="395">
        <v>4</v>
      </c>
      <c r="D877" s="395">
        <v>48</v>
      </c>
      <c r="E877" s="395" t="s">
        <v>270</v>
      </c>
      <c r="F877" s="258">
        <v>15</v>
      </c>
      <c r="G877" s="160">
        <v>3717</v>
      </c>
      <c r="H877" s="160">
        <v>9633</v>
      </c>
      <c r="I877" s="258"/>
      <c r="J877" s="258"/>
      <c r="K877" s="497">
        <v>1.3</v>
      </c>
      <c r="L877" s="394">
        <f t="shared" si="218"/>
        <v>0</v>
      </c>
      <c r="M877" s="160">
        <v>66</v>
      </c>
      <c r="N877" s="494"/>
      <c r="O877" s="362"/>
      <c r="P877" s="160"/>
      <c r="Q877" s="834"/>
      <c r="R877" s="913"/>
      <c r="S877" s="11"/>
      <c r="T877" s="11"/>
    </row>
    <row r="878" spans="1:20" s="395" customFormat="1" ht="15.75" outlineLevel="1" x14ac:dyDescent="0.25">
      <c r="A878" s="154"/>
      <c r="B878" s="393" t="s">
        <v>294</v>
      </c>
      <c r="C878" s="508"/>
      <c r="D878" s="508"/>
      <c r="F878" s="258"/>
      <c r="G878" s="160"/>
      <c r="H878" s="160"/>
      <c r="I878" s="258"/>
      <c r="J878" s="258"/>
      <c r="K878" s="497"/>
      <c r="L878" s="394">
        <f t="shared" si="218"/>
        <v>0</v>
      </c>
      <c r="M878" s="191"/>
      <c r="N878" s="428"/>
      <c r="P878" s="160"/>
      <c r="Q878" s="834"/>
      <c r="R878" s="913"/>
      <c r="S878" s="11"/>
      <c r="T878" s="11"/>
    </row>
    <row r="879" spans="1:20" s="395" customFormat="1" ht="15.75" outlineLevel="1" x14ac:dyDescent="0.25">
      <c r="A879" s="154"/>
      <c r="B879" s="395" t="s">
        <v>290</v>
      </c>
      <c r="C879" s="508">
        <v>5</v>
      </c>
      <c r="D879" s="508">
        <v>40</v>
      </c>
      <c r="E879" s="395" t="s">
        <v>1350</v>
      </c>
      <c r="F879" s="258">
        <v>12</v>
      </c>
      <c r="G879" s="160">
        <v>8277</v>
      </c>
      <c r="H879" s="160">
        <v>15182</v>
      </c>
      <c r="I879" s="258">
        <f>+F879/G879*H879</f>
        <v>22.010873504893077</v>
      </c>
      <c r="J879" s="258">
        <f>+F879+I879</f>
        <v>34.010873504893077</v>
      </c>
      <c r="K879" s="497">
        <v>0.3</v>
      </c>
      <c r="L879" s="394">
        <f t="shared" si="218"/>
        <v>44.214135556361001</v>
      </c>
      <c r="M879" s="258">
        <v>65</v>
      </c>
      <c r="N879" s="504"/>
      <c r="O879" s="362"/>
      <c r="P879" s="160"/>
      <c r="Q879" s="834"/>
      <c r="R879" s="917"/>
      <c r="S879" s="11"/>
      <c r="T879" s="11"/>
    </row>
    <row r="880" spans="1:20" ht="15" customHeight="1" outlineLevel="1" x14ac:dyDescent="0.25">
      <c r="B880" s="395" t="s">
        <v>290</v>
      </c>
      <c r="C880" s="508">
        <v>6</v>
      </c>
      <c r="D880" s="508">
        <v>48</v>
      </c>
      <c r="E880" s="395" t="s">
        <v>1350</v>
      </c>
      <c r="F880" s="258">
        <v>12</v>
      </c>
      <c r="G880" s="160">
        <v>8277</v>
      </c>
      <c r="H880" s="160">
        <v>15182</v>
      </c>
      <c r="I880" s="258">
        <f>+F880/G880*H880</f>
        <v>22.010873504893077</v>
      </c>
      <c r="J880" s="258">
        <f>+F880+I880</f>
        <v>34.010873504893077</v>
      </c>
      <c r="K880" s="497">
        <v>0.3</v>
      </c>
      <c r="L880" s="394">
        <f t="shared" si="218"/>
        <v>44.214135556361001</v>
      </c>
      <c r="M880" s="258">
        <v>65</v>
      </c>
      <c r="N880" s="504"/>
      <c r="O880" s="362"/>
      <c r="P880" s="160"/>
      <c r="Q880" s="834"/>
      <c r="R880" s="917"/>
    </row>
    <row r="881" spans="1:20" s="395" customFormat="1" ht="15.75" outlineLevel="1" x14ac:dyDescent="0.25">
      <c r="A881" s="154"/>
      <c r="B881" s="395" t="s">
        <v>290</v>
      </c>
      <c r="C881" s="508">
        <v>7</v>
      </c>
      <c r="D881" s="508">
        <v>44</v>
      </c>
      <c r="E881" s="395" t="s">
        <v>822</v>
      </c>
      <c r="F881" s="394">
        <v>12</v>
      </c>
      <c r="G881" s="395">
        <v>8277</v>
      </c>
      <c r="H881" s="395">
        <v>15182</v>
      </c>
      <c r="I881" s="394">
        <f>+F881/G881*H881</f>
        <v>22.010873504893077</v>
      </c>
      <c r="J881" s="394">
        <f>+F881+I881</f>
        <v>34.010873504893077</v>
      </c>
      <c r="K881" s="492">
        <v>0.3</v>
      </c>
      <c r="L881" s="394">
        <f t="shared" si="218"/>
        <v>44.214135556361001</v>
      </c>
      <c r="M881" s="394">
        <v>65</v>
      </c>
      <c r="N881" s="504"/>
      <c r="O881" s="362"/>
      <c r="P881" s="160"/>
      <c r="Q881" s="834"/>
      <c r="R881" s="917"/>
      <c r="S881" s="11"/>
      <c r="T881" s="11"/>
    </row>
    <row r="882" spans="1:20" s="395" customFormat="1" ht="15.75" outlineLevel="1" x14ac:dyDescent="0.25">
      <c r="A882" s="154"/>
      <c r="C882" s="508"/>
      <c r="D882" s="508"/>
      <c r="E882" s="393" t="s">
        <v>335</v>
      </c>
      <c r="F882" s="258"/>
      <c r="G882" s="160"/>
      <c r="H882" s="160"/>
      <c r="I882" s="258"/>
      <c r="J882" s="258"/>
      <c r="K882" s="497"/>
      <c r="L882" s="394">
        <f t="shared" si="218"/>
        <v>0</v>
      </c>
      <c r="M882" s="258"/>
      <c r="N882" s="504"/>
      <c r="P882" s="160"/>
      <c r="Q882" s="834"/>
      <c r="R882" s="917"/>
      <c r="S882" s="11"/>
      <c r="T882" s="11"/>
    </row>
    <row r="883" spans="1:20" s="395" customFormat="1" ht="15.75" outlineLevel="1" x14ac:dyDescent="0.25">
      <c r="A883" s="393"/>
      <c r="B883" s="395" t="s">
        <v>563</v>
      </c>
      <c r="C883" s="508">
        <v>8</v>
      </c>
      <c r="D883" s="395">
        <v>50</v>
      </c>
      <c r="E883" s="395" t="s">
        <v>560</v>
      </c>
      <c r="F883" s="394">
        <v>13</v>
      </c>
      <c r="G883" s="179">
        <v>787</v>
      </c>
      <c r="H883" s="394">
        <f>787+388+40+47</f>
        <v>1262</v>
      </c>
      <c r="I883" s="394">
        <f>+F883/G883*H883</f>
        <v>20.846251588310036</v>
      </c>
      <c r="J883" s="394">
        <f>+F883+I883</f>
        <v>33.846251588310039</v>
      </c>
      <c r="K883" s="492">
        <v>0.3</v>
      </c>
      <c r="L883" s="394">
        <f t="shared" si="218"/>
        <v>44.000127064803053</v>
      </c>
      <c r="M883" s="394">
        <v>55</v>
      </c>
      <c r="N883" s="504"/>
      <c r="O883" s="362"/>
      <c r="Q883" s="833"/>
      <c r="R883" s="396"/>
    </row>
    <row r="884" spans="1:20" s="494" customFormat="1" ht="15.75" outlineLevel="1" x14ac:dyDescent="0.25">
      <c r="A884" s="428"/>
      <c r="B884" s="494" t="s">
        <v>563</v>
      </c>
      <c r="C884" s="685"/>
      <c r="D884" s="494">
        <v>52</v>
      </c>
      <c r="E884" s="494" t="s">
        <v>560</v>
      </c>
      <c r="F884" s="504">
        <v>13</v>
      </c>
      <c r="G884" s="585">
        <v>787</v>
      </c>
      <c r="H884" s="504">
        <f>787+388+40+47</f>
        <v>1262</v>
      </c>
      <c r="I884" s="504">
        <f>+F884/G884*H884</f>
        <v>20.846251588310036</v>
      </c>
      <c r="J884" s="504">
        <f>+F884+I884</f>
        <v>33.846251588310039</v>
      </c>
      <c r="K884" s="586">
        <v>0.3</v>
      </c>
      <c r="L884" s="504">
        <f t="shared" si="218"/>
        <v>44.000127064803053</v>
      </c>
      <c r="M884" s="504">
        <v>55</v>
      </c>
      <c r="N884" s="504"/>
      <c r="P884" s="658"/>
      <c r="Q884" s="841"/>
      <c r="R884" s="918"/>
    </row>
    <row r="885" spans="1:20" s="494" customFormat="1" ht="15.75" outlineLevel="1" x14ac:dyDescent="0.25">
      <c r="B885" s="494" t="s">
        <v>727</v>
      </c>
      <c r="C885" s="685"/>
      <c r="D885" s="685">
        <v>62</v>
      </c>
      <c r="E885" s="494" t="s">
        <v>560</v>
      </c>
      <c r="F885" s="504">
        <v>13</v>
      </c>
      <c r="G885" s="585">
        <v>787</v>
      </c>
      <c r="H885" s="504">
        <f>787+388+40+47</f>
        <v>1262</v>
      </c>
      <c r="I885" s="504">
        <f>+F885/G885*H885</f>
        <v>20.846251588310036</v>
      </c>
      <c r="J885" s="504">
        <f>+F885+I885</f>
        <v>33.846251588310039</v>
      </c>
      <c r="K885" s="586">
        <v>0.3</v>
      </c>
      <c r="L885" s="504">
        <f t="shared" si="218"/>
        <v>44.000127064803053</v>
      </c>
      <c r="M885" s="504">
        <v>60</v>
      </c>
      <c r="N885" s="504"/>
      <c r="Q885" s="841"/>
      <c r="R885" s="918"/>
    </row>
    <row r="886" spans="1:20" s="395" customFormat="1" ht="15.75" outlineLevel="1" x14ac:dyDescent="0.25">
      <c r="B886" s="395" t="s">
        <v>727</v>
      </c>
      <c r="C886" s="508">
        <v>9</v>
      </c>
      <c r="D886" s="508">
        <v>64</v>
      </c>
      <c r="E886" s="395" t="s">
        <v>560</v>
      </c>
      <c r="F886" s="394">
        <v>13</v>
      </c>
      <c r="G886" s="179">
        <v>787</v>
      </c>
      <c r="H886" s="394">
        <f>787+388+40+47</f>
        <v>1262</v>
      </c>
      <c r="I886" s="394">
        <f>+F886/G886*H886</f>
        <v>20.846251588310036</v>
      </c>
      <c r="J886" s="394">
        <f>+F886+I886</f>
        <v>33.846251588310039</v>
      </c>
      <c r="K886" s="492">
        <v>0.3</v>
      </c>
      <c r="L886" s="394">
        <f t="shared" si="218"/>
        <v>44.000127064803053</v>
      </c>
      <c r="M886" s="394">
        <v>60</v>
      </c>
      <c r="N886" s="504"/>
      <c r="O886" s="362"/>
      <c r="Q886" s="833"/>
      <c r="R886" s="396"/>
    </row>
    <row r="887" spans="1:20" s="395" customFormat="1" ht="15.75" outlineLevel="1" x14ac:dyDescent="0.25">
      <c r="A887" s="393"/>
      <c r="B887" s="395" t="s">
        <v>727</v>
      </c>
      <c r="C887" s="395">
        <v>10</v>
      </c>
      <c r="D887" s="395">
        <v>66</v>
      </c>
      <c r="E887" s="395" t="s">
        <v>560</v>
      </c>
      <c r="F887" s="394">
        <v>13</v>
      </c>
      <c r="G887" s="179"/>
      <c r="H887" s="394"/>
      <c r="I887" s="394"/>
      <c r="J887" s="394"/>
      <c r="K887" s="492"/>
      <c r="L887" s="394">
        <v>44</v>
      </c>
      <c r="M887" s="394"/>
      <c r="N887" s="504"/>
      <c r="O887" s="362"/>
      <c r="Q887" s="833"/>
      <c r="R887" s="396"/>
    </row>
    <row r="888" spans="1:20" s="395" customFormat="1" ht="15.75" outlineLevel="1" x14ac:dyDescent="0.25">
      <c r="A888" s="393"/>
      <c r="B888" s="395" t="s">
        <v>727</v>
      </c>
      <c r="C888" s="508">
        <v>11</v>
      </c>
      <c r="D888" s="395">
        <v>68</v>
      </c>
      <c r="E888" s="395" t="s">
        <v>560</v>
      </c>
      <c r="F888" s="394">
        <v>13</v>
      </c>
      <c r="G888" s="179"/>
      <c r="H888" s="394"/>
      <c r="I888" s="394"/>
      <c r="J888" s="394"/>
      <c r="K888" s="492"/>
      <c r="L888" s="394">
        <v>44</v>
      </c>
      <c r="M888" s="394"/>
      <c r="N888" s="504"/>
      <c r="O888" s="362"/>
      <c r="Q888" s="833"/>
      <c r="R888" s="396"/>
    </row>
    <row r="889" spans="1:20" s="395" customFormat="1" ht="15.75" outlineLevel="1" x14ac:dyDescent="0.25">
      <c r="A889" s="154"/>
      <c r="C889" s="500"/>
      <c r="D889" s="500"/>
      <c r="E889" s="393" t="s">
        <v>629</v>
      </c>
      <c r="F889" s="191"/>
      <c r="G889" s="160"/>
      <c r="H889" s="160"/>
      <c r="I889" s="258"/>
      <c r="J889" s="258"/>
      <c r="K889" s="344"/>
      <c r="L889" s="394"/>
      <c r="M889" s="191"/>
      <c r="N889" s="428"/>
      <c r="P889" s="160"/>
      <c r="Q889" s="834"/>
      <c r="R889" s="913"/>
      <c r="S889" s="11"/>
      <c r="T889" s="11"/>
    </row>
    <row r="890" spans="1:20" s="395" customFormat="1" ht="15.75" hidden="1" outlineLevel="1" x14ac:dyDescent="0.25">
      <c r="A890" s="395" t="s">
        <v>580</v>
      </c>
      <c r="B890" s="395" t="s">
        <v>581</v>
      </c>
      <c r="C890" s="395">
        <v>12</v>
      </c>
      <c r="D890" s="395">
        <v>42</v>
      </c>
      <c r="E890" s="317" t="s">
        <v>582</v>
      </c>
      <c r="F890" s="493">
        <v>15</v>
      </c>
      <c r="G890" s="509">
        <v>9148</v>
      </c>
      <c r="H890" s="493">
        <v>15477</v>
      </c>
      <c r="I890" s="493">
        <f t="shared" ref="I890:I895" si="219">+F890/G890*H890</f>
        <v>25.377678181023175</v>
      </c>
      <c r="J890" s="493">
        <f t="shared" ref="J890:J895" si="220">+F890+I890</f>
        <v>40.377678181023171</v>
      </c>
      <c r="K890" s="692">
        <v>0.3</v>
      </c>
      <c r="L890" s="493">
        <f t="shared" ref="L890:L895" si="221">+J890*K890+J890</f>
        <v>52.490981635330122</v>
      </c>
      <c r="M890" s="493">
        <v>65</v>
      </c>
      <c r="N890" s="504"/>
      <c r="O890" s="362"/>
      <c r="P890" s="495" t="s">
        <v>12</v>
      </c>
      <c r="Q890" s="833">
        <v>45478</v>
      </c>
      <c r="R890" s="396"/>
    </row>
    <row r="891" spans="1:20" s="494" customFormat="1" ht="15.75" outlineLevel="1" x14ac:dyDescent="0.25">
      <c r="B891" s="494" t="s">
        <v>581</v>
      </c>
      <c r="C891" s="494">
        <v>13</v>
      </c>
      <c r="D891" s="494">
        <v>48</v>
      </c>
      <c r="E891" s="494" t="s">
        <v>582</v>
      </c>
      <c r="F891" s="504">
        <v>15</v>
      </c>
      <c r="G891" s="585">
        <v>9148</v>
      </c>
      <c r="H891" s="504">
        <v>15477</v>
      </c>
      <c r="I891" s="504">
        <f t="shared" si="219"/>
        <v>25.377678181023175</v>
      </c>
      <c r="J891" s="504">
        <f t="shared" si="220"/>
        <v>40.377678181023171</v>
      </c>
      <c r="K891" s="586">
        <v>0.3</v>
      </c>
      <c r="L891" s="504">
        <f t="shared" si="221"/>
        <v>52.490981635330122</v>
      </c>
      <c r="M891" s="504">
        <v>65</v>
      </c>
      <c r="N891" s="504"/>
      <c r="P891" s="658" t="s">
        <v>12</v>
      </c>
      <c r="Q891" s="841" t="s">
        <v>1258</v>
      </c>
      <c r="R891" s="918">
        <f>+M891*950</f>
        <v>61750</v>
      </c>
    </row>
    <row r="892" spans="1:20" s="395" customFormat="1" ht="15.75" hidden="1" outlineLevel="1" x14ac:dyDescent="0.25">
      <c r="A892" s="393"/>
      <c r="B892" s="395" t="s">
        <v>581</v>
      </c>
      <c r="C892" s="395">
        <v>14</v>
      </c>
      <c r="D892" s="395">
        <v>38</v>
      </c>
      <c r="E892" s="317" t="s">
        <v>1750</v>
      </c>
      <c r="F892" s="493">
        <v>15</v>
      </c>
      <c r="G892" s="509">
        <v>9148</v>
      </c>
      <c r="H892" s="493">
        <v>15477</v>
      </c>
      <c r="I892" s="493">
        <f t="shared" si="219"/>
        <v>25.377678181023175</v>
      </c>
      <c r="J892" s="493">
        <f t="shared" si="220"/>
        <v>40.377678181023171</v>
      </c>
      <c r="K892" s="692">
        <v>0.3</v>
      </c>
      <c r="L892" s="493">
        <f t="shared" si="221"/>
        <v>52.490981635330122</v>
      </c>
      <c r="M892" s="493">
        <v>65</v>
      </c>
      <c r="N892" s="504"/>
      <c r="O892" s="362"/>
      <c r="P892" s="395" t="s">
        <v>12</v>
      </c>
      <c r="Q892" s="833">
        <v>45468</v>
      </c>
      <c r="R892" s="396"/>
    </row>
    <row r="893" spans="1:20" s="395" customFormat="1" ht="15.75" outlineLevel="1" x14ac:dyDescent="0.25">
      <c r="A893" s="393"/>
      <c r="B893" s="395" t="s">
        <v>581</v>
      </c>
      <c r="C893" s="395">
        <v>15</v>
      </c>
      <c r="D893" s="395">
        <v>40</v>
      </c>
      <c r="E893" s="395" t="s">
        <v>606</v>
      </c>
      <c r="F893" s="394">
        <v>15</v>
      </c>
      <c r="G893" s="179">
        <v>9148</v>
      </c>
      <c r="H893" s="394">
        <v>15477</v>
      </c>
      <c r="I893" s="394">
        <f t="shared" si="219"/>
        <v>25.377678181023175</v>
      </c>
      <c r="J893" s="394">
        <f t="shared" si="220"/>
        <v>40.377678181023171</v>
      </c>
      <c r="K893" s="492">
        <v>0.3</v>
      </c>
      <c r="L893" s="394">
        <f t="shared" si="221"/>
        <v>52.490981635330122</v>
      </c>
      <c r="M893" s="394">
        <v>65</v>
      </c>
      <c r="N893" s="504"/>
      <c r="O893" s="362"/>
      <c r="P893" s="495"/>
      <c r="Q893" s="833"/>
      <c r="R893" s="396"/>
    </row>
    <row r="894" spans="1:20" s="395" customFormat="1" ht="15.75" outlineLevel="1" x14ac:dyDescent="0.25">
      <c r="A894" s="393"/>
      <c r="B894" s="395" t="s">
        <v>581</v>
      </c>
      <c r="C894" s="395">
        <v>16</v>
      </c>
      <c r="D894" s="395">
        <v>36</v>
      </c>
      <c r="E894" s="395" t="s">
        <v>616</v>
      </c>
      <c r="F894" s="394">
        <v>15</v>
      </c>
      <c r="G894" s="179">
        <v>9148</v>
      </c>
      <c r="H894" s="394">
        <v>15477</v>
      </c>
      <c r="I894" s="394">
        <f t="shared" si="219"/>
        <v>25.377678181023175</v>
      </c>
      <c r="J894" s="394">
        <f t="shared" si="220"/>
        <v>40.377678181023171</v>
      </c>
      <c r="K894" s="492">
        <v>0.3</v>
      </c>
      <c r="L894" s="394">
        <f t="shared" si="221"/>
        <v>52.490981635330122</v>
      </c>
      <c r="M894" s="394">
        <v>65</v>
      </c>
      <c r="N894" s="504"/>
      <c r="O894" s="362"/>
      <c r="Q894" s="833"/>
      <c r="R894" s="396"/>
    </row>
    <row r="895" spans="1:20" s="395" customFormat="1" ht="15.75" hidden="1" outlineLevel="1" x14ac:dyDescent="0.25">
      <c r="A895" s="393"/>
      <c r="B895" s="395" t="s">
        <v>581</v>
      </c>
      <c r="C895" s="395">
        <v>17</v>
      </c>
      <c r="D895" s="395">
        <v>38</v>
      </c>
      <c r="E895" s="317" t="s">
        <v>616</v>
      </c>
      <c r="F895" s="493">
        <v>15</v>
      </c>
      <c r="G895" s="509">
        <v>9148</v>
      </c>
      <c r="H895" s="493">
        <v>15477</v>
      </c>
      <c r="I895" s="493">
        <f t="shared" si="219"/>
        <v>25.377678181023175</v>
      </c>
      <c r="J895" s="493">
        <f t="shared" si="220"/>
        <v>40.377678181023171</v>
      </c>
      <c r="K895" s="692">
        <v>0.3</v>
      </c>
      <c r="L895" s="493">
        <f t="shared" si="221"/>
        <v>52.490981635330122</v>
      </c>
      <c r="M895" s="493">
        <v>65</v>
      </c>
      <c r="N895" s="504"/>
      <c r="O895" s="362"/>
      <c r="P895" s="395" t="s">
        <v>12</v>
      </c>
      <c r="Q895" s="833">
        <v>45468</v>
      </c>
      <c r="R895" s="396"/>
    </row>
    <row r="896" spans="1:20" s="395" customFormat="1" ht="15.75" outlineLevel="1" x14ac:dyDescent="0.25">
      <c r="A896" s="393"/>
      <c r="B896" s="395" t="s">
        <v>581</v>
      </c>
      <c r="C896" s="395">
        <v>18</v>
      </c>
      <c r="D896" s="395">
        <v>36</v>
      </c>
      <c r="E896" s="395" t="s">
        <v>610</v>
      </c>
      <c r="F896" s="394">
        <v>15</v>
      </c>
      <c r="G896" s="179">
        <v>9148</v>
      </c>
      <c r="H896" s="394">
        <v>15477</v>
      </c>
      <c r="I896" s="394">
        <f>+F896/G896*H896</f>
        <v>25.377678181023175</v>
      </c>
      <c r="J896" s="394">
        <f>+F896+I896</f>
        <v>40.377678181023171</v>
      </c>
      <c r="K896" s="492">
        <v>0.3</v>
      </c>
      <c r="L896" s="394">
        <f>+J896*K896+J896</f>
        <v>52.490981635330122</v>
      </c>
      <c r="M896" s="394">
        <v>65</v>
      </c>
      <c r="N896" s="504"/>
      <c r="O896" s="362"/>
      <c r="Q896" s="833"/>
      <c r="R896" s="396"/>
    </row>
    <row r="897" spans="1:20" s="395" customFormat="1" ht="15.75" hidden="1" outlineLevel="1" x14ac:dyDescent="0.25">
      <c r="A897" s="393"/>
      <c r="B897" s="395" t="s">
        <v>581</v>
      </c>
      <c r="C897" s="395">
        <v>19</v>
      </c>
      <c r="D897" s="395">
        <v>38</v>
      </c>
      <c r="E897" s="317" t="s">
        <v>610</v>
      </c>
      <c r="F897" s="493">
        <v>15</v>
      </c>
      <c r="G897" s="509">
        <v>9148</v>
      </c>
      <c r="H897" s="493">
        <v>15477</v>
      </c>
      <c r="I897" s="493">
        <f>+F897/G897*H897</f>
        <v>25.377678181023175</v>
      </c>
      <c r="J897" s="493">
        <f>+F897+I897</f>
        <v>40.377678181023171</v>
      </c>
      <c r="K897" s="692">
        <v>0.3</v>
      </c>
      <c r="L897" s="493">
        <f>+J897*K897+J897</f>
        <v>52.490981635330122</v>
      </c>
      <c r="M897" s="493">
        <v>65</v>
      </c>
      <c r="N897" s="504"/>
      <c r="O897" s="362"/>
      <c r="P897" s="395" t="s">
        <v>12</v>
      </c>
      <c r="Q897" s="833">
        <v>45468</v>
      </c>
      <c r="R897" s="396"/>
    </row>
    <row r="898" spans="1:20" s="395" customFormat="1" ht="15.75" outlineLevel="1" x14ac:dyDescent="0.25">
      <c r="A898" s="393"/>
      <c r="B898" s="395" t="s">
        <v>581</v>
      </c>
      <c r="C898" s="395">
        <v>20</v>
      </c>
      <c r="D898" s="395">
        <v>44</v>
      </c>
      <c r="E898" s="395" t="s">
        <v>611</v>
      </c>
      <c r="F898" s="394">
        <v>15</v>
      </c>
      <c r="G898" s="179">
        <v>9148</v>
      </c>
      <c r="H898" s="394">
        <v>15477</v>
      </c>
      <c r="I898" s="394">
        <f>+F898/G898*H898</f>
        <v>25.377678181023175</v>
      </c>
      <c r="J898" s="394">
        <f>+F898+I898</f>
        <v>40.377678181023171</v>
      </c>
      <c r="K898" s="492">
        <v>0.3</v>
      </c>
      <c r="L898" s="394">
        <f>+J898*K898+J898</f>
        <v>52.490981635330122</v>
      </c>
      <c r="M898" s="394">
        <v>65</v>
      </c>
      <c r="N898" s="504"/>
      <c r="O898" s="362"/>
      <c r="Q898" s="833"/>
      <c r="R898" s="396"/>
    </row>
    <row r="899" spans="1:20" s="395" customFormat="1" ht="15.75" hidden="1" outlineLevel="1" x14ac:dyDescent="0.25">
      <c r="A899" s="393"/>
      <c r="B899" s="395" t="s">
        <v>581</v>
      </c>
      <c r="C899" s="395">
        <v>21</v>
      </c>
      <c r="D899" s="395">
        <v>48</v>
      </c>
      <c r="E899" s="317" t="s">
        <v>999</v>
      </c>
      <c r="F899" s="493"/>
      <c r="G899" s="509"/>
      <c r="H899" s="493"/>
      <c r="I899" s="493"/>
      <c r="J899" s="493"/>
      <c r="K899" s="692"/>
      <c r="L899" s="493"/>
      <c r="M899" s="493">
        <v>65</v>
      </c>
      <c r="N899" s="504"/>
      <c r="O899" s="362"/>
      <c r="P899" s="395" t="s">
        <v>2537</v>
      </c>
      <c r="Q899" s="833">
        <v>45415</v>
      </c>
      <c r="R899" s="396">
        <f>+M899*14.5</f>
        <v>942.5</v>
      </c>
    </row>
    <row r="900" spans="1:20" s="395" customFormat="1" ht="15.75" outlineLevel="1" x14ac:dyDescent="0.25">
      <c r="A900" s="393"/>
      <c r="B900" s="393" t="s">
        <v>800</v>
      </c>
      <c r="F900" s="394"/>
      <c r="G900" s="179"/>
      <c r="H900" s="394"/>
      <c r="I900" s="394"/>
      <c r="J900" s="394"/>
      <c r="K900" s="492"/>
      <c r="L900" s="394"/>
      <c r="M900" s="394"/>
      <c r="N900" s="504"/>
      <c r="Q900" s="833"/>
      <c r="R900" s="396"/>
    </row>
    <row r="901" spans="1:20" s="395" customFormat="1" ht="15.75" outlineLevel="1" x14ac:dyDescent="0.25">
      <c r="A901" s="393" t="s">
        <v>580</v>
      </c>
      <c r="B901" s="395" t="s">
        <v>787</v>
      </c>
      <c r="C901" s="395">
        <v>22</v>
      </c>
      <c r="D901" s="395">
        <v>36</v>
      </c>
      <c r="E901" s="276" t="s">
        <v>768</v>
      </c>
      <c r="F901" s="394">
        <v>15</v>
      </c>
      <c r="G901" s="179">
        <v>8183</v>
      </c>
      <c r="H901" s="394">
        <v>13183</v>
      </c>
      <c r="I901" s="394">
        <f t="shared" ref="I901:I913" si="222">+F901/G901*H901</f>
        <v>24.165342783820115</v>
      </c>
      <c r="J901" s="394">
        <f t="shared" ref="J901:J913" si="223">+F901+I901</f>
        <v>39.165342783820115</v>
      </c>
      <c r="K901" s="492">
        <v>0.3</v>
      </c>
      <c r="L901" s="394">
        <f t="shared" ref="L901:L913" si="224">+J901*K901+J901</f>
        <v>50.914945618966151</v>
      </c>
      <c r="M901" s="394">
        <v>65</v>
      </c>
      <c r="N901" s="504"/>
      <c r="O901" s="362"/>
      <c r="Q901" s="833"/>
      <c r="R901" s="396"/>
    </row>
    <row r="902" spans="1:20" s="395" customFormat="1" ht="15.75" outlineLevel="1" x14ac:dyDescent="0.25">
      <c r="A902" s="393" t="s">
        <v>580</v>
      </c>
      <c r="B902" s="395" t="s">
        <v>787</v>
      </c>
      <c r="C902" s="395">
        <v>23</v>
      </c>
      <c r="D902" s="395">
        <v>38</v>
      </c>
      <c r="E902" s="693" t="s">
        <v>768</v>
      </c>
      <c r="F902" s="493">
        <v>15</v>
      </c>
      <c r="G902" s="509">
        <v>8183</v>
      </c>
      <c r="H902" s="493">
        <v>13183</v>
      </c>
      <c r="I902" s="493">
        <f t="shared" si="222"/>
        <v>24.165342783820115</v>
      </c>
      <c r="J902" s="493">
        <f t="shared" si="223"/>
        <v>39.165342783820115</v>
      </c>
      <c r="K902" s="692">
        <v>0.3</v>
      </c>
      <c r="L902" s="493">
        <f t="shared" si="224"/>
        <v>50.914945618966151</v>
      </c>
      <c r="M902" s="493">
        <v>65</v>
      </c>
      <c r="N902" s="504"/>
      <c r="O902" s="362"/>
      <c r="P902" s="395" t="s">
        <v>12</v>
      </c>
      <c r="Q902" s="833">
        <v>45486</v>
      </c>
      <c r="R902" s="396"/>
    </row>
    <row r="903" spans="1:20" s="395" customFormat="1" ht="15.75" outlineLevel="1" x14ac:dyDescent="0.25">
      <c r="A903" s="393" t="s">
        <v>580</v>
      </c>
      <c r="B903" s="395" t="s">
        <v>787</v>
      </c>
      <c r="C903" s="395">
        <v>24</v>
      </c>
      <c r="D903" s="395">
        <v>40</v>
      </c>
      <c r="E903" s="276" t="s">
        <v>768</v>
      </c>
      <c r="F903" s="394">
        <v>15</v>
      </c>
      <c r="G903" s="179">
        <v>8183</v>
      </c>
      <c r="H903" s="394">
        <v>13183</v>
      </c>
      <c r="I903" s="394">
        <f t="shared" si="222"/>
        <v>24.165342783820115</v>
      </c>
      <c r="J903" s="394">
        <f t="shared" si="223"/>
        <v>39.165342783820115</v>
      </c>
      <c r="K903" s="492">
        <v>0.3</v>
      </c>
      <c r="L903" s="394">
        <f t="shared" si="224"/>
        <v>50.914945618966151</v>
      </c>
      <c r="M903" s="394">
        <v>65</v>
      </c>
      <c r="N903" s="504"/>
      <c r="O903" s="362"/>
      <c r="Q903" s="833"/>
      <c r="R903" s="396"/>
    </row>
    <row r="904" spans="1:20" s="169" customFormat="1" ht="15.75" x14ac:dyDescent="0.25">
      <c r="A904" s="393" t="s">
        <v>580</v>
      </c>
      <c r="B904" s="395" t="s">
        <v>787</v>
      </c>
      <c r="C904" s="395">
        <v>25</v>
      </c>
      <c r="D904" s="395">
        <v>36</v>
      </c>
      <c r="E904" s="276" t="s">
        <v>821</v>
      </c>
      <c r="F904" s="394">
        <v>15</v>
      </c>
      <c r="G904" s="179">
        <v>8183</v>
      </c>
      <c r="H904" s="394">
        <v>13183</v>
      </c>
      <c r="I904" s="394">
        <f t="shared" si="222"/>
        <v>24.165342783820115</v>
      </c>
      <c r="J904" s="394">
        <f t="shared" si="223"/>
        <v>39.165342783820115</v>
      </c>
      <c r="K904" s="492">
        <v>0.3</v>
      </c>
      <c r="L904" s="394">
        <f t="shared" si="224"/>
        <v>50.914945618966151</v>
      </c>
      <c r="M904" s="394">
        <v>65</v>
      </c>
      <c r="N904" s="504"/>
      <c r="O904" s="362"/>
      <c r="P904" s="395"/>
      <c r="Q904" s="833"/>
      <c r="R904" s="396"/>
      <c r="S904" s="395"/>
      <c r="T904" s="395"/>
    </row>
    <row r="905" spans="1:20" s="169" customFormat="1" ht="15.75" x14ac:dyDescent="0.25">
      <c r="A905" s="393" t="s">
        <v>580</v>
      </c>
      <c r="B905" s="395" t="s">
        <v>787</v>
      </c>
      <c r="C905" s="395">
        <v>26</v>
      </c>
      <c r="D905" s="395">
        <v>40</v>
      </c>
      <c r="E905" s="276" t="s">
        <v>821</v>
      </c>
      <c r="F905" s="394">
        <v>15</v>
      </c>
      <c r="G905" s="179">
        <v>8183</v>
      </c>
      <c r="H905" s="394">
        <v>13183</v>
      </c>
      <c r="I905" s="394">
        <f t="shared" si="222"/>
        <v>24.165342783820115</v>
      </c>
      <c r="J905" s="394">
        <f t="shared" si="223"/>
        <v>39.165342783820115</v>
      </c>
      <c r="K905" s="492">
        <v>0.3</v>
      </c>
      <c r="L905" s="394">
        <f t="shared" si="224"/>
        <v>50.914945618966151</v>
      </c>
      <c r="M905" s="394">
        <v>65</v>
      </c>
      <c r="N905" s="504"/>
      <c r="O905" s="362"/>
      <c r="P905" s="395"/>
      <c r="Q905" s="833"/>
      <c r="R905" s="396"/>
      <c r="S905" s="395"/>
      <c r="T905" s="395"/>
    </row>
    <row r="906" spans="1:20" s="169" customFormat="1" ht="15.75" x14ac:dyDescent="0.25">
      <c r="A906" s="393" t="s">
        <v>580</v>
      </c>
      <c r="B906" s="395" t="s">
        <v>787</v>
      </c>
      <c r="C906" s="395">
        <v>27</v>
      </c>
      <c r="D906" s="395">
        <v>42</v>
      </c>
      <c r="E906" s="276" t="s">
        <v>821</v>
      </c>
      <c r="F906" s="394">
        <v>15</v>
      </c>
      <c r="G906" s="179">
        <v>8183</v>
      </c>
      <c r="H906" s="394">
        <v>13183</v>
      </c>
      <c r="I906" s="394">
        <f t="shared" si="222"/>
        <v>24.165342783820115</v>
      </c>
      <c r="J906" s="394">
        <f t="shared" si="223"/>
        <v>39.165342783820115</v>
      </c>
      <c r="K906" s="492">
        <v>0.3</v>
      </c>
      <c r="L906" s="394">
        <f t="shared" si="224"/>
        <v>50.914945618966151</v>
      </c>
      <c r="M906" s="394">
        <v>65</v>
      </c>
      <c r="N906" s="504"/>
      <c r="O906" s="362"/>
      <c r="P906" s="395"/>
      <c r="Q906" s="833"/>
      <c r="R906" s="396"/>
      <c r="S906" s="395"/>
      <c r="T906" s="395"/>
    </row>
    <row r="907" spans="1:20" s="169" customFormat="1" ht="15.75" x14ac:dyDescent="0.25">
      <c r="A907" s="393" t="s">
        <v>580</v>
      </c>
      <c r="B907" s="395" t="s">
        <v>275</v>
      </c>
      <c r="C907" s="395">
        <v>28</v>
      </c>
      <c r="D907" s="395">
        <v>46</v>
      </c>
      <c r="E907" s="276" t="s">
        <v>1748</v>
      </c>
      <c r="F907" s="394">
        <v>16</v>
      </c>
      <c r="G907" s="179">
        <v>8183</v>
      </c>
      <c r="H907" s="394">
        <v>13183</v>
      </c>
      <c r="I907" s="394">
        <f t="shared" si="222"/>
        <v>25.776365636074789</v>
      </c>
      <c r="J907" s="394">
        <f t="shared" si="223"/>
        <v>41.776365636074786</v>
      </c>
      <c r="K907" s="492">
        <v>0.3</v>
      </c>
      <c r="L907" s="394">
        <f t="shared" si="224"/>
        <v>54.309275326897222</v>
      </c>
      <c r="M907" s="394">
        <v>65</v>
      </c>
      <c r="N907" s="504"/>
      <c r="O907" s="362"/>
      <c r="P907" s="395"/>
      <c r="Q907" s="833"/>
      <c r="R907" s="396"/>
      <c r="S907" s="395"/>
      <c r="T907" s="395"/>
    </row>
    <row r="908" spans="1:20" s="169" customFormat="1" ht="15.75" hidden="1" x14ac:dyDescent="0.25">
      <c r="A908" s="393" t="s">
        <v>580</v>
      </c>
      <c r="B908" s="395" t="s">
        <v>275</v>
      </c>
      <c r="C908" s="395">
        <v>29</v>
      </c>
      <c r="D908" s="395">
        <v>50</v>
      </c>
      <c r="E908" s="693" t="s">
        <v>1748</v>
      </c>
      <c r="F908" s="493">
        <v>16</v>
      </c>
      <c r="G908" s="509">
        <v>8183</v>
      </c>
      <c r="H908" s="493">
        <v>13183</v>
      </c>
      <c r="I908" s="493">
        <f t="shared" si="222"/>
        <v>25.776365636074789</v>
      </c>
      <c r="J908" s="493">
        <f t="shared" si="223"/>
        <v>41.776365636074786</v>
      </c>
      <c r="K908" s="692">
        <v>0.3</v>
      </c>
      <c r="L908" s="493">
        <f t="shared" si="224"/>
        <v>54.309275326897222</v>
      </c>
      <c r="M908" s="493">
        <v>65</v>
      </c>
      <c r="N908" s="504"/>
      <c r="O908" s="362"/>
      <c r="P908" s="395" t="s">
        <v>12</v>
      </c>
      <c r="Q908" s="833">
        <v>45414</v>
      </c>
      <c r="R908" s="396"/>
      <c r="S908" s="395"/>
      <c r="T908" s="395"/>
    </row>
    <row r="909" spans="1:20" s="169" customFormat="1" ht="15.75" x14ac:dyDescent="0.25">
      <c r="A909" s="393"/>
      <c r="B909" s="395"/>
      <c r="C909" s="395"/>
      <c r="D909" s="395"/>
      <c r="E909" s="429" t="s">
        <v>1067</v>
      </c>
      <c r="F909" s="394"/>
      <c r="G909" s="179"/>
      <c r="H909" s="394"/>
      <c r="I909" s="394"/>
      <c r="J909" s="394"/>
      <c r="K909" s="492"/>
      <c r="L909" s="394"/>
      <c r="M909" s="394"/>
      <c r="N909" s="504"/>
      <c r="O909" s="395"/>
      <c r="P909" s="395"/>
      <c r="Q909" s="833"/>
      <c r="R909" s="396"/>
      <c r="S909" s="395"/>
      <c r="T909" s="395"/>
    </row>
    <row r="910" spans="1:20" s="169" customFormat="1" ht="15.75" x14ac:dyDescent="0.25">
      <c r="A910" s="169" t="s">
        <v>580</v>
      </c>
      <c r="B910" s="169" t="s">
        <v>1017</v>
      </c>
      <c r="C910" s="169">
        <v>30</v>
      </c>
      <c r="D910" s="169">
        <v>42</v>
      </c>
      <c r="E910" s="169" t="s">
        <v>1018</v>
      </c>
      <c r="F910" s="180">
        <v>15</v>
      </c>
      <c r="G910" s="499">
        <v>4607</v>
      </c>
      <c r="H910" s="180">
        <f t="shared" ref="H910:H913" si="225">7503-G910</f>
        <v>2896</v>
      </c>
      <c r="I910" s="180">
        <f t="shared" si="222"/>
        <v>9.4291295854135004</v>
      </c>
      <c r="J910" s="180">
        <f t="shared" si="223"/>
        <v>24.429129585413499</v>
      </c>
      <c r="K910" s="345">
        <v>0.3</v>
      </c>
      <c r="L910" s="180">
        <f t="shared" si="224"/>
        <v>31.757868461037546</v>
      </c>
      <c r="M910" s="170">
        <v>55</v>
      </c>
      <c r="N910" s="532"/>
      <c r="O910" s="361"/>
      <c r="Q910" s="838"/>
      <c r="R910" s="580"/>
    </row>
    <row r="911" spans="1:20" s="337" customFormat="1" ht="15.75" x14ac:dyDescent="0.25">
      <c r="A911" s="169" t="s">
        <v>580</v>
      </c>
      <c r="B911" s="169" t="s">
        <v>1017</v>
      </c>
      <c r="C911" s="169">
        <v>31</v>
      </c>
      <c r="D911" s="169">
        <v>42</v>
      </c>
      <c r="E911" s="169" t="s">
        <v>1019</v>
      </c>
      <c r="F911" s="180">
        <v>15</v>
      </c>
      <c r="G911" s="499">
        <v>4607</v>
      </c>
      <c r="H911" s="180">
        <f t="shared" si="225"/>
        <v>2896</v>
      </c>
      <c r="I911" s="180">
        <f t="shared" si="222"/>
        <v>9.4291295854135004</v>
      </c>
      <c r="J911" s="180">
        <f t="shared" si="223"/>
        <v>24.429129585413499</v>
      </c>
      <c r="K911" s="345">
        <v>0.3</v>
      </c>
      <c r="L911" s="180">
        <f t="shared" si="224"/>
        <v>31.757868461037546</v>
      </c>
      <c r="M911" s="170">
        <v>55</v>
      </c>
      <c r="N911" s="532"/>
      <c r="O911" s="361"/>
      <c r="P911" s="169"/>
      <c r="Q911" s="838"/>
      <c r="R911" s="580"/>
      <c r="S911" s="169"/>
      <c r="T911" s="169"/>
    </row>
    <row r="912" spans="1:20" s="337" customFormat="1" ht="15.75" x14ac:dyDescent="0.25">
      <c r="A912" s="169"/>
      <c r="B912" s="169" t="s">
        <v>1031</v>
      </c>
      <c r="C912" s="169">
        <v>32</v>
      </c>
      <c r="D912" s="169">
        <v>54</v>
      </c>
      <c r="E912" s="169" t="s">
        <v>1032</v>
      </c>
      <c r="F912" s="180">
        <v>17</v>
      </c>
      <c r="G912" s="499">
        <v>4607</v>
      </c>
      <c r="H912" s="180">
        <f t="shared" si="225"/>
        <v>2896</v>
      </c>
      <c r="I912" s="180">
        <f t="shared" si="222"/>
        <v>10.686346863468634</v>
      </c>
      <c r="J912" s="180">
        <f t="shared" si="223"/>
        <v>27.686346863468636</v>
      </c>
      <c r="K912" s="345">
        <v>0.3</v>
      </c>
      <c r="L912" s="180">
        <f t="shared" si="224"/>
        <v>35.992250922509228</v>
      </c>
      <c r="M912" s="170">
        <v>55</v>
      </c>
      <c r="N912" s="532"/>
      <c r="O912" s="361"/>
      <c r="P912" s="169"/>
      <c r="Q912" s="838"/>
      <c r="R912" s="580"/>
      <c r="S912" s="169"/>
      <c r="T912" s="169"/>
    </row>
    <row r="913" spans="1:20" s="337" customFormat="1" ht="15.75" x14ac:dyDescent="0.25">
      <c r="A913" s="169"/>
      <c r="B913" s="169" t="s">
        <v>1031</v>
      </c>
      <c r="C913" s="169">
        <v>33</v>
      </c>
      <c r="D913" s="169">
        <v>56</v>
      </c>
      <c r="E913" s="699" t="s">
        <v>1032</v>
      </c>
      <c r="F913" s="700">
        <v>17</v>
      </c>
      <c r="G913" s="701">
        <v>4607</v>
      </c>
      <c r="H913" s="700">
        <f t="shared" si="225"/>
        <v>2896</v>
      </c>
      <c r="I913" s="700">
        <f t="shared" si="222"/>
        <v>10.686346863468634</v>
      </c>
      <c r="J913" s="700">
        <f t="shared" si="223"/>
        <v>27.686346863468636</v>
      </c>
      <c r="K913" s="702">
        <v>0.3</v>
      </c>
      <c r="L913" s="700">
        <f t="shared" si="224"/>
        <v>35.992250922509228</v>
      </c>
      <c r="M913" s="703">
        <v>55</v>
      </c>
      <c r="N913" s="532"/>
      <c r="O913" s="361"/>
      <c r="P913" s="169" t="s">
        <v>2412</v>
      </c>
      <c r="Q913" s="838">
        <v>45496</v>
      </c>
      <c r="R913" s="580"/>
      <c r="S913" s="169"/>
      <c r="T913" s="169"/>
    </row>
    <row r="914" spans="1:20" s="337" customFormat="1" ht="15.75" x14ac:dyDescent="0.25">
      <c r="A914" s="158"/>
      <c r="B914" s="575" t="s">
        <v>1170</v>
      </c>
      <c r="C914" s="549"/>
      <c r="D914" s="549"/>
      <c r="E914" s="549" t="s">
        <v>1237</v>
      </c>
      <c r="F914" s="341"/>
      <c r="G914" s="587"/>
      <c r="H914" s="341"/>
      <c r="I914" s="341"/>
      <c r="J914" s="341"/>
      <c r="K914" s="588"/>
      <c r="L914" s="341"/>
      <c r="M914" s="341"/>
      <c r="N914" s="675"/>
      <c r="O914" s="158"/>
      <c r="P914" s="158"/>
      <c r="Q914" s="849"/>
      <c r="R914" s="925"/>
      <c r="S914" s="549"/>
      <c r="T914" s="549"/>
    </row>
    <row r="915" spans="1:20" s="632" customFormat="1" ht="15.75" hidden="1" x14ac:dyDescent="0.25">
      <c r="A915" s="365" t="s">
        <v>1185</v>
      </c>
      <c r="B915" s="365" t="s">
        <v>1185</v>
      </c>
      <c r="D915" s="632">
        <v>56</v>
      </c>
      <c r="E915" s="704" t="s">
        <v>1172</v>
      </c>
      <c r="F915" s="695">
        <v>12</v>
      </c>
      <c r="G915" s="705">
        <v>8267</v>
      </c>
      <c r="H915" s="695">
        <v>7400</v>
      </c>
      <c r="I915" s="695">
        <f t="shared" ref="I915:I949" si="226">+F915/G915*H915</f>
        <v>10.741502358775856</v>
      </c>
      <c r="J915" s="695">
        <f t="shared" ref="J915:J949" si="227">+F915+I915</f>
        <v>22.741502358775854</v>
      </c>
      <c r="K915" s="706">
        <v>0.3</v>
      </c>
      <c r="L915" s="695">
        <f t="shared" ref="L915:L949" si="228">+J915*1.3</f>
        <v>29.563953066408612</v>
      </c>
      <c r="M915" s="707">
        <v>45</v>
      </c>
      <c r="N915" s="675"/>
      <c r="O915" s="365"/>
      <c r="P915" s="365" t="s">
        <v>12</v>
      </c>
      <c r="Q915" s="842">
        <v>45468</v>
      </c>
      <c r="R915" s="919"/>
    </row>
    <row r="916" spans="1:20" s="337" customFormat="1" ht="15.75" x14ac:dyDescent="0.25">
      <c r="A916" s="169" t="s">
        <v>1185</v>
      </c>
      <c r="B916" s="169" t="s">
        <v>1185</v>
      </c>
      <c r="C916" s="337">
        <v>34</v>
      </c>
      <c r="D916" s="337">
        <v>50</v>
      </c>
      <c r="E916" s="337" t="s">
        <v>1171</v>
      </c>
      <c r="F916" s="338">
        <v>12</v>
      </c>
      <c r="G916" s="339">
        <v>8267</v>
      </c>
      <c r="H916" s="338">
        <v>7400</v>
      </c>
      <c r="I916" s="338">
        <f t="shared" si="226"/>
        <v>10.741502358775856</v>
      </c>
      <c r="J916" s="338">
        <f t="shared" si="227"/>
        <v>22.741502358775854</v>
      </c>
      <c r="K916" s="340">
        <v>0.3</v>
      </c>
      <c r="L916" s="338">
        <f t="shared" si="228"/>
        <v>29.563953066408612</v>
      </c>
      <c r="M916" s="341">
        <v>45</v>
      </c>
      <c r="N916" s="675"/>
      <c r="O916" s="361"/>
      <c r="P916" s="169"/>
      <c r="Q916" s="835"/>
      <c r="R916" s="580"/>
    </row>
    <row r="917" spans="1:20" s="337" customFormat="1" ht="15.75" hidden="1" x14ac:dyDescent="0.25">
      <c r="A917" s="169" t="s">
        <v>1186</v>
      </c>
      <c r="B917" s="331" t="s">
        <v>787</v>
      </c>
      <c r="C917" s="337">
        <v>35</v>
      </c>
      <c r="D917" s="337">
        <v>42</v>
      </c>
      <c r="E917" s="704" t="s">
        <v>1749</v>
      </c>
      <c r="F917" s="695">
        <v>15</v>
      </c>
      <c r="G917" s="705">
        <v>8267</v>
      </c>
      <c r="H917" s="695">
        <v>7400</v>
      </c>
      <c r="I917" s="695">
        <f t="shared" si="226"/>
        <v>13.426877948469819</v>
      </c>
      <c r="J917" s="695">
        <f t="shared" si="227"/>
        <v>28.426877948469819</v>
      </c>
      <c r="K917" s="706">
        <v>0.3</v>
      </c>
      <c r="L917" s="695">
        <f t="shared" si="228"/>
        <v>36.954941333010765</v>
      </c>
      <c r="M917" s="707">
        <v>65</v>
      </c>
      <c r="N917" s="675"/>
      <c r="O917" s="361"/>
      <c r="P917" s="169" t="s">
        <v>2957</v>
      </c>
      <c r="Q917" s="835">
        <v>45448</v>
      </c>
      <c r="R917" s="580"/>
    </row>
    <row r="918" spans="1:20" s="337" customFormat="1" ht="15.75" hidden="1" x14ac:dyDescent="0.25">
      <c r="A918" s="169" t="s">
        <v>1186</v>
      </c>
      <c r="B918" s="331" t="s">
        <v>787</v>
      </c>
      <c r="C918" s="337">
        <v>36</v>
      </c>
      <c r="D918" s="337">
        <v>44</v>
      </c>
      <c r="E918" s="704" t="s">
        <v>1749</v>
      </c>
      <c r="F918" s="695">
        <v>15</v>
      </c>
      <c r="G918" s="705">
        <v>8267</v>
      </c>
      <c r="H918" s="695">
        <v>7400</v>
      </c>
      <c r="I918" s="695">
        <f t="shared" si="226"/>
        <v>13.426877948469819</v>
      </c>
      <c r="J918" s="695">
        <f t="shared" si="227"/>
        <v>28.426877948469819</v>
      </c>
      <c r="K918" s="706">
        <v>0.3</v>
      </c>
      <c r="L918" s="695">
        <f t="shared" si="228"/>
        <v>36.954941333010765</v>
      </c>
      <c r="M918" s="707">
        <v>65</v>
      </c>
      <c r="N918" s="675"/>
      <c r="O918" s="361"/>
      <c r="P918" s="169" t="s">
        <v>2916</v>
      </c>
      <c r="Q918" s="835">
        <v>45448</v>
      </c>
      <c r="R918" s="580"/>
    </row>
    <row r="919" spans="1:20" s="337" customFormat="1" ht="15.75" hidden="1" x14ac:dyDescent="0.25">
      <c r="A919" s="169" t="s">
        <v>1186</v>
      </c>
      <c r="B919" s="331" t="s">
        <v>787</v>
      </c>
      <c r="C919" s="337">
        <v>37</v>
      </c>
      <c r="D919" s="337">
        <v>48</v>
      </c>
      <c r="E919" s="704" t="s">
        <v>1749</v>
      </c>
      <c r="F919" s="695">
        <v>15</v>
      </c>
      <c r="G919" s="705">
        <v>8267</v>
      </c>
      <c r="H919" s="695">
        <v>7400</v>
      </c>
      <c r="I919" s="695">
        <f t="shared" si="226"/>
        <v>13.426877948469819</v>
      </c>
      <c r="J919" s="695">
        <f t="shared" si="227"/>
        <v>28.426877948469819</v>
      </c>
      <c r="K919" s="706">
        <v>0.3</v>
      </c>
      <c r="L919" s="695">
        <f t="shared" si="228"/>
        <v>36.954941333010765</v>
      </c>
      <c r="M919" s="707">
        <v>65</v>
      </c>
      <c r="N919" s="675"/>
      <c r="O919" s="361"/>
      <c r="P919" s="462" t="s">
        <v>2050</v>
      </c>
      <c r="Q919" s="835">
        <v>45347</v>
      </c>
      <c r="R919" s="580">
        <f>+M919*10000</f>
        <v>650000</v>
      </c>
    </row>
    <row r="920" spans="1:20" s="178" customFormat="1" ht="15.75" x14ac:dyDescent="0.25">
      <c r="A920" s="169" t="s">
        <v>1186</v>
      </c>
      <c r="B920" s="331" t="s">
        <v>1199</v>
      </c>
      <c r="C920" s="337">
        <v>38</v>
      </c>
      <c r="D920" s="337">
        <v>42</v>
      </c>
      <c r="E920" s="337" t="s">
        <v>1187</v>
      </c>
      <c r="F920" s="338">
        <v>15</v>
      </c>
      <c r="G920" s="339">
        <v>8267</v>
      </c>
      <c r="H920" s="338">
        <v>7400</v>
      </c>
      <c r="I920" s="338">
        <f t="shared" si="226"/>
        <v>13.426877948469819</v>
      </c>
      <c r="J920" s="338">
        <f t="shared" si="227"/>
        <v>28.426877948469819</v>
      </c>
      <c r="K920" s="340">
        <v>0.3</v>
      </c>
      <c r="L920" s="338">
        <f t="shared" si="228"/>
        <v>36.954941333010765</v>
      </c>
      <c r="M920" s="341">
        <v>65</v>
      </c>
      <c r="N920" s="675"/>
      <c r="O920" s="361"/>
      <c r="P920" s="169"/>
      <c r="Q920" s="835"/>
      <c r="R920" s="580"/>
      <c r="S920" s="337"/>
      <c r="T920" s="337"/>
    </row>
    <row r="921" spans="1:20" s="178" customFormat="1" ht="15.75" x14ac:dyDescent="0.25">
      <c r="A921" s="169" t="s">
        <v>1186</v>
      </c>
      <c r="B921" s="331" t="s">
        <v>1199</v>
      </c>
      <c r="C921" s="337">
        <v>39</v>
      </c>
      <c r="D921" s="337">
        <v>44</v>
      </c>
      <c r="E921" s="337" t="s">
        <v>1187</v>
      </c>
      <c r="F921" s="338">
        <v>15</v>
      </c>
      <c r="G921" s="339">
        <v>8267</v>
      </c>
      <c r="H921" s="338">
        <v>7400</v>
      </c>
      <c r="I921" s="338">
        <f t="shared" si="226"/>
        <v>13.426877948469819</v>
      </c>
      <c r="J921" s="338">
        <f t="shared" si="227"/>
        <v>28.426877948469819</v>
      </c>
      <c r="K921" s="340">
        <v>0.3</v>
      </c>
      <c r="L921" s="338">
        <f t="shared" si="228"/>
        <v>36.954941333010765</v>
      </c>
      <c r="M921" s="341">
        <v>65</v>
      </c>
      <c r="N921" s="675"/>
      <c r="O921" s="361"/>
      <c r="P921" s="169"/>
      <c r="Q921" s="835"/>
      <c r="R921" s="580"/>
      <c r="S921" s="337"/>
      <c r="T921" s="337"/>
    </row>
    <row r="922" spans="1:20" s="178" customFormat="1" ht="15.75" hidden="1" x14ac:dyDescent="0.25">
      <c r="A922" s="169" t="s">
        <v>1186</v>
      </c>
      <c r="B922" s="331" t="s">
        <v>1199</v>
      </c>
      <c r="C922" s="337">
        <v>40</v>
      </c>
      <c r="D922" s="337">
        <v>46</v>
      </c>
      <c r="E922" s="704" t="s">
        <v>1187</v>
      </c>
      <c r="F922" s="695">
        <v>15</v>
      </c>
      <c r="G922" s="705">
        <v>8267</v>
      </c>
      <c r="H922" s="695">
        <v>7400</v>
      </c>
      <c r="I922" s="695">
        <f t="shared" si="226"/>
        <v>13.426877948469819</v>
      </c>
      <c r="J922" s="695">
        <f t="shared" si="227"/>
        <v>28.426877948469819</v>
      </c>
      <c r="K922" s="706">
        <v>0.3</v>
      </c>
      <c r="L922" s="695">
        <f t="shared" si="228"/>
        <v>36.954941333010765</v>
      </c>
      <c r="M922" s="707">
        <v>65</v>
      </c>
      <c r="N922" s="675"/>
      <c r="O922" s="361"/>
      <c r="P922" s="169" t="s">
        <v>644</v>
      </c>
      <c r="Q922" s="835">
        <v>45300</v>
      </c>
      <c r="R922" s="580">
        <f>+M922*10000</f>
        <v>650000</v>
      </c>
      <c r="S922" s="337"/>
      <c r="T922" s="337"/>
    </row>
    <row r="923" spans="1:20" s="178" customFormat="1" ht="15.75" x14ac:dyDescent="0.25">
      <c r="A923" s="169" t="s">
        <v>1186</v>
      </c>
      <c r="B923" s="331" t="s">
        <v>787</v>
      </c>
      <c r="C923" s="337">
        <v>41</v>
      </c>
      <c r="D923" s="337">
        <v>42</v>
      </c>
      <c r="E923" s="337" t="s">
        <v>1188</v>
      </c>
      <c r="F923" s="338">
        <v>15</v>
      </c>
      <c r="G923" s="339">
        <v>8267</v>
      </c>
      <c r="H923" s="338">
        <v>7400</v>
      </c>
      <c r="I923" s="338">
        <f t="shared" ref="I923" si="229">+F923/G923*H923</f>
        <v>13.426877948469819</v>
      </c>
      <c r="J923" s="338">
        <f t="shared" ref="J923" si="230">+F923+I923</f>
        <v>28.426877948469819</v>
      </c>
      <c r="K923" s="340">
        <v>0.3</v>
      </c>
      <c r="L923" s="338">
        <f t="shared" ref="L923" si="231">+J923*1.3</f>
        <v>36.954941333010765</v>
      </c>
      <c r="M923" s="341">
        <v>65</v>
      </c>
      <c r="N923" s="675"/>
      <c r="O923" s="361"/>
      <c r="P923" s="169"/>
      <c r="Q923" s="835"/>
      <c r="R923" s="580"/>
      <c r="S923" s="337"/>
      <c r="T923" s="337"/>
    </row>
    <row r="924" spans="1:20" s="178" customFormat="1" ht="15.75" x14ac:dyDescent="0.25">
      <c r="A924" s="169" t="s">
        <v>1186</v>
      </c>
      <c r="B924" s="331" t="s">
        <v>787</v>
      </c>
      <c r="C924" s="337">
        <v>42</v>
      </c>
      <c r="D924" s="337">
        <v>44</v>
      </c>
      <c r="E924" s="337" t="s">
        <v>1188</v>
      </c>
      <c r="F924" s="338">
        <v>15</v>
      </c>
      <c r="G924" s="339">
        <v>8267</v>
      </c>
      <c r="H924" s="338">
        <v>7400</v>
      </c>
      <c r="I924" s="338">
        <f t="shared" si="226"/>
        <v>13.426877948469819</v>
      </c>
      <c r="J924" s="338">
        <f t="shared" si="227"/>
        <v>28.426877948469819</v>
      </c>
      <c r="K924" s="340">
        <v>0.3</v>
      </c>
      <c r="L924" s="338">
        <f t="shared" si="228"/>
        <v>36.954941333010765</v>
      </c>
      <c r="M924" s="341">
        <v>65</v>
      </c>
      <c r="N924" s="675"/>
      <c r="O924" s="361"/>
      <c r="P924" s="169"/>
      <c r="Q924" s="835"/>
      <c r="R924" s="580"/>
      <c r="S924" s="337"/>
      <c r="T924" s="337"/>
    </row>
    <row r="925" spans="1:20" s="178" customFormat="1" ht="15.75" x14ac:dyDescent="0.25">
      <c r="A925" s="169" t="s">
        <v>1186</v>
      </c>
      <c r="B925" s="331" t="s">
        <v>787</v>
      </c>
      <c r="C925" s="337">
        <v>43</v>
      </c>
      <c r="D925" s="337">
        <v>46</v>
      </c>
      <c r="E925" s="337" t="s">
        <v>1188</v>
      </c>
      <c r="F925" s="338">
        <v>15</v>
      </c>
      <c r="G925" s="339">
        <v>8267</v>
      </c>
      <c r="H925" s="338">
        <v>7400</v>
      </c>
      <c r="I925" s="338">
        <f t="shared" si="226"/>
        <v>13.426877948469819</v>
      </c>
      <c r="J925" s="338">
        <f t="shared" si="227"/>
        <v>28.426877948469819</v>
      </c>
      <c r="K925" s="340">
        <v>0.3</v>
      </c>
      <c r="L925" s="338">
        <f t="shared" si="228"/>
        <v>36.954941333010765</v>
      </c>
      <c r="M925" s="341">
        <v>65</v>
      </c>
      <c r="N925" s="675"/>
      <c r="O925" s="361"/>
      <c r="P925" s="169"/>
      <c r="Q925" s="835"/>
      <c r="R925" s="580"/>
      <c r="S925" s="337"/>
      <c r="T925" s="337"/>
    </row>
    <row r="926" spans="1:20" s="178" customFormat="1" ht="15.75" x14ac:dyDescent="0.25">
      <c r="A926" s="169" t="s">
        <v>1186</v>
      </c>
      <c r="B926" s="331" t="s">
        <v>787</v>
      </c>
      <c r="C926" s="337">
        <v>44</v>
      </c>
      <c r="D926" s="337">
        <v>48</v>
      </c>
      <c r="E926" s="337" t="s">
        <v>1188</v>
      </c>
      <c r="F926" s="338">
        <v>15</v>
      </c>
      <c r="G926" s="339">
        <v>8267</v>
      </c>
      <c r="H926" s="338">
        <v>7400</v>
      </c>
      <c r="I926" s="338">
        <f t="shared" si="226"/>
        <v>13.426877948469819</v>
      </c>
      <c r="J926" s="338">
        <f t="shared" si="227"/>
        <v>28.426877948469819</v>
      </c>
      <c r="K926" s="340">
        <v>0.3</v>
      </c>
      <c r="L926" s="338">
        <f t="shared" si="228"/>
        <v>36.954941333010765</v>
      </c>
      <c r="M926" s="341">
        <v>65</v>
      </c>
      <c r="N926" s="675"/>
      <c r="O926" s="361"/>
      <c r="P926" s="169"/>
      <c r="Q926" s="835"/>
      <c r="R926" s="580"/>
      <c r="S926" s="337"/>
      <c r="T926" s="337"/>
    </row>
    <row r="927" spans="1:20" s="178" customFormat="1" ht="15.75" x14ac:dyDescent="0.25">
      <c r="A927" s="169" t="s">
        <v>1186</v>
      </c>
      <c r="B927" s="331" t="s">
        <v>787</v>
      </c>
      <c r="C927" s="337">
        <v>45</v>
      </c>
      <c r="D927" s="337">
        <v>50</v>
      </c>
      <c r="E927" s="704" t="s">
        <v>1188</v>
      </c>
      <c r="F927" s="695">
        <v>15</v>
      </c>
      <c r="G927" s="705">
        <v>8267</v>
      </c>
      <c r="H927" s="695">
        <v>7400</v>
      </c>
      <c r="I927" s="695">
        <f t="shared" si="226"/>
        <v>13.426877948469819</v>
      </c>
      <c r="J927" s="695">
        <f t="shared" si="227"/>
        <v>28.426877948469819</v>
      </c>
      <c r="K927" s="706">
        <v>0.3</v>
      </c>
      <c r="L927" s="695">
        <f t="shared" si="228"/>
        <v>36.954941333010765</v>
      </c>
      <c r="M927" s="707">
        <v>65</v>
      </c>
      <c r="N927" s="675"/>
      <c r="O927" s="361"/>
      <c r="P927" s="462" t="s">
        <v>2916</v>
      </c>
      <c r="Q927" s="835">
        <v>45484</v>
      </c>
      <c r="R927" s="580"/>
      <c r="S927" s="337"/>
      <c r="T927" s="337"/>
    </row>
    <row r="928" spans="1:20" s="178" customFormat="1" ht="15.75" x14ac:dyDescent="0.25">
      <c r="A928" s="169" t="s">
        <v>1186</v>
      </c>
      <c r="B928" s="331" t="s">
        <v>787</v>
      </c>
      <c r="C928" s="337">
        <v>46</v>
      </c>
      <c r="D928" s="337">
        <v>42</v>
      </c>
      <c r="E928" s="337" t="s">
        <v>1188</v>
      </c>
      <c r="F928" s="338">
        <v>15</v>
      </c>
      <c r="G928" s="339">
        <v>8267</v>
      </c>
      <c r="H928" s="338">
        <v>7400</v>
      </c>
      <c r="I928" s="338">
        <f t="shared" ref="I928:I932" si="232">+F928/G928*H928</f>
        <v>13.426877948469819</v>
      </c>
      <c r="J928" s="338">
        <f t="shared" ref="J928:J932" si="233">+F928+I928</f>
        <v>28.426877948469819</v>
      </c>
      <c r="K928" s="340">
        <v>0.3</v>
      </c>
      <c r="L928" s="338">
        <f t="shared" ref="L928:L932" si="234">+J928*1.3</f>
        <v>36.954941333010765</v>
      </c>
      <c r="M928" s="341">
        <v>65</v>
      </c>
      <c r="N928" s="675"/>
      <c r="O928" s="361"/>
      <c r="P928" s="169" t="s">
        <v>12</v>
      </c>
      <c r="Q928" s="835">
        <v>45017</v>
      </c>
      <c r="R928" s="580">
        <f>+M928*1000</f>
        <v>65000</v>
      </c>
      <c r="S928" s="337"/>
      <c r="T928" s="337"/>
    </row>
    <row r="929" spans="1:20" s="178" customFormat="1" ht="15.75" x14ac:dyDescent="0.25">
      <c r="A929" s="169" t="s">
        <v>1186</v>
      </c>
      <c r="B929" s="331" t="s">
        <v>787</v>
      </c>
      <c r="C929" s="337">
        <v>47</v>
      </c>
      <c r="D929" s="337">
        <v>44</v>
      </c>
      <c r="E929" s="337" t="s">
        <v>1188</v>
      </c>
      <c r="F929" s="338">
        <v>15</v>
      </c>
      <c r="G929" s="339">
        <v>8267</v>
      </c>
      <c r="H929" s="338">
        <v>7400</v>
      </c>
      <c r="I929" s="338">
        <f t="shared" si="232"/>
        <v>13.426877948469819</v>
      </c>
      <c r="J929" s="338">
        <f t="shared" si="233"/>
        <v>28.426877948469819</v>
      </c>
      <c r="K929" s="340">
        <v>0.3</v>
      </c>
      <c r="L929" s="338">
        <f t="shared" si="234"/>
        <v>36.954941333010765</v>
      </c>
      <c r="M929" s="341">
        <v>65</v>
      </c>
      <c r="N929" s="675"/>
      <c r="O929" s="361"/>
      <c r="P929" s="169"/>
      <c r="Q929" s="835"/>
      <c r="R929" s="580"/>
      <c r="S929" s="337"/>
      <c r="T929" s="337"/>
    </row>
    <row r="930" spans="1:20" s="178" customFormat="1" ht="15.75" x14ac:dyDescent="0.25">
      <c r="A930" s="169" t="s">
        <v>1186</v>
      </c>
      <c r="B930" s="331" t="s">
        <v>787</v>
      </c>
      <c r="C930" s="337">
        <v>48</v>
      </c>
      <c r="D930" s="337">
        <v>46</v>
      </c>
      <c r="E930" s="337" t="s">
        <v>1188</v>
      </c>
      <c r="F930" s="338">
        <v>15</v>
      </c>
      <c r="G930" s="339">
        <v>8267</v>
      </c>
      <c r="H930" s="338">
        <v>7400</v>
      </c>
      <c r="I930" s="338">
        <f t="shared" si="232"/>
        <v>13.426877948469819</v>
      </c>
      <c r="J930" s="338">
        <f t="shared" si="233"/>
        <v>28.426877948469819</v>
      </c>
      <c r="K930" s="340">
        <v>0.3</v>
      </c>
      <c r="L930" s="338">
        <f t="shared" si="234"/>
        <v>36.954941333010765</v>
      </c>
      <c r="M930" s="341">
        <v>65</v>
      </c>
      <c r="N930" s="675"/>
      <c r="O930" s="361"/>
      <c r="P930" s="169"/>
      <c r="Q930" s="835"/>
      <c r="R930" s="580"/>
      <c r="S930" s="337"/>
      <c r="T930" s="337"/>
    </row>
    <row r="931" spans="1:20" s="178" customFormat="1" ht="15.75" x14ac:dyDescent="0.25">
      <c r="A931" s="169" t="s">
        <v>1186</v>
      </c>
      <c r="B931" s="331" t="s">
        <v>787</v>
      </c>
      <c r="C931" s="337">
        <v>49</v>
      </c>
      <c r="D931" s="337">
        <v>48</v>
      </c>
      <c r="E931" s="337" t="s">
        <v>1188</v>
      </c>
      <c r="F931" s="338">
        <v>15</v>
      </c>
      <c r="G931" s="339">
        <v>8267</v>
      </c>
      <c r="H931" s="338">
        <v>7400</v>
      </c>
      <c r="I931" s="338">
        <f t="shared" si="232"/>
        <v>13.426877948469819</v>
      </c>
      <c r="J931" s="338">
        <f t="shared" si="233"/>
        <v>28.426877948469819</v>
      </c>
      <c r="K931" s="340">
        <v>0.3</v>
      </c>
      <c r="L931" s="338">
        <f t="shared" si="234"/>
        <v>36.954941333010765</v>
      </c>
      <c r="M931" s="341">
        <v>65</v>
      </c>
      <c r="N931" s="675"/>
      <c r="O931" s="361"/>
      <c r="P931" s="169"/>
      <c r="Q931" s="835"/>
      <c r="R931" s="580"/>
      <c r="S931" s="337"/>
      <c r="T931" s="337"/>
    </row>
    <row r="932" spans="1:20" s="178" customFormat="1" ht="15.75" x14ac:dyDescent="0.25">
      <c r="A932" s="169" t="s">
        <v>1186</v>
      </c>
      <c r="B932" s="331" t="s">
        <v>787</v>
      </c>
      <c r="C932" s="337">
        <v>50</v>
      </c>
      <c r="D932" s="337">
        <v>50</v>
      </c>
      <c r="E932" s="337" t="s">
        <v>1188</v>
      </c>
      <c r="F932" s="338">
        <v>15</v>
      </c>
      <c r="G932" s="339">
        <v>8267</v>
      </c>
      <c r="H932" s="338">
        <v>7400</v>
      </c>
      <c r="I932" s="338">
        <f t="shared" si="232"/>
        <v>13.426877948469819</v>
      </c>
      <c r="J932" s="338">
        <f t="shared" si="233"/>
        <v>28.426877948469819</v>
      </c>
      <c r="K932" s="340">
        <v>0.3</v>
      </c>
      <c r="L932" s="338">
        <f t="shared" si="234"/>
        <v>36.954941333010765</v>
      </c>
      <c r="M932" s="341">
        <v>65</v>
      </c>
      <c r="N932" s="675"/>
      <c r="O932" s="361"/>
      <c r="P932" s="462"/>
      <c r="Q932" s="835"/>
      <c r="R932" s="580"/>
      <c r="S932" s="337"/>
      <c r="T932" s="337"/>
    </row>
    <row r="933" spans="1:20" s="178" customFormat="1" ht="15.75" x14ac:dyDescent="0.25">
      <c r="A933" s="169" t="s">
        <v>1186</v>
      </c>
      <c r="B933" s="575" t="s">
        <v>1253</v>
      </c>
      <c r="C933" s="337"/>
      <c r="D933" s="337"/>
      <c r="E933" s="337"/>
      <c r="F933" s="338"/>
      <c r="G933" s="339"/>
      <c r="H933" s="338"/>
      <c r="I933" s="338"/>
      <c r="J933" s="338"/>
      <c r="K933" s="340"/>
      <c r="L933" s="338"/>
      <c r="M933" s="341"/>
      <c r="N933" s="675"/>
      <c r="O933" s="169"/>
      <c r="P933" s="169"/>
      <c r="Q933" s="835"/>
      <c r="R933" s="580"/>
      <c r="S933" s="337"/>
      <c r="T933" s="337"/>
    </row>
    <row r="934" spans="1:20" s="178" customFormat="1" ht="15.75" x14ac:dyDescent="0.25">
      <c r="A934" s="169" t="s">
        <v>1186</v>
      </c>
      <c r="B934" s="319" t="s">
        <v>1239</v>
      </c>
      <c r="C934" s="337">
        <v>51</v>
      </c>
      <c r="D934" s="337">
        <v>42</v>
      </c>
      <c r="E934" s="337" t="s">
        <v>1240</v>
      </c>
      <c r="F934" s="226">
        <v>15</v>
      </c>
      <c r="G934" s="227">
        <f t="shared" ref="G934:G949" si="235">+(700+612+375)*1.5</f>
        <v>2530.5</v>
      </c>
      <c r="H934" s="226">
        <v>631</v>
      </c>
      <c r="I934" s="338">
        <f t="shared" si="226"/>
        <v>3.7403675163011263</v>
      </c>
      <c r="J934" s="338">
        <f t="shared" si="227"/>
        <v>18.740367516301127</v>
      </c>
      <c r="K934" s="340">
        <v>0.4</v>
      </c>
      <c r="L934" s="338">
        <f t="shared" si="228"/>
        <v>24.362477771191465</v>
      </c>
      <c r="M934" s="175">
        <v>55</v>
      </c>
      <c r="N934" s="633"/>
      <c r="O934" s="362"/>
      <c r="P934" s="395"/>
      <c r="Q934" s="836"/>
      <c r="R934" s="914"/>
    </row>
    <row r="935" spans="1:20" s="178" customFormat="1" ht="15.75" x14ac:dyDescent="0.25">
      <c r="A935" s="169" t="s">
        <v>1186</v>
      </c>
      <c r="B935" s="319" t="s">
        <v>1239</v>
      </c>
      <c r="C935" s="337">
        <v>52</v>
      </c>
      <c r="D935" s="337">
        <v>44</v>
      </c>
      <c r="E935" s="337" t="s">
        <v>1240</v>
      </c>
      <c r="F935" s="226">
        <v>15</v>
      </c>
      <c r="G935" s="227">
        <f t="shared" si="235"/>
        <v>2530.5</v>
      </c>
      <c r="H935" s="226">
        <v>631</v>
      </c>
      <c r="I935" s="338">
        <f t="shared" si="226"/>
        <v>3.7403675163011263</v>
      </c>
      <c r="J935" s="338">
        <f t="shared" si="227"/>
        <v>18.740367516301127</v>
      </c>
      <c r="K935" s="340">
        <v>0.4</v>
      </c>
      <c r="L935" s="338">
        <f t="shared" si="228"/>
        <v>24.362477771191465</v>
      </c>
      <c r="M935" s="175">
        <v>55</v>
      </c>
      <c r="N935" s="633"/>
      <c r="O935" s="362"/>
      <c r="P935" s="395"/>
      <c r="Q935" s="836"/>
      <c r="R935" s="914"/>
    </row>
    <row r="936" spans="1:20" s="178" customFormat="1" ht="15.75" hidden="1" x14ac:dyDescent="0.25">
      <c r="A936" s="169" t="s">
        <v>1186</v>
      </c>
      <c r="B936" s="319" t="s">
        <v>1239</v>
      </c>
      <c r="C936" s="337">
        <v>53</v>
      </c>
      <c r="D936" s="337">
        <v>46</v>
      </c>
      <c r="E936" s="704" t="s">
        <v>1240</v>
      </c>
      <c r="F936" s="232">
        <v>15</v>
      </c>
      <c r="G936" s="305">
        <f t="shared" si="235"/>
        <v>2530.5</v>
      </c>
      <c r="H936" s="232">
        <v>631</v>
      </c>
      <c r="I936" s="695">
        <f t="shared" si="226"/>
        <v>3.7403675163011263</v>
      </c>
      <c r="J936" s="695">
        <f t="shared" si="227"/>
        <v>18.740367516301127</v>
      </c>
      <c r="K936" s="706">
        <v>0.4</v>
      </c>
      <c r="L936" s="695">
        <f t="shared" si="228"/>
        <v>24.362477771191465</v>
      </c>
      <c r="M936" s="698">
        <v>55</v>
      </c>
      <c r="N936" s="633"/>
      <c r="O936" s="362"/>
      <c r="P936" s="395" t="s">
        <v>2714</v>
      </c>
      <c r="Q936" s="836">
        <v>45435</v>
      </c>
      <c r="R936" s="914">
        <f>+M936*14.5</f>
        <v>797.5</v>
      </c>
    </row>
    <row r="937" spans="1:20" s="178" customFormat="1" ht="15.75" x14ac:dyDescent="0.25">
      <c r="A937" s="169" t="s">
        <v>1186</v>
      </c>
      <c r="B937" s="319" t="s">
        <v>1239</v>
      </c>
      <c r="C937" s="337">
        <v>54</v>
      </c>
      <c r="D937" s="337">
        <v>48</v>
      </c>
      <c r="E937" s="337" t="s">
        <v>1240</v>
      </c>
      <c r="F937" s="226">
        <v>15</v>
      </c>
      <c r="G937" s="227">
        <f t="shared" si="235"/>
        <v>2530.5</v>
      </c>
      <c r="H937" s="226">
        <v>631</v>
      </c>
      <c r="I937" s="338">
        <f t="shared" si="226"/>
        <v>3.7403675163011263</v>
      </c>
      <c r="J937" s="338">
        <f t="shared" si="227"/>
        <v>18.740367516301127</v>
      </c>
      <c r="K937" s="340">
        <v>0.4</v>
      </c>
      <c r="L937" s="338">
        <f t="shared" si="228"/>
        <v>24.362477771191465</v>
      </c>
      <c r="M937" s="175">
        <v>55</v>
      </c>
      <c r="N937" s="633"/>
      <c r="O937" s="362"/>
      <c r="P937" s="395"/>
      <c r="Q937" s="836"/>
      <c r="R937" s="914"/>
    </row>
    <row r="938" spans="1:20" s="178" customFormat="1" ht="15.75" hidden="1" x14ac:dyDescent="0.25">
      <c r="A938" s="169" t="s">
        <v>1186</v>
      </c>
      <c r="B938" s="319" t="s">
        <v>1239</v>
      </c>
      <c r="C938" s="337">
        <v>55</v>
      </c>
      <c r="D938" s="337">
        <v>50</v>
      </c>
      <c r="E938" s="704" t="s">
        <v>1240</v>
      </c>
      <c r="F938" s="232">
        <v>15</v>
      </c>
      <c r="G938" s="305">
        <f t="shared" si="235"/>
        <v>2530.5</v>
      </c>
      <c r="H938" s="232">
        <v>631</v>
      </c>
      <c r="I938" s="695">
        <f t="shared" si="226"/>
        <v>3.7403675163011263</v>
      </c>
      <c r="J938" s="695">
        <f t="shared" si="227"/>
        <v>18.740367516301127</v>
      </c>
      <c r="K938" s="706">
        <v>0.4</v>
      </c>
      <c r="L938" s="695">
        <f t="shared" si="228"/>
        <v>24.362477771191465</v>
      </c>
      <c r="M938" s="698">
        <v>55</v>
      </c>
      <c r="N938" s="633"/>
      <c r="O938" s="362"/>
      <c r="P938" s="462" t="s">
        <v>2958</v>
      </c>
      <c r="Q938" s="836">
        <v>45478</v>
      </c>
      <c r="R938" s="914"/>
    </row>
    <row r="939" spans="1:20" s="178" customFormat="1" ht="15.75" x14ac:dyDescent="0.25">
      <c r="A939" s="169" t="s">
        <v>1186</v>
      </c>
      <c r="B939" s="319" t="s">
        <v>1239</v>
      </c>
      <c r="C939" s="337">
        <v>56</v>
      </c>
      <c r="D939" s="337">
        <v>42</v>
      </c>
      <c r="E939" s="337" t="s">
        <v>1240</v>
      </c>
      <c r="F939" s="226">
        <v>15</v>
      </c>
      <c r="G939" s="227">
        <f t="shared" si="235"/>
        <v>2530.5</v>
      </c>
      <c r="H939" s="226">
        <v>631</v>
      </c>
      <c r="I939" s="338">
        <f t="shared" ref="I939:I943" si="236">+F939/G939*H939</f>
        <v>3.7403675163011263</v>
      </c>
      <c r="J939" s="338">
        <f t="shared" ref="J939:J943" si="237">+F939+I939</f>
        <v>18.740367516301127</v>
      </c>
      <c r="K939" s="340">
        <v>0.4</v>
      </c>
      <c r="L939" s="338">
        <f t="shared" ref="L939:L943" si="238">+J939*1.3</f>
        <v>24.362477771191465</v>
      </c>
      <c r="M939" s="175">
        <v>55</v>
      </c>
      <c r="N939" s="633"/>
      <c r="O939" s="362"/>
      <c r="P939" s="395"/>
      <c r="Q939" s="836"/>
      <c r="R939" s="914"/>
    </row>
    <row r="940" spans="1:20" s="178" customFormat="1" ht="15.75" x14ac:dyDescent="0.25">
      <c r="A940" s="169" t="s">
        <v>1186</v>
      </c>
      <c r="B940" s="319" t="s">
        <v>1239</v>
      </c>
      <c r="C940" s="337">
        <v>57</v>
      </c>
      <c r="D940" s="337">
        <v>44</v>
      </c>
      <c r="E940" s="337" t="s">
        <v>1240</v>
      </c>
      <c r="F940" s="226">
        <v>15</v>
      </c>
      <c r="G940" s="227">
        <f t="shared" si="235"/>
        <v>2530.5</v>
      </c>
      <c r="H940" s="226">
        <v>631</v>
      </c>
      <c r="I940" s="338">
        <f t="shared" si="236"/>
        <v>3.7403675163011263</v>
      </c>
      <c r="J940" s="338">
        <f t="shared" si="237"/>
        <v>18.740367516301127</v>
      </c>
      <c r="K940" s="340">
        <v>0.4</v>
      </c>
      <c r="L940" s="338">
        <f t="shared" si="238"/>
        <v>24.362477771191465</v>
      </c>
      <c r="M940" s="175">
        <v>55</v>
      </c>
      <c r="N940" s="633"/>
      <c r="O940" s="362"/>
      <c r="P940" s="395"/>
      <c r="Q940" s="836"/>
      <c r="R940" s="914"/>
    </row>
    <row r="941" spans="1:20" s="178" customFormat="1" ht="15.75" x14ac:dyDescent="0.25">
      <c r="A941" s="169" t="s">
        <v>1186</v>
      </c>
      <c r="B941" s="319" t="s">
        <v>1239</v>
      </c>
      <c r="C941" s="337">
        <v>58</v>
      </c>
      <c r="D941" s="337">
        <v>46</v>
      </c>
      <c r="E941" s="337" t="s">
        <v>1240</v>
      </c>
      <c r="F941" s="226">
        <v>15</v>
      </c>
      <c r="G941" s="227">
        <f t="shared" si="235"/>
        <v>2530.5</v>
      </c>
      <c r="H941" s="226">
        <v>631</v>
      </c>
      <c r="I941" s="338">
        <f t="shared" si="236"/>
        <v>3.7403675163011263</v>
      </c>
      <c r="J941" s="338">
        <f t="shared" si="237"/>
        <v>18.740367516301127</v>
      </c>
      <c r="K941" s="340">
        <v>0.4</v>
      </c>
      <c r="L941" s="338">
        <f t="shared" si="238"/>
        <v>24.362477771191465</v>
      </c>
      <c r="M941" s="175">
        <v>55</v>
      </c>
      <c r="N941" s="633"/>
      <c r="O941" s="362"/>
      <c r="P941" s="395"/>
      <c r="Q941" s="836"/>
      <c r="R941" s="914"/>
    </row>
    <row r="942" spans="1:20" s="178" customFormat="1" ht="15.75" x14ac:dyDescent="0.25">
      <c r="A942" s="169" t="s">
        <v>1186</v>
      </c>
      <c r="B942" s="319" t="s">
        <v>1239</v>
      </c>
      <c r="C942" s="337">
        <v>59</v>
      </c>
      <c r="D942" s="337">
        <v>48</v>
      </c>
      <c r="E942" s="337" t="s">
        <v>1240</v>
      </c>
      <c r="F942" s="226">
        <v>15</v>
      </c>
      <c r="G942" s="227">
        <f t="shared" si="235"/>
        <v>2530.5</v>
      </c>
      <c r="H942" s="226">
        <v>631</v>
      </c>
      <c r="I942" s="338">
        <f t="shared" si="236"/>
        <v>3.7403675163011263</v>
      </c>
      <c r="J942" s="338">
        <f t="shared" si="237"/>
        <v>18.740367516301127</v>
      </c>
      <c r="K942" s="340">
        <v>0.4</v>
      </c>
      <c r="L942" s="338">
        <f t="shared" si="238"/>
        <v>24.362477771191465</v>
      </c>
      <c r="M942" s="175">
        <v>55</v>
      </c>
      <c r="N942" s="633"/>
      <c r="O942" s="362"/>
      <c r="P942" s="395"/>
      <c r="Q942" s="836"/>
      <c r="R942" s="914"/>
    </row>
    <row r="943" spans="1:20" s="178" customFormat="1" ht="15.75" x14ac:dyDescent="0.25">
      <c r="A943" s="169" t="s">
        <v>1186</v>
      </c>
      <c r="B943" s="319" t="s">
        <v>1239</v>
      </c>
      <c r="C943" s="337">
        <v>60</v>
      </c>
      <c r="D943" s="337">
        <v>50</v>
      </c>
      <c r="E943" s="337" t="s">
        <v>1240</v>
      </c>
      <c r="F943" s="226">
        <v>15</v>
      </c>
      <c r="G943" s="227">
        <f t="shared" si="235"/>
        <v>2530.5</v>
      </c>
      <c r="H943" s="226">
        <v>631</v>
      </c>
      <c r="I943" s="338">
        <f t="shared" si="236"/>
        <v>3.7403675163011263</v>
      </c>
      <c r="J943" s="338">
        <f t="shared" si="237"/>
        <v>18.740367516301127</v>
      </c>
      <c r="K943" s="340">
        <v>0.4</v>
      </c>
      <c r="L943" s="338">
        <f t="shared" si="238"/>
        <v>24.362477771191465</v>
      </c>
      <c r="M943" s="175">
        <v>55</v>
      </c>
      <c r="N943" s="633"/>
      <c r="O943" s="362"/>
      <c r="P943" s="462" t="s">
        <v>1263</v>
      </c>
      <c r="Q943" s="836"/>
      <c r="R943" s="914"/>
    </row>
    <row r="944" spans="1:20" s="178" customFormat="1" ht="15.75" x14ac:dyDescent="0.25">
      <c r="A944" s="169" t="s">
        <v>1186</v>
      </c>
      <c r="B944" s="319" t="s">
        <v>1239</v>
      </c>
      <c r="C944" s="337">
        <v>61</v>
      </c>
      <c r="D944" s="337">
        <v>42</v>
      </c>
      <c r="E944" s="337" t="s">
        <v>1241</v>
      </c>
      <c r="F944" s="226">
        <v>15</v>
      </c>
      <c r="G944" s="227">
        <f t="shared" si="235"/>
        <v>2530.5</v>
      </c>
      <c r="H944" s="226">
        <v>631</v>
      </c>
      <c r="I944" s="338">
        <f t="shared" si="226"/>
        <v>3.7403675163011263</v>
      </c>
      <c r="J944" s="338">
        <f t="shared" si="227"/>
        <v>18.740367516301127</v>
      </c>
      <c r="K944" s="340">
        <v>0.4</v>
      </c>
      <c r="L944" s="338">
        <f t="shared" si="228"/>
        <v>24.362477771191465</v>
      </c>
      <c r="M944" s="175">
        <v>55</v>
      </c>
      <c r="N944" s="633"/>
      <c r="O944" s="362"/>
      <c r="P944" s="395"/>
      <c r="Q944" s="836"/>
      <c r="R944" s="914"/>
    </row>
    <row r="945" spans="1:20" s="178" customFormat="1" ht="15.75" x14ac:dyDescent="0.25">
      <c r="A945" s="169" t="s">
        <v>1186</v>
      </c>
      <c r="B945" s="319" t="s">
        <v>1239</v>
      </c>
      <c r="C945" s="337">
        <v>62</v>
      </c>
      <c r="D945" s="337">
        <v>44</v>
      </c>
      <c r="E945" s="337" t="s">
        <v>1241</v>
      </c>
      <c r="F945" s="226">
        <v>15</v>
      </c>
      <c r="G945" s="227">
        <f t="shared" si="235"/>
        <v>2530.5</v>
      </c>
      <c r="H945" s="226">
        <v>631</v>
      </c>
      <c r="I945" s="338">
        <f t="shared" si="226"/>
        <v>3.7403675163011263</v>
      </c>
      <c r="J945" s="338">
        <f t="shared" si="227"/>
        <v>18.740367516301127</v>
      </c>
      <c r="K945" s="340">
        <v>0.4</v>
      </c>
      <c r="L945" s="338">
        <f t="shared" si="228"/>
        <v>24.362477771191465</v>
      </c>
      <c r="M945" s="175">
        <v>55</v>
      </c>
      <c r="N945" s="633"/>
      <c r="O945" s="362"/>
      <c r="P945" s="395"/>
      <c r="Q945" s="836"/>
      <c r="R945" s="914"/>
    </row>
    <row r="946" spans="1:20" s="178" customFormat="1" ht="15.75" x14ac:dyDescent="0.25">
      <c r="A946" s="169" t="s">
        <v>1186</v>
      </c>
      <c r="B946" s="319" t="s">
        <v>1239</v>
      </c>
      <c r="C946" s="337">
        <v>63</v>
      </c>
      <c r="D946" s="337">
        <v>46</v>
      </c>
      <c r="E946" s="337" t="s">
        <v>1241</v>
      </c>
      <c r="F946" s="226">
        <v>15</v>
      </c>
      <c r="G946" s="227">
        <f t="shared" si="235"/>
        <v>2530.5</v>
      </c>
      <c r="H946" s="226">
        <v>631</v>
      </c>
      <c r="I946" s="338">
        <f t="shared" si="226"/>
        <v>3.7403675163011263</v>
      </c>
      <c r="J946" s="338">
        <f t="shared" si="227"/>
        <v>18.740367516301127</v>
      </c>
      <c r="K946" s="340">
        <v>0.4</v>
      </c>
      <c r="L946" s="338">
        <f t="shared" si="228"/>
        <v>24.362477771191465</v>
      </c>
      <c r="M946" s="175">
        <v>55</v>
      </c>
      <c r="N946" s="633"/>
      <c r="O946" s="362"/>
      <c r="P946" s="395"/>
      <c r="Q946" s="836"/>
      <c r="R946" s="914"/>
    </row>
    <row r="947" spans="1:20" s="337" customFormat="1" ht="15.75" x14ac:dyDescent="0.25">
      <c r="A947" s="169" t="s">
        <v>1186</v>
      </c>
      <c r="B947" s="319" t="s">
        <v>1239</v>
      </c>
      <c r="C947" s="337">
        <v>64</v>
      </c>
      <c r="D947" s="337">
        <v>48</v>
      </c>
      <c r="E947" s="337" t="s">
        <v>1241</v>
      </c>
      <c r="F947" s="226">
        <v>15</v>
      </c>
      <c r="G947" s="227">
        <f t="shared" si="235"/>
        <v>2530.5</v>
      </c>
      <c r="H947" s="226">
        <v>631</v>
      </c>
      <c r="I947" s="338">
        <f t="shared" si="226"/>
        <v>3.7403675163011263</v>
      </c>
      <c r="J947" s="338">
        <f t="shared" si="227"/>
        <v>18.740367516301127</v>
      </c>
      <c r="K947" s="340">
        <v>0.4</v>
      </c>
      <c r="L947" s="338">
        <f t="shared" si="228"/>
        <v>24.362477771191465</v>
      </c>
      <c r="M947" s="175">
        <v>55</v>
      </c>
      <c r="N947" s="633"/>
      <c r="O947" s="362"/>
      <c r="P947" s="395"/>
      <c r="Q947" s="836"/>
      <c r="R947" s="914"/>
      <c r="S947" s="178"/>
      <c r="T947" s="178"/>
    </row>
    <row r="948" spans="1:20" s="12" customFormat="1" ht="15" hidden="1" customHeight="1" x14ac:dyDescent="0.25">
      <c r="A948" s="169" t="s">
        <v>1186</v>
      </c>
      <c r="B948" s="319" t="s">
        <v>1239</v>
      </c>
      <c r="C948" s="337">
        <v>65</v>
      </c>
      <c r="D948" s="337">
        <v>50</v>
      </c>
      <c r="E948" s="704" t="s">
        <v>1241</v>
      </c>
      <c r="F948" s="232">
        <v>15</v>
      </c>
      <c r="G948" s="305">
        <f t="shared" si="235"/>
        <v>2530.5</v>
      </c>
      <c r="H948" s="232">
        <v>631</v>
      </c>
      <c r="I948" s="695">
        <f t="shared" si="226"/>
        <v>3.7403675163011263</v>
      </c>
      <c r="J948" s="695">
        <f t="shared" si="227"/>
        <v>18.740367516301127</v>
      </c>
      <c r="K948" s="706">
        <v>0.4</v>
      </c>
      <c r="L948" s="695">
        <f t="shared" si="228"/>
        <v>24.362477771191465</v>
      </c>
      <c r="M948" s="698">
        <v>55</v>
      </c>
      <c r="N948" s="633"/>
      <c r="O948" s="362"/>
      <c r="P948" s="395" t="s">
        <v>2916</v>
      </c>
      <c r="Q948" s="836">
        <v>45484</v>
      </c>
      <c r="R948" s="914"/>
      <c r="S948" s="178"/>
      <c r="T948" s="178"/>
    </row>
    <row r="949" spans="1:20" ht="15" hidden="1" customHeight="1" outlineLevel="1" x14ac:dyDescent="0.25">
      <c r="A949" s="169" t="s">
        <v>1186</v>
      </c>
      <c r="B949" s="319" t="s">
        <v>1239</v>
      </c>
      <c r="C949" s="337">
        <v>66</v>
      </c>
      <c r="D949" s="337">
        <v>50</v>
      </c>
      <c r="E949" s="704" t="s">
        <v>1242</v>
      </c>
      <c r="F949" s="232">
        <v>15</v>
      </c>
      <c r="G949" s="305">
        <f t="shared" si="235"/>
        <v>2530.5</v>
      </c>
      <c r="H949" s="232">
        <v>631</v>
      </c>
      <c r="I949" s="695">
        <f t="shared" si="226"/>
        <v>3.7403675163011263</v>
      </c>
      <c r="J949" s="695">
        <f t="shared" si="227"/>
        <v>18.740367516301127</v>
      </c>
      <c r="K949" s="706">
        <v>0.4</v>
      </c>
      <c r="L949" s="695">
        <f t="shared" si="228"/>
        <v>24.362477771191465</v>
      </c>
      <c r="M949" s="698">
        <v>55</v>
      </c>
      <c r="N949" s="633"/>
      <c r="O949" s="362"/>
      <c r="P949" s="395" t="s">
        <v>2916</v>
      </c>
      <c r="Q949" s="836">
        <v>45484</v>
      </c>
      <c r="R949" s="914"/>
      <c r="S949" s="178"/>
      <c r="T949" s="178"/>
    </row>
    <row r="950" spans="1:20" ht="15" customHeight="1" outlineLevel="1" x14ac:dyDescent="0.25">
      <c r="A950" s="169" t="s">
        <v>1186</v>
      </c>
      <c r="B950" s="319"/>
      <c r="C950" s="337">
        <v>67</v>
      </c>
      <c r="D950" s="337"/>
      <c r="E950" s="337" t="s">
        <v>1257</v>
      </c>
      <c r="F950" s="226"/>
      <c r="G950" s="227"/>
      <c r="H950" s="226"/>
      <c r="I950" s="338"/>
      <c r="J950" s="338"/>
      <c r="K950" s="340"/>
      <c r="L950" s="338"/>
      <c r="M950" s="175"/>
      <c r="N950" s="633"/>
      <c r="O950" s="395"/>
      <c r="P950" s="395"/>
      <c r="Q950" s="836"/>
      <c r="R950" s="914"/>
      <c r="S950" s="178"/>
      <c r="T950" s="178"/>
    </row>
    <row r="951" spans="1:20" ht="15" customHeight="1" outlineLevel="1" x14ac:dyDescent="0.25">
      <c r="A951" s="319"/>
      <c r="B951" s="319"/>
      <c r="C951" s="178"/>
      <c r="D951" s="337"/>
      <c r="E951" s="549" t="s">
        <v>1362</v>
      </c>
      <c r="F951" s="226"/>
      <c r="G951" s="227"/>
      <c r="H951" s="226"/>
      <c r="I951" s="338"/>
      <c r="J951" s="338"/>
      <c r="K951" s="340"/>
      <c r="L951" s="338"/>
      <c r="M951" s="175"/>
      <c r="N951" s="633"/>
      <c r="O951" s="395"/>
      <c r="P951" s="395"/>
      <c r="Q951" s="836"/>
      <c r="R951" s="914"/>
      <c r="S951" s="178"/>
      <c r="T951" s="178"/>
    </row>
    <row r="952" spans="1:20" s="178" customFormat="1" ht="15.75" x14ac:dyDescent="0.25">
      <c r="A952" s="319"/>
      <c r="B952" s="319" t="s">
        <v>1273</v>
      </c>
      <c r="C952" s="337">
        <v>68</v>
      </c>
      <c r="D952" s="226">
        <v>50</v>
      </c>
      <c r="E952" s="337" t="s">
        <v>656</v>
      </c>
      <c r="F952" s="227">
        <v>11</v>
      </c>
      <c r="G952" s="227">
        <v>9682</v>
      </c>
      <c r="H952" s="226">
        <v>7766</v>
      </c>
      <c r="I952" s="174">
        <f t="shared" ref="I952:I974" si="239">+F952/G952*H952</f>
        <v>8.8231770295393517</v>
      </c>
      <c r="J952" s="174">
        <f t="shared" ref="J952:J974" si="240">+F952+I952</f>
        <v>19.823177029539352</v>
      </c>
      <c r="K952" s="316">
        <v>0.4</v>
      </c>
      <c r="L952" s="174">
        <f t="shared" ref="L952:L974" si="241">+J952*1.4</f>
        <v>27.752447841355092</v>
      </c>
      <c r="M952" s="175">
        <v>55</v>
      </c>
      <c r="N952" s="633"/>
      <c r="O952" s="362"/>
      <c r="P952" s="395"/>
      <c r="Q952" s="836"/>
      <c r="R952" s="914"/>
    </row>
    <row r="953" spans="1:20" s="178" customFormat="1" ht="15.75" x14ac:dyDescent="0.25">
      <c r="A953" s="319"/>
      <c r="B953" s="319" t="s">
        <v>1273</v>
      </c>
      <c r="C953" s="337">
        <v>69</v>
      </c>
      <c r="D953" s="226">
        <v>52</v>
      </c>
      <c r="E953" s="337" t="s">
        <v>656</v>
      </c>
      <c r="F953" s="227">
        <v>11</v>
      </c>
      <c r="G953" s="227">
        <v>9682</v>
      </c>
      <c r="H953" s="226">
        <v>7766</v>
      </c>
      <c r="I953" s="174">
        <f t="shared" si="239"/>
        <v>8.8231770295393517</v>
      </c>
      <c r="J953" s="174">
        <f t="shared" si="240"/>
        <v>19.823177029539352</v>
      </c>
      <c r="K953" s="316">
        <v>0.4</v>
      </c>
      <c r="L953" s="174">
        <f t="shared" si="241"/>
        <v>27.752447841355092</v>
      </c>
      <c r="M953" s="175">
        <v>55</v>
      </c>
      <c r="N953" s="633"/>
      <c r="O953" s="362"/>
      <c r="P953" s="395"/>
      <c r="Q953" s="836"/>
      <c r="R953" s="914"/>
    </row>
    <row r="954" spans="1:20" s="178" customFormat="1" ht="15.75" x14ac:dyDescent="0.25">
      <c r="A954" s="319"/>
      <c r="B954" s="319" t="s">
        <v>1273</v>
      </c>
      <c r="C954" s="337">
        <v>70</v>
      </c>
      <c r="D954" s="226">
        <v>54</v>
      </c>
      <c r="E954" s="337" t="s">
        <v>656</v>
      </c>
      <c r="F954" s="227">
        <v>11</v>
      </c>
      <c r="G954" s="227">
        <v>9682</v>
      </c>
      <c r="H954" s="226">
        <v>7766</v>
      </c>
      <c r="I954" s="174">
        <f t="shared" si="239"/>
        <v>8.8231770295393517</v>
      </c>
      <c r="J954" s="174">
        <f t="shared" si="240"/>
        <v>19.823177029539352</v>
      </c>
      <c r="K954" s="316">
        <v>0.4</v>
      </c>
      <c r="L954" s="174">
        <f t="shared" si="241"/>
        <v>27.752447841355092</v>
      </c>
      <c r="M954" s="175">
        <v>55</v>
      </c>
      <c r="N954" s="633"/>
      <c r="O954" s="362"/>
      <c r="P954" s="395"/>
      <c r="Q954" s="836"/>
      <c r="R954" s="914"/>
    </row>
    <row r="955" spans="1:20" s="178" customFormat="1" ht="15.75" x14ac:dyDescent="0.25">
      <c r="A955" s="319"/>
      <c r="B955" s="319" t="s">
        <v>1273</v>
      </c>
      <c r="C955" s="337">
        <v>71</v>
      </c>
      <c r="D955" s="226">
        <v>50</v>
      </c>
      <c r="E955" s="337" t="s">
        <v>574</v>
      </c>
      <c r="F955" s="227">
        <v>11</v>
      </c>
      <c r="G955" s="227">
        <v>9682</v>
      </c>
      <c r="H955" s="226">
        <v>7766</v>
      </c>
      <c r="I955" s="174">
        <f t="shared" si="239"/>
        <v>8.8231770295393517</v>
      </c>
      <c r="J955" s="174">
        <f t="shared" si="240"/>
        <v>19.823177029539352</v>
      </c>
      <c r="K955" s="316">
        <v>0.4</v>
      </c>
      <c r="L955" s="174">
        <f t="shared" si="241"/>
        <v>27.752447841355092</v>
      </c>
      <c r="M955" s="175">
        <v>55</v>
      </c>
      <c r="N955" s="633"/>
      <c r="O955" s="362"/>
      <c r="P955" s="395"/>
      <c r="Q955" s="836"/>
      <c r="R955" s="914"/>
    </row>
    <row r="956" spans="1:20" s="178" customFormat="1" ht="15.75" x14ac:dyDescent="0.25">
      <c r="A956" s="319"/>
      <c r="B956" s="319" t="s">
        <v>1273</v>
      </c>
      <c r="C956" s="337">
        <v>72</v>
      </c>
      <c r="D956" s="226">
        <v>52</v>
      </c>
      <c r="E956" s="337" t="s">
        <v>574</v>
      </c>
      <c r="F956" s="227">
        <v>11</v>
      </c>
      <c r="G956" s="227">
        <v>9682</v>
      </c>
      <c r="H956" s="226">
        <v>7766</v>
      </c>
      <c r="I956" s="174">
        <f t="shared" si="239"/>
        <v>8.8231770295393517</v>
      </c>
      <c r="J956" s="174">
        <f t="shared" si="240"/>
        <v>19.823177029539352</v>
      </c>
      <c r="K956" s="316">
        <v>0.4</v>
      </c>
      <c r="L956" s="174">
        <f t="shared" si="241"/>
        <v>27.752447841355092</v>
      </c>
      <c r="M956" s="175">
        <v>55</v>
      </c>
      <c r="N956" s="633"/>
      <c r="O956" s="362"/>
      <c r="P956" s="395"/>
      <c r="Q956" s="836"/>
      <c r="R956" s="914"/>
    </row>
    <row r="957" spans="1:20" s="178" customFormat="1" ht="15.75" hidden="1" x14ac:dyDescent="0.25">
      <c r="A957" s="319"/>
      <c r="B957" s="319" t="s">
        <v>1273</v>
      </c>
      <c r="C957" s="337">
        <v>73</v>
      </c>
      <c r="D957" s="226">
        <v>54</v>
      </c>
      <c r="E957" s="704" t="s">
        <v>574</v>
      </c>
      <c r="F957" s="305">
        <v>11</v>
      </c>
      <c r="G957" s="305">
        <v>9682</v>
      </c>
      <c r="H957" s="232">
        <v>7766</v>
      </c>
      <c r="I957" s="611">
        <f t="shared" si="239"/>
        <v>8.8231770295393517</v>
      </c>
      <c r="J957" s="611">
        <f t="shared" si="240"/>
        <v>19.823177029539352</v>
      </c>
      <c r="K957" s="612">
        <v>0.4</v>
      </c>
      <c r="L957" s="611">
        <f t="shared" si="241"/>
        <v>27.752447841355092</v>
      </c>
      <c r="M957" s="698">
        <v>55</v>
      </c>
      <c r="N957" s="633"/>
      <c r="O957" s="362"/>
      <c r="P957" s="395" t="s">
        <v>12</v>
      </c>
      <c r="Q957" s="836">
        <v>45429</v>
      </c>
      <c r="R957" s="914">
        <f>+M957*14.5</f>
        <v>797.5</v>
      </c>
    </row>
    <row r="958" spans="1:20" s="178" customFormat="1" ht="15.75" hidden="1" x14ac:dyDescent="0.25">
      <c r="A958" s="319"/>
      <c r="B958" s="319" t="s">
        <v>1273</v>
      </c>
      <c r="C958" s="337">
        <v>74</v>
      </c>
      <c r="D958" s="226">
        <v>44</v>
      </c>
      <c r="E958" s="704" t="s">
        <v>573</v>
      </c>
      <c r="F958" s="305">
        <v>11</v>
      </c>
      <c r="G958" s="305">
        <v>9682</v>
      </c>
      <c r="H958" s="232">
        <v>7766</v>
      </c>
      <c r="I958" s="611">
        <f t="shared" si="239"/>
        <v>8.8231770295393517</v>
      </c>
      <c r="J958" s="611">
        <f t="shared" si="240"/>
        <v>19.823177029539352</v>
      </c>
      <c r="K958" s="612">
        <v>0.4</v>
      </c>
      <c r="L958" s="611">
        <f t="shared" si="241"/>
        <v>27.752447841355092</v>
      </c>
      <c r="M958" s="698">
        <v>55</v>
      </c>
      <c r="N958" s="633"/>
      <c r="O958" s="362"/>
      <c r="P958" s="395" t="s">
        <v>2998</v>
      </c>
      <c r="Q958" s="836">
        <v>45489</v>
      </c>
      <c r="R958" s="914"/>
    </row>
    <row r="959" spans="1:20" s="178" customFormat="1" ht="15.75" x14ac:dyDescent="0.25">
      <c r="A959" s="319"/>
      <c r="B959" s="319" t="s">
        <v>1273</v>
      </c>
      <c r="C959" s="337">
        <v>75</v>
      </c>
      <c r="D959" s="226">
        <v>48</v>
      </c>
      <c r="E959" s="337" t="s">
        <v>573</v>
      </c>
      <c r="F959" s="227">
        <v>11</v>
      </c>
      <c r="G959" s="227">
        <v>9682</v>
      </c>
      <c r="H959" s="226">
        <v>7766</v>
      </c>
      <c r="I959" s="174">
        <f t="shared" si="239"/>
        <v>8.8231770295393517</v>
      </c>
      <c r="J959" s="174">
        <f t="shared" si="240"/>
        <v>19.823177029539352</v>
      </c>
      <c r="K959" s="316">
        <v>0.4</v>
      </c>
      <c r="L959" s="174">
        <f t="shared" si="241"/>
        <v>27.752447841355092</v>
      </c>
      <c r="M959" s="175">
        <v>55</v>
      </c>
      <c r="N959" s="175"/>
      <c r="O959" s="395"/>
      <c r="P959" s="395"/>
      <c r="Q959" s="836"/>
      <c r="R959" s="914"/>
    </row>
    <row r="960" spans="1:20" s="178" customFormat="1" ht="15.75" hidden="1" x14ac:dyDescent="0.25">
      <c r="A960" s="319"/>
      <c r="B960" s="319" t="s">
        <v>1273</v>
      </c>
      <c r="C960" s="337">
        <v>76</v>
      </c>
      <c r="D960" s="226">
        <v>50</v>
      </c>
      <c r="E960" s="704" t="s">
        <v>573</v>
      </c>
      <c r="F960" s="305">
        <v>11</v>
      </c>
      <c r="G960" s="305">
        <v>9682</v>
      </c>
      <c r="H960" s="232">
        <v>7766</v>
      </c>
      <c r="I960" s="611">
        <f t="shared" si="239"/>
        <v>8.8231770295393517</v>
      </c>
      <c r="J960" s="611">
        <f t="shared" si="240"/>
        <v>19.823177029539352</v>
      </c>
      <c r="K960" s="612">
        <v>0.4</v>
      </c>
      <c r="L960" s="611">
        <f t="shared" si="241"/>
        <v>27.752447841355092</v>
      </c>
      <c r="M960" s="698">
        <v>55</v>
      </c>
      <c r="N960" s="633"/>
      <c r="O960" s="362"/>
      <c r="P960" s="395" t="s">
        <v>3008</v>
      </c>
      <c r="Q960" s="836">
        <v>45336</v>
      </c>
      <c r="R960" s="914">
        <f>+M960*8000</f>
        <v>440000</v>
      </c>
    </row>
    <row r="961" spans="1:20" s="178" customFormat="1" ht="15.75" hidden="1" x14ac:dyDescent="0.25">
      <c r="A961" s="319"/>
      <c r="B961" s="319" t="s">
        <v>1273</v>
      </c>
      <c r="C961" s="337">
        <v>77</v>
      </c>
      <c r="D961" s="226">
        <v>46</v>
      </c>
      <c r="E961" s="704" t="s">
        <v>101</v>
      </c>
      <c r="F961" s="305">
        <v>11</v>
      </c>
      <c r="G961" s="305">
        <v>9682</v>
      </c>
      <c r="H961" s="232">
        <v>7766</v>
      </c>
      <c r="I961" s="611">
        <f t="shared" si="239"/>
        <v>8.8231770295393517</v>
      </c>
      <c r="J961" s="611">
        <f t="shared" si="240"/>
        <v>19.823177029539352</v>
      </c>
      <c r="K961" s="612">
        <v>0.4</v>
      </c>
      <c r="L961" s="611">
        <f t="shared" si="241"/>
        <v>27.752447841355092</v>
      </c>
      <c r="M961" s="698">
        <v>45</v>
      </c>
      <c r="N961" s="633"/>
      <c r="O961" s="362"/>
      <c r="P961" s="395" t="s">
        <v>12</v>
      </c>
      <c r="Q961" s="836">
        <v>45428</v>
      </c>
      <c r="R961" s="914">
        <f>+M961*14.5</f>
        <v>652.5</v>
      </c>
    </row>
    <row r="962" spans="1:20" s="178" customFormat="1" ht="15.75" hidden="1" x14ac:dyDescent="0.25">
      <c r="A962" s="319"/>
      <c r="B962" s="319" t="s">
        <v>1273</v>
      </c>
      <c r="C962" s="337">
        <v>78</v>
      </c>
      <c r="D962" s="226">
        <v>48</v>
      </c>
      <c r="E962" s="704" t="s">
        <v>101</v>
      </c>
      <c r="F962" s="305">
        <v>11</v>
      </c>
      <c r="G962" s="305">
        <v>9682</v>
      </c>
      <c r="H962" s="232">
        <v>7766</v>
      </c>
      <c r="I962" s="611">
        <f t="shared" si="239"/>
        <v>8.8231770295393517</v>
      </c>
      <c r="J962" s="611">
        <f t="shared" si="240"/>
        <v>19.823177029539352</v>
      </c>
      <c r="K962" s="612">
        <v>0.4</v>
      </c>
      <c r="L962" s="611">
        <f t="shared" si="241"/>
        <v>27.752447841355092</v>
      </c>
      <c r="M962" s="698">
        <v>55</v>
      </c>
      <c r="N962" s="633"/>
      <c r="O962" s="362"/>
      <c r="P962" s="395" t="s">
        <v>2999</v>
      </c>
      <c r="Q962" s="836">
        <v>45495</v>
      </c>
      <c r="R962" s="914"/>
    </row>
    <row r="963" spans="1:20" s="178" customFormat="1" ht="15.75" hidden="1" x14ac:dyDescent="0.25">
      <c r="A963" s="319"/>
      <c r="B963" s="319" t="s">
        <v>1273</v>
      </c>
      <c r="C963" s="337">
        <v>79</v>
      </c>
      <c r="D963" s="226">
        <v>50</v>
      </c>
      <c r="E963" s="704" t="s">
        <v>101</v>
      </c>
      <c r="F963" s="305">
        <v>11</v>
      </c>
      <c r="G963" s="305">
        <v>9682</v>
      </c>
      <c r="H963" s="232">
        <v>7766</v>
      </c>
      <c r="I963" s="611">
        <f t="shared" si="239"/>
        <v>8.8231770295393517</v>
      </c>
      <c r="J963" s="611">
        <f t="shared" si="240"/>
        <v>19.823177029539352</v>
      </c>
      <c r="K963" s="612">
        <v>0.4</v>
      </c>
      <c r="L963" s="611">
        <f t="shared" si="241"/>
        <v>27.752447841355092</v>
      </c>
      <c r="M963" s="698">
        <v>55</v>
      </c>
      <c r="N963" s="633"/>
      <c r="O963" s="362"/>
      <c r="P963" s="395" t="s">
        <v>396</v>
      </c>
      <c r="Q963" s="836">
        <v>45336</v>
      </c>
      <c r="R963" s="914">
        <f>+M963*8000</f>
        <v>440000</v>
      </c>
    </row>
    <row r="964" spans="1:20" s="238" customFormat="1" ht="15.75" x14ac:dyDescent="0.25">
      <c r="A964" s="676"/>
      <c r="B964" s="676" t="s">
        <v>1273</v>
      </c>
      <c r="D964" s="631">
        <v>44</v>
      </c>
      <c r="E964" s="632" t="s">
        <v>1303</v>
      </c>
      <c r="F964" s="677">
        <v>11</v>
      </c>
      <c r="G964" s="677">
        <v>9682</v>
      </c>
      <c r="H964" s="631">
        <v>7766</v>
      </c>
      <c r="I964" s="663">
        <f t="shared" si="239"/>
        <v>8.8231770295393517</v>
      </c>
      <c r="J964" s="663">
        <f t="shared" si="240"/>
        <v>19.823177029539352</v>
      </c>
      <c r="K964" s="662">
        <v>0.4</v>
      </c>
      <c r="L964" s="663">
        <f t="shared" si="241"/>
        <v>27.752447841355092</v>
      </c>
      <c r="M964" s="633">
        <v>55</v>
      </c>
      <c r="N964" s="633"/>
      <c r="O964" s="494"/>
      <c r="P964" s="494"/>
      <c r="Q964" s="843"/>
      <c r="R964" s="920"/>
    </row>
    <row r="965" spans="1:20" s="178" customFormat="1" ht="15.75" x14ac:dyDescent="0.25">
      <c r="A965" s="319"/>
      <c r="B965" s="319" t="s">
        <v>1273</v>
      </c>
      <c r="C965" s="337">
        <v>80</v>
      </c>
      <c r="D965" s="226">
        <v>48</v>
      </c>
      <c r="E965" s="337" t="s">
        <v>1303</v>
      </c>
      <c r="F965" s="227">
        <v>11</v>
      </c>
      <c r="G965" s="227">
        <v>9682</v>
      </c>
      <c r="H965" s="226">
        <v>7766</v>
      </c>
      <c r="I965" s="174">
        <f t="shared" si="239"/>
        <v>8.8231770295393517</v>
      </c>
      <c r="J965" s="174">
        <f t="shared" si="240"/>
        <v>19.823177029539352</v>
      </c>
      <c r="K965" s="316">
        <v>0.4</v>
      </c>
      <c r="L965" s="174">
        <f t="shared" si="241"/>
        <v>27.752447841355092</v>
      </c>
      <c r="M965" s="175">
        <v>55</v>
      </c>
      <c r="N965" s="633"/>
      <c r="O965" s="362"/>
      <c r="P965" s="395"/>
      <c r="Q965" s="836"/>
      <c r="R965" s="914"/>
    </row>
    <row r="966" spans="1:20" s="178" customFormat="1" ht="15.75" x14ac:dyDescent="0.25">
      <c r="A966" s="319"/>
      <c r="B966" s="319" t="s">
        <v>1273</v>
      </c>
      <c r="C966" s="337">
        <v>81</v>
      </c>
      <c r="D966" s="226">
        <v>50</v>
      </c>
      <c r="E966" s="337" t="s">
        <v>1303</v>
      </c>
      <c r="F966" s="227">
        <v>11</v>
      </c>
      <c r="G966" s="227">
        <v>9682</v>
      </c>
      <c r="H966" s="226">
        <v>7766</v>
      </c>
      <c r="I966" s="174">
        <f t="shared" si="239"/>
        <v>8.8231770295393517</v>
      </c>
      <c r="J966" s="174">
        <f t="shared" si="240"/>
        <v>19.823177029539352</v>
      </c>
      <c r="K966" s="316">
        <v>0.4</v>
      </c>
      <c r="L966" s="174">
        <f t="shared" si="241"/>
        <v>27.752447841355092</v>
      </c>
      <c r="M966" s="175">
        <v>55</v>
      </c>
      <c r="N966" s="633"/>
      <c r="O966" s="362"/>
      <c r="P966" s="395"/>
      <c r="Q966" s="836"/>
      <c r="R966" s="914"/>
    </row>
    <row r="967" spans="1:20" s="178" customFormat="1" ht="15.75" x14ac:dyDescent="0.25">
      <c r="A967" s="319"/>
      <c r="B967" s="319" t="s">
        <v>1273</v>
      </c>
      <c r="C967" s="337">
        <v>82</v>
      </c>
      <c r="D967" s="226">
        <v>38</v>
      </c>
      <c r="E967" s="337" t="s">
        <v>573</v>
      </c>
      <c r="F967" s="227">
        <v>11</v>
      </c>
      <c r="G967" s="227">
        <v>9682</v>
      </c>
      <c r="H967" s="226">
        <v>7766</v>
      </c>
      <c r="I967" s="174">
        <f t="shared" si="239"/>
        <v>8.8231770295393517</v>
      </c>
      <c r="J967" s="174">
        <f t="shared" si="240"/>
        <v>19.823177029539352</v>
      </c>
      <c r="K967" s="316">
        <v>0.4</v>
      </c>
      <c r="L967" s="174">
        <f t="shared" si="241"/>
        <v>27.752447841355092</v>
      </c>
      <c r="M967" s="175">
        <v>55</v>
      </c>
      <c r="N967" s="633"/>
      <c r="O967" s="362"/>
      <c r="P967" s="395"/>
      <c r="Q967" s="836"/>
      <c r="R967" s="914"/>
    </row>
    <row r="968" spans="1:20" s="178" customFormat="1" ht="15.75" x14ac:dyDescent="0.25">
      <c r="A968" s="319"/>
      <c r="B968" s="319" t="s">
        <v>1273</v>
      </c>
      <c r="C968" s="337">
        <v>83</v>
      </c>
      <c r="D968" s="226">
        <v>40</v>
      </c>
      <c r="E968" s="337" t="s">
        <v>573</v>
      </c>
      <c r="F968" s="227">
        <v>11</v>
      </c>
      <c r="G968" s="227">
        <v>9682</v>
      </c>
      <c r="H968" s="226">
        <v>7766</v>
      </c>
      <c r="I968" s="174">
        <f t="shared" si="239"/>
        <v>8.8231770295393517</v>
      </c>
      <c r="J968" s="174">
        <f t="shared" si="240"/>
        <v>19.823177029539352</v>
      </c>
      <c r="K968" s="316">
        <v>0.4</v>
      </c>
      <c r="L968" s="174">
        <f t="shared" si="241"/>
        <v>27.752447841355092</v>
      </c>
      <c r="M968" s="175">
        <v>55</v>
      </c>
      <c r="N968" s="633"/>
      <c r="O968" s="362"/>
      <c r="P968" s="395"/>
      <c r="Q968" s="836"/>
      <c r="R968" s="914"/>
    </row>
    <row r="969" spans="1:20" s="178" customFormat="1" ht="15.75" x14ac:dyDescent="0.25">
      <c r="A969" s="319"/>
      <c r="B969" s="319" t="s">
        <v>1273</v>
      </c>
      <c r="C969" s="337">
        <v>84</v>
      </c>
      <c r="D969" s="226">
        <v>42</v>
      </c>
      <c r="E969" s="337" t="s">
        <v>573</v>
      </c>
      <c r="F969" s="227">
        <v>11</v>
      </c>
      <c r="G969" s="227">
        <v>9682</v>
      </c>
      <c r="H969" s="226">
        <v>7766</v>
      </c>
      <c r="I969" s="174">
        <f t="shared" si="239"/>
        <v>8.8231770295393517</v>
      </c>
      <c r="J969" s="174">
        <f t="shared" si="240"/>
        <v>19.823177029539352</v>
      </c>
      <c r="K969" s="316">
        <v>0.4</v>
      </c>
      <c r="L969" s="174">
        <f t="shared" si="241"/>
        <v>27.752447841355092</v>
      </c>
      <c r="M969" s="175">
        <v>55</v>
      </c>
      <c r="N969" s="633"/>
      <c r="O969" s="362"/>
      <c r="P969" s="395"/>
      <c r="Q969" s="836"/>
      <c r="R969" s="914"/>
    </row>
    <row r="970" spans="1:20" s="238" customFormat="1" ht="15.75" x14ac:dyDescent="0.25">
      <c r="A970" s="676"/>
      <c r="B970" s="676" t="s">
        <v>1273</v>
      </c>
      <c r="D970" s="631">
        <v>44</v>
      </c>
      <c r="E970" s="632" t="s">
        <v>573</v>
      </c>
      <c r="F970" s="677">
        <v>11</v>
      </c>
      <c r="G970" s="677">
        <v>9682</v>
      </c>
      <c r="H970" s="631">
        <v>7766</v>
      </c>
      <c r="I970" s="663">
        <f t="shared" si="239"/>
        <v>8.8231770295393517</v>
      </c>
      <c r="J970" s="663">
        <f t="shared" si="240"/>
        <v>19.823177029539352</v>
      </c>
      <c r="K970" s="662">
        <v>0.4</v>
      </c>
      <c r="L970" s="663">
        <f t="shared" si="241"/>
        <v>27.752447841355092</v>
      </c>
      <c r="M970" s="633">
        <v>55</v>
      </c>
      <c r="N970" s="633"/>
      <c r="O970" s="494"/>
      <c r="P970" s="494"/>
      <c r="Q970" s="843"/>
      <c r="R970" s="920"/>
    </row>
    <row r="971" spans="1:20" s="178" customFormat="1" ht="15.75" x14ac:dyDescent="0.25">
      <c r="A971" s="319"/>
      <c r="B971" s="319" t="s">
        <v>1185</v>
      </c>
      <c r="C971" s="337">
        <v>85</v>
      </c>
      <c r="D971" s="226">
        <v>44</v>
      </c>
      <c r="E971" s="337" t="s">
        <v>656</v>
      </c>
      <c r="F971" s="227">
        <v>11</v>
      </c>
      <c r="G971" s="227">
        <v>9682</v>
      </c>
      <c r="H971" s="226">
        <v>7766</v>
      </c>
      <c r="I971" s="174">
        <f t="shared" si="239"/>
        <v>8.8231770295393517</v>
      </c>
      <c r="J971" s="174">
        <f t="shared" si="240"/>
        <v>19.823177029539352</v>
      </c>
      <c r="K971" s="316">
        <v>0.4</v>
      </c>
      <c r="L971" s="174">
        <f t="shared" si="241"/>
        <v>27.752447841355092</v>
      </c>
      <c r="M971" s="175">
        <v>55</v>
      </c>
      <c r="N971" s="633"/>
      <c r="O971" s="362"/>
      <c r="P971" s="395"/>
      <c r="Q971" s="836"/>
      <c r="R971" s="914"/>
    </row>
    <row r="972" spans="1:20" s="178" customFormat="1" ht="15.75" x14ac:dyDescent="0.25">
      <c r="A972" s="319"/>
      <c r="B972" s="319" t="s">
        <v>1273</v>
      </c>
      <c r="C972" s="337">
        <v>86</v>
      </c>
      <c r="D972" s="226">
        <v>48</v>
      </c>
      <c r="E972" s="337" t="s">
        <v>656</v>
      </c>
      <c r="F972" s="227">
        <v>11</v>
      </c>
      <c r="G972" s="227">
        <v>9682</v>
      </c>
      <c r="H972" s="226">
        <v>7766</v>
      </c>
      <c r="I972" s="174">
        <f t="shared" si="239"/>
        <v>8.8231770295393517</v>
      </c>
      <c r="J972" s="174">
        <f t="shared" si="240"/>
        <v>19.823177029539352</v>
      </c>
      <c r="K972" s="316">
        <v>0.4</v>
      </c>
      <c r="L972" s="174">
        <f t="shared" si="241"/>
        <v>27.752447841355092</v>
      </c>
      <c r="M972" s="175">
        <v>55</v>
      </c>
      <c r="N972" s="633"/>
      <c r="O972" s="362"/>
      <c r="P972" s="395"/>
      <c r="Q972" s="836"/>
      <c r="R972" s="914"/>
    </row>
    <row r="973" spans="1:20" s="178" customFormat="1" ht="15.75" x14ac:dyDescent="0.25">
      <c r="A973" s="319"/>
      <c r="B973" s="319" t="s">
        <v>1273</v>
      </c>
      <c r="C973" s="337">
        <v>87</v>
      </c>
      <c r="D973" s="226">
        <v>50</v>
      </c>
      <c r="E973" s="337" t="s">
        <v>656</v>
      </c>
      <c r="F973" s="227">
        <v>11</v>
      </c>
      <c r="G973" s="227">
        <v>9682</v>
      </c>
      <c r="H973" s="226">
        <v>7766</v>
      </c>
      <c r="I973" s="174">
        <f t="shared" si="239"/>
        <v>8.8231770295393517</v>
      </c>
      <c r="J973" s="174">
        <f t="shared" si="240"/>
        <v>19.823177029539352</v>
      </c>
      <c r="K973" s="316">
        <v>0.4</v>
      </c>
      <c r="L973" s="174">
        <f t="shared" si="241"/>
        <v>27.752447841355092</v>
      </c>
      <c r="M973" s="175">
        <v>55</v>
      </c>
      <c r="N973" s="633"/>
      <c r="O973" s="362"/>
      <c r="P973" s="395"/>
      <c r="Q973" s="836"/>
      <c r="R973" s="914"/>
    </row>
    <row r="974" spans="1:20" s="178" customFormat="1" ht="15.75" hidden="1" x14ac:dyDescent="0.25">
      <c r="A974" s="319" t="s">
        <v>1288</v>
      </c>
      <c r="B974" s="319" t="s">
        <v>1313</v>
      </c>
      <c r="C974" s="337">
        <v>88</v>
      </c>
      <c r="D974" s="178" t="s">
        <v>506</v>
      </c>
      <c r="E974" s="704" t="s">
        <v>1289</v>
      </c>
      <c r="F974" s="232">
        <v>6</v>
      </c>
      <c r="G974" s="305">
        <v>9682</v>
      </c>
      <c r="H974" s="232">
        <v>7766</v>
      </c>
      <c r="I974" s="611">
        <f t="shared" si="239"/>
        <v>4.8126420161123731</v>
      </c>
      <c r="J974" s="611">
        <f t="shared" si="240"/>
        <v>10.812642016112374</v>
      </c>
      <c r="K974" s="612">
        <v>0.4</v>
      </c>
      <c r="L974" s="611">
        <f t="shared" si="241"/>
        <v>15.137698822557322</v>
      </c>
      <c r="M974" s="698">
        <v>30</v>
      </c>
      <c r="N974" s="633"/>
      <c r="O974" s="362"/>
      <c r="P974" s="395" t="s">
        <v>12</v>
      </c>
      <c r="Q974" s="836">
        <v>45377</v>
      </c>
      <c r="R974" s="914">
        <f>+M974*20000</f>
        <v>600000</v>
      </c>
    </row>
    <row r="975" spans="1:20" s="149" customFormat="1" ht="15" customHeight="1" outlineLevel="1" x14ac:dyDescent="0.25">
      <c r="A975" s="319"/>
      <c r="B975" s="319"/>
      <c r="C975" s="178"/>
      <c r="D975" s="337"/>
      <c r="E975" s="549"/>
      <c r="F975" s="226"/>
      <c r="G975" s="227"/>
      <c r="H975" s="226"/>
      <c r="I975" s="338"/>
      <c r="J975" s="338"/>
      <c r="K975" s="340"/>
      <c r="L975" s="338"/>
      <c r="M975" s="175"/>
      <c r="N975" s="633"/>
      <c r="O975" s="395"/>
      <c r="P975" s="395"/>
      <c r="Q975" s="836"/>
      <c r="R975" s="914"/>
      <c r="S975" s="178"/>
      <c r="T975" s="178"/>
    </row>
    <row r="976" spans="1:20" s="149" customFormat="1" ht="15" customHeight="1" outlineLevel="1" x14ac:dyDescent="0.25">
      <c r="A976" s="169"/>
      <c r="B976" s="331"/>
      <c r="C976" s="337"/>
      <c r="D976" s="337"/>
      <c r="E976" s="337"/>
      <c r="F976" s="338"/>
      <c r="G976" s="339"/>
      <c r="H976" s="338"/>
      <c r="I976" s="338"/>
      <c r="J976" s="338"/>
      <c r="K976" s="340"/>
      <c r="L976" s="338"/>
      <c r="M976" s="341"/>
      <c r="N976" s="675"/>
      <c r="O976" s="169"/>
      <c r="P976" s="169"/>
      <c r="Q976" s="835"/>
      <c r="R976" s="580"/>
      <c r="S976" s="337"/>
      <c r="T976" s="337"/>
    </row>
    <row r="977" spans="1:20" s="149" customFormat="1" ht="15" customHeight="1" outlineLevel="1" x14ac:dyDescent="0.25">
      <c r="A977" s="154"/>
      <c r="B977" s="393"/>
      <c r="C977" s="500"/>
      <c r="D977" s="501"/>
      <c r="E977" s="393" t="s">
        <v>160</v>
      </c>
      <c r="F977" s="167">
        <f>SUM(F874:F913)</f>
        <v>489</v>
      </c>
      <c r="G977" s="167"/>
      <c r="H977" s="167"/>
      <c r="I977" s="167"/>
      <c r="J977" s="167"/>
      <c r="K977" s="167"/>
      <c r="L977" s="167">
        <f>SUM(L874:L913)</f>
        <v>1521.8599623549439</v>
      </c>
      <c r="M977" s="167">
        <f>SUM(M874:M913)</f>
        <v>2046</v>
      </c>
      <c r="N977" s="404"/>
      <c r="O977" s="177"/>
      <c r="P977" s="177"/>
      <c r="Q977" s="850"/>
      <c r="R977" s="926">
        <f>SUM(R874:R874)</f>
        <v>0</v>
      </c>
      <c r="S977" s="154"/>
      <c r="T977" s="154"/>
    </row>
    <row r="978" spans="1:20" ht="15" customHeight="1" outlineLevel="1" x14ac:dyDescent="0.25">
      <c r="A978" s="154">
        <v>2022</v>
      </c>
      <c r="B978" s="393">
        <v>73</v>
      </c>
      <c r="C978" s="500">
        <v>-19</v>
      </c>
      <c r="D978" s="501">
        <f>+B978+C978</f>
        <v>54</v>
      </c>
      <c r="E978" s="393"/>
      <c r="F978" s="150"/>
      <c r="G978" s="191"/>
      <c r="H978" s="191"/>
      <c r="I978" s="150"/>
      <c r="J978" s="150"/>
      <c r="K978" s="342"/>
      <c r="L978" s="394">
        <f t="shared" ref="L978:L989" si="242">+J978*K978+J978</f>
        <v>0</v>
      </c>
      <c r="M978" s="348">
        <f>+M977/F977</f>
        <v>4.1840490797546011</v>
      </c>
      <c r="N978" s="744"/>
      <c r="O978" s="393"/>
      <c r="P978" s="191"/>
      <c r="Q978" s="837"/>
      <c r="R978" s="915"/>
      <c r="S978" s="12"/>
      <c r="T978" s="12"/>
    </row>
    <row r="979" spans="1:20" ht="15" customHeight="1" outlineLevel="1" x14ac:dyDescent="0.25">
      <c r="A979" s="154">
        <v>2023</v>
      </c>
      <c r="B979" s="393">
        <v>132</v>
      </c>
      <c r="C979" s="500">
        <v>-44</v>
      </c>
      <c r="D979" s="501">
        <f>+B979+C979</f>
        <v>88</v>
      </c>
      <c r="E979" s="393" t="s">
        <v>1777</v>
      </c>
      <c r="F979" s="150"/>
      <c r="G979" s="191"/>
      <c r="H979" s="191"/>
      <c r="I979" s="150"/>
      <c r="J979" s="150"/>
      <c r="K979" s="342"/>
      <c r="M979" s="348"/>
      <c r="N979" s="744"/>
      <c r="O979" s="393"/>
      <c r="P979" s="191"/>
      <c r="Q979" s="837"/>
      <c r="R979" s="915"/>
      <c r="S979" s="12"/>
      <c r="T979" s="12"/>
    </row>
    <row r="980" spans="1:20" ht="15" customHeight="1" outlineLevel="1" x14ac:dyDescent="0.25">
      <c r="B980" s="393"/>
      <c r="C980" s="500"/>
      <c r="D980" s="501"/>
      <c r="E980" s="393"/>
      <c r="F980" s="150"/>
      <c r="G980" s="191"/>
      <c r="H980" s="191"/>
      <c r="I980" s="150"/>
      <c r="J980" s="150"/>
      <c r="K980" s="342"/>
      <c r="M980" s="348"/>
      <c r="N980" s="744"/>
      <c r="O980" s="393"/>
      <c r="P980" s="191"/>
      <c r="Q980" s="837"/>
      <c r="R980" s="915"/>
      <c r="S980" s="12"/>
      <c r="T980" s="12"/>
    </row>
    <row r="981" spans="1:20" s="178" customFormat="1" ht="21" x14ac:dyDescent="0.35">
      <c r="C981" s="225"/>
      <c r="D981" s="318"/>
      <c r="E981" s="670" t="s">
        <v>1545</v>
      </c>
      <c r="G981" s="379" t="s">
        <v>1545</v>
      </c>
      <c r="H981" s="175"/>
      <c r="I981" s="227">
        <v>5278</v>
      </c>
      <c r="J981" s="226"/>
      <c r="K981" s="174"/>
      <c r="L981" s="174"/>
      <c r="M981" s="316"/>
      <c r="N981" s="662"/>
      <c r="Q981" s="836"/>
      <c r="R981" s="914"/>
    </row>
    <row r="982" spans="1:20" s="178" customFormat="1" ht="18.75" customHeight="1" x14ac:dyDescent="0.35">
      <c r="B982" s="653">
        <v>45170</v>
      </c>
      <c r="C982" s="225"/>
      <c r="D982" s="318"/>
      <c r="E982" s="670"/>
      <c r="G982" s="379"/>
      <c r="H982" s="175"/>
      <c r="I982" s="227"/>
      <c r="J982" s="226"/>
      <c r="K982" s="174"/>
      <c r="L982" s="174"/>
      <c r="M982" s="316"/>
      <c r="N982" s="662"/>
      <c r="Q982" s="836"/>
      <c r="R982" s="914"/>
    </row>
    <row r="983" spans="1:20" s="178" customFormat="1" x14ac:dyDescent="0.25">
      <c r="A983" s="178" t="s">
        <v>765</v>
      </c>
      <c r="B983" s="319" t="s">
        <v>1578</v>
      </c>
      <c r="C983" s="178">
        <v>1</v>
      </c>
      <c r="D983" s="178">
        <v>52</v>
      </c>
      <c r="E983" s="347" t="s">
        <v>1546</v>
      </c>
      <c r="F983" s="175">
        <v>10</v>
      </c>
      <c r="G983" s="227">
        <v>5278</v>
      </c>
      <c r="H983" s="226">
        <v>7702</v>
      </c>
      <c r="I983" s="338">
        <f>+F983/G983*H983</f>
        <v>14.592648730579766</v>
      </c>
      <c r="J983" s="614">
        <f>+F983+I983</f>
        <v>24.592648730579768</v>
      </c>
      <c r="K983" s="316">
        <v>0.4</v>
      </c>
      <c r="L983" s="174">
        <f>+J983*1.4</f>
        <v>34.429708222811669</v>
      </c>
      <c r="M983" s="178">
        <v>40</v>
      </c>
      <c r="N983" s="238"/>
      <c r="O983" s="590"/>
      <c r="Q983" s="836"/>
      <c r="R983" s="914"/>
    </row>
    <row r="984" spans="1:20" s="178" customFormat="1" x14ac:dyDescent="0.25">
      <c r="A984" s="178" t="s">
        <v>765</v>
      </c>
      <c r="B984" s="319" t="s">
        <v>1578</v>
      </c>
      <c r="C984" s="178">
        <v>2</v>
      </c>
      <c r="D984" s="178">
        <v>54</v>
      </c>
      <c r="E984" s="347" t="s">
        <v>1546</v>
      </c>
      <c r="F984" s="175">
        <v>10</v>
      </c>
      <c r="G984" s="227">
        <v>5278</v>
      </c>
      <c r="H984" s="226">
        <v>7702</v>
      </c>
      <c r="I984" s="338">
        <f>+F984/G984*H984</f>
        <v>14.592648730579766</v>
      </c>
      <c r="J984" s="614">
        <f>+F984+I984</f>
        <v>24.592648730579768</v>
      </c>
      <c r="K984" s="316">
        <v>0.4</v>
      </c>
      <c r="L984" s="174">
        <f>+J984*1.4</f>
        <v>34.429708222811669</v>
      </c>
      <c r="M984" s="178">
        <v>40</v>
      </c>
      <c r="N984" s="238"/>
      <c r="O984" s="590"/>
      <c r="Q984" s="836"/>
      <c r="R984" s="914"/>
    </row>
    <row r="985" spans="1:20" s="178" customFormat="1" x14ac:dyDescent="0.25">
      <c r="A985" s="178" t="s">
        <v>765</v>
      </c>
      <c r="B985" s="319" t="s">
        <v>1578</v>
      </c>
      <c r="C985" s="178">
        <v>3</v>
      </c>
      <c r="D985" s="178">
        <v>58</v>
      </c>
      <c r="E985" s="347" t="s">
        <v>1546</v>
      </c>
      <c r="F985" s="175">
        <v>10</v>
      </c>
      <c r="G985" s="227">
        <v>5278</v>
      </c>
      <c r="H985" s="226">
        <v>7702</v>
      </c>
      <c r="I985" s="338">
        <f>+F985/G985*H985</f>
        <v>14.592648730579766</v>
      </c>
      <c r="J985" s="614">
        <f>+F985+I985</f>
        <v>24.592648730579768</v>
      </c>
      <c r="K985" s="316">
        <v>0.4</v>
      </c>
      <c r="L985" s="174">
        <f>+J985*1.4</f>
        <v>34.429708222811669</v>
      </c>
      <c r="M985" s="178">
        <v>40</v>
      </c>
      <c r="N985" s="238"/>
      <c r="O985" s="590"/>
      <c r="Q985" s="836"/>
      <c r="R985" s="914"/>
    </row>
    <row r="986" spans="1:20" s="178" customFormat="1" x14ac:dyDescent="0.25">
      <c r="B986" s="319"/>
      <c r="E986" s="347"/>
      <c r="F986" s="175"/>
      <c r="G986" s="227"/>
      <c r="H986" s="226"/>
      <c r="I986" s="338"/>
      <c r="J986" s="614"/>
      <c r="K986" s="316"/>
      <c r="L986" s="174"/>
      <c r="N986" s="238"/>
      <c r="Q986" s="836"/>
      <c r="R986" s="914"/>
    </row>
    <row r="987" spans="1:20" s="149" customFormat="1" ht="18.75" customHeight="1" outlineLevel="1" x14ac:dyDescent="0.35">
      <c r="B987" s="393"/>
      <c r="C987" s="500"/>
      <c r="D987" s="501"/>
      <c r="E987" s="670" t="s">
        <v>147</v>
      </c>
      <c r="F987" s="167"/>
      <c r="G987" s="393"/>
      <c r="H987" s="393"/>
      <c r="I987" s="167"/>
      <c r="J987" s="167"/>
      <c r="K987" s="729"/>
      <c r="L987" s="394">
        <f t="shared" si="242"/>
        <v>0</v>
      </c>
      <c r="M987" s="167"/>
      <c r="N987" s="404"/>
      <c r="O987" s="393"/>
      <c r="P987" s="393"/>
      <c r="Q987" s="850"/>
      <c r="R987" s="926"/>
      <c r="S987" s="154"/>
      <c r="T987" s="154"/>
    </row>
    <row r="988" spans="1:20" s="149" customFormat="1" ht="15" customHeight="1" outlineLevel="1" x14ac:dyDescent="0.25">
      <c r="A988" s="154"/>
      <c r="B988" s="393" t="s">
        <v>273</v>
      </c>
      <c r="C988" s="395"/>
      <c r="D988" s="395"/>
      <c r="E988" s="395"/>
      <c r="F988" s="394"/>
      <c r="G988" s="395"/>
      <c r="H988" s="395"/>
      <c r="I988" s="394"/>
      <c r="J988" s="394"/>
      <c r="K988" s="491"/>
      <c r="L988" s="394">
        <f t="shared" si="242"/>
        <v>0</v>
      </c>
      <c r="M988" s="394"/>
      <c r="N988" s="504"/>
      <c r="O988" s="395"/>
      <c r="P988" s="395"/>
      <c r="Q988" s="833"/>
      <c r="R988" s="912"/>
    </row>
    <row r="989" spans="1:20" s="149" customFormat="1" ht="15" customHeight="1" outlineLevel="1" x14ac:dyDescent="0.25">
      <c r="A989" s="154"/>
      <c r="B989" s="395" t="s">
        <v>289</v>
      </c>
      <c r="C989" s="395">
        <v>1</v>
      </c>
      <c r="D989" s="395">
        <v>2</v>
      </c>
      <c r="E989" s="395" t="s">
        <v>286</v>
      </c>
      <c r="F989" s="394">
        <v>4.5</v>
      </c>
      <c r="G989" s="395">
        <v>8277</v>
      </c>
      <c r="H989" s="395">
        <v>15182</v>
      </c>
      <c r="I989" s="394">
        <f>+F989/G989*H989</f>
        <v>8.2540775643349029</v>
      </c>
      <c r="J989" s="394">
        <f>+F989+I989</f>
        <v>12.754077564334903</v>
      </c>
      <c r="K989" s="492">
        <v>0.3</v>
      </c>
      <c r="L989" s="394">
        <f t="shared" si="242"/>
        <v>16.580300833635373</v>
      </c>
      <c r="M989" s="394">
        <v>30</v>
      </c>
      <c r="N989" s="504"/>
      <c r="O989" s="362"/>
      <c r="P989" s="395"/>
      <c r="Q989" s="833"/>
      <c r="R989" s="396"/>
    </row>
    <row r="990" spans="1:20" s="149" customFormat="1" ht="15" customHeight="1" outlineLevel="1" x14ac:dyDescent="0.25">
      <c r="A990" s="154"/>
      <c r="B990" s="395" t="s">
        <v>289</v>
      </c>
      <c r="C990" s="395">
        <v>2</v>
      </c>
      <c r="D990" s="395">
        <v>2</v>
      </c>
      <c r="E990" s="395" t="s">
        <v>286</v>
      </c>
      <c r="F990" s="394">
        <v>4.5</v>
      </c>
      <c r="G990" s="395">
        <v>8277</v>
      </c>
      <c r="H990" s="395">
        <v>15182</v>
      </c>
      <c r="I990" s="394">
        <f>+F990/G990*H990</f>
        <v>8.2540775643349029</v>
      </c>
      <c r="J990" s="394">
        <f>+F990+I990</f>
        <v>12.754077564334903</v>
      </c>
      <c r="K990" s="492">
        <v>0.3</v>
      </c>
      <c r="L990" s="394">
        <f t="shared" ref="L990" si="243">+J990*K990+J990</f>
        <v>16.580300833635373</v>
      </c>
      <c r="M990" s="394">
        <v>30</v>
      </c>
      <c r="N990" s="504"/>
      <c r="O990" s="362"/>
      <c r="P990" s="395"/>
      <c r="Q990" s="833"/>
      <c r="R990" s="396"/>
    </row>
    <row r="991" spans="1:20" s="149" customFormat="1" ht="15" customHeight="1" outlineLevel="1" x14ac:dyDescent="0.25">
      <c r="A991" s="154"/>
      <c r="B991" s="395"/>
      <c r="C991" s="395"/>
      <c r="D991" s="395"/>
      <c r="E991" s="393" t="s">
        <v>310</v>
      </c>
      <c r="F991" s="167"/>
      <c r="G991" s="395"/>
      <c r="H991" s="395"/>
      <c r="I991" s="394"/>
      <c r="J991" s="394"/>
      <c r="K991" s="492"/>
      <c r="L991" s="394">
        <f t="shared" ref="L991:L1011" si="244">+J991*K991+J991</f>
        <v>0</v>
      </c>
      <c r="M991" s="394"/>
      <c r="N991" s="504"/>
      <c r="O991" s="395"/>
      <c r="P991" s="395"/>
      <c r="Q991" s="833"/>
      <c r="R991" s="396"/>
    </row>
    <row r="992" spans="1:20" s="149" customFormat="1" ht="15" customHeight="1" outlineLevel="1" x14ac:dyDescent="0.25">
      <c r="A992" s="154"/>
      <c r="B992" s="395" t="s">
        <v>306</v>
      </c>
      <c r="C992" s="395">
        <v>3</v>
      </c>
      <c r="D992" s="395">
        <v>40</v>
      </c>
      <c r="E992" s="395" t="s">
        <v>307</v>
      </c>
      <c r="F992" s="394">
        <v>8</v>
      </c>
      <c r="G992" s="395">
        <v>5000</v>
      </c>
      <c r="H992" s="395">
        <v>8919</v>
      </c>
      <c r="I992" s="394">
        <f t="shared" ref="I992:I993" si="245">+F992/G992*H992</f>
        <v>14.2704</v>
      </c>
      <c r="J992" s="394">
        <f t="shared" ref="J992:J993" si="246">+F992+I992</f>
        <v>22.270400000000002</v>
      </c>
      <c r="K992" s="492">
        <v>0.3</v>
      </c>
      <c r="L992" s="394">
        <f t="shared" si="244"/>
        <v>28.951520000000002</v>
      </c>
      <c r="M992" s="394">
        <v>35</v>
      </c>
      <c r="N992" s="504"/>
      <c r="O992" s="362"/>
      <c r="P992" s="395"/>
      <c r="Q992" s="833"/>
      <c r="R992" s="396"/>
    </row>
    <row r="993" spans="1:20" s="395" customFormat="1" ht="15.75" outlineLevel="1" x14ac:dyDescent="0.25">
      <c r="A993" s="154"/>
      <c r="B993" s="395" t="s">
        <v>306</v>
      </c>
      <c r="C993" s="395">
        <v>4</v>
      </c>
      <c r="D993" s="395">
        <v>46</v>
      </c>
      <c r="E993" s="395" t="s">
        <v>307</v>
      </c>
      <c r="F993" s="394">
        <v>8</v>
      </c>
      <c r="G993" s="395">
        <v>5000</v>
      </c>
      <c r="H993" s="395">
        <v>8919</v>
      </c>
      <c r="I993" s="394">
        <f t="shared" si="245"/>
        <v>14.2704</v>
      </c>
      <c r="J993" s="394">
        <f t="shared" si="246"/>
        <v>22.270400000000002</v>
      </c>
      <c r="K993" s="492">
        <v>0.3</v>
      </c>
      <c r="L993" s="394">
        <f t="shared" si="244"/>
        <v>28.951520000000002</v>
      </c>
      <c r="M993" s="394">
        <v>35</v>
      </c>
      <c r="N993" s="504"/>
      <c r="O993" s="362"/>
      <c r="P993" s="395" t="s">
        <v>1724</v>
      </c>
      <c r="Q993" s="833"/>
      <c r="R993" s="396"/>
      <c r="S993" s="149"/>
      <c r="T993" s="149"/>
    </row>
    <row r="994" spans="1:20" s="395" customFormat="1" ht="15.75" outlineLevel="1" x14ac:dyDescent="0.25">
      <c r="A994" s="154"/>
      <c r="E994" s="393" t="s">
        <v>335</v>
      </c>
      <c r="F994" s="167"/>
      <c r="I994" s="394"/>
      <c r="J994" s="394"/>
      <c r="K994" s="492"/>
      <c r="L994" s="394">
        <f t="shared" si="244"/>
        <v>0</v>
      </c>
      <c r="M994" s="394"/>
      <c r="N994" s="504"/>
      <c r="Q994" s="833"/>
      <c r="R994" s="396"/>
      <c r="S994" s="149"/>
      <c r="T994" s="149"/>
    </row>
    <row r="995" spans="1:20" s="395" customFormat="1" ht="15.75" hidden="1" outlineLevel="1" x14ac:dyDescent="0.25">
      <c r="A995" s="393"/>
      <c r="B995" s="395" t="s">
        <v>374</v>
      </c>
      <c r="C995" s="395">
        <v>5</v>
      </c>
      <c r="D995" s="395" t="s">
        <v>502</v>
      </c>
      <c r="E995" s="317" t="s">
        <v>376</v>
      </c>
      <c r="F995" s="493">
        <v>9</v>
      </c>
      <c r="G995" s="509">
        <v>5690</v>
      </c>
      <c r="H995" s="493">
        <v>9443</v>
      </c>
      <c r="I995" s="493">
        <f t="shared" ref="I995:I999" si="247">+F995/G995*H995</f>
        <v>14.936203866432338</v>
      </c>
      <c r="J995" s="493">
        <f t="shared" ref="J995:J999" si="248">+F995+I995</f>
        <v>23.936203866432336</v>
      </c>
      <c r="K995" s="533">
        <v>0.3</v>
      </c>
      <c r="L995" s="493">
        <f t="shared" si="244"/>
        <v>31.117065026362038</v>
      </c>
      <c r="M995" s="493">
        <v>45</v>
      </c>
      <c r="N995" s="504">
        <v>10</v>
      </c>
      <c r="O995" s="362"/>
      <c r="P995" s="395" t="s">
        <v>12</v>
      </c>
      <c r="Q995" s="833">
        <v>45462</v>
      </c>
      <c r="R995" s="396"/>
    </row>
    <row r="996" spans="1:20" s="395" customFormat="1" ht="15.75" outlineLevel="1" x14ac:dyDescent="0.25">
      <c r="A996" s="393"/>
      <c r="B996" s="395" t="s">
        <v>374</v>
      </c>
      <c r="C996" s="395">
        <v>6</v>
      </c>
      <c r="D996" s="395" t="s">
        <v>503</v>
      </c>
      <c r="E996" s="395" t="s">
        <v>376</v>
      </c>
      <c r="F996" s="394">
        <v>9</v>
      </c>
      <c r="G996" s="179">
        <v>5690</v>
      </c>
      <c r="H996" s="394">
        <v>9443</v>
      </c>
      <c r="I996" s="394">
        <f t="shared" si="247"/>
        <v>14.936203866432338</v>
      </c>
      <c r="J996" s="394">
        <f t="shared" si="248"/>
        <v>23.936203866432336</v>
      </c>
      <c r="K996" s="491">
        <v>0.3</v>
      </c>
      <c r="L996" s="394">
        <f t="shared" si="244"/>
        <v>31.117065026362038</v>
      </c>
      <c r="M996" s="394">
        <v>45</v>
      </c>
      <c r="N996" s="504"/>
      <c r="O996" s="362"/>
      <c r="Q996" s="833"/>
      <c r="R996" s="396"/>
    </row>
    <row r="997" spans="1:20" s="494" customFormat="1" ht="15.75" outlineLevel="1" x14ac:dyDescent="0.25">
      <c r="A997" s="428"/>
      <c r="B997" s="494" t="s">
        <v>374</v>
      </c>
      <c r="E997" s="494" t="s">
        <v>377</v>
      </c>
      <c r="F997" s="504">
        <v>12</v>
      </c>
      <c r="G997" s="585">
        <v>5690</v>
      </c>
      <c r="H997" s="504">
        <v>9443</v>
      </c>
      <c r="I997" s="504">
        <f t="shared" si="247"/>
        <v>19.91493848857645</v>
      </c>
      <c r="J997" s="504">
        <f t="shared" si="248"/>
        <v>31.91493848857645</v>
      </c>
      <c r="K997" s="671">
        <v>0.3</v>
      </c>
      <c r="L997" s="504">
        <f t="shared" si="244"/>
        <v>41.489420035149386</v>
      </c>
      <c r="M997" s="504">
        <v>45</v>
      </c>
      <c r="N997" s="504"/>
      <c r="Q997" s="841"/>
      <c r="R997" s="918"/>
    </row>
    <row r="998" spans="1:20" s="395" customFormat="1" ht="15.75" outlineLevel="1" x14ac:dyDescent="0.25">
      <c r="A998" s="395" t="s">
        <v>304</v>
      </c>
      <c r="B998" s="395" t="s">
        <v>373</v>
      </c>
      <c r="C998" s="395">
        <v>7</v>
      </c>
      <c r="D998" s="395">
        <v>48</v>
      </c>
      <c r="E998" s="395" t="s">
        <v>367</v>
      </c>
      <c r="F998" s="394">
        <v>13</v>
      </c>
      <c r="G998" s="179">
        <v>5690</v>
      </c>
      <c r="H998" s="394">
        <v>9443</v>
      </c>
      <c r="I998" s="394">
        <f t="shared" si="247"/>
        <v>21.574516695957819</v>
      </c>
      <c r="J998" s="394">
        <f t="shared" si="248"/>
        <v>34.574516695957819</v>
      </c>
      <c r="K998" s="491">
        <v>0.3</v>
      </c>
      <c r="L998" s="394">
        <f t="shared" si="244"/>
        <v>44.946871704745163</v>
      </c>
      <c r="M998" s="394">
        <v>35</v>
      </c>
      <c r="N998" s="504"/>
      <c r="O998" s="362"/>
      <c r="Q998" s="833"/>
      <c r="R998" s="396"/>
    </row>
    <row r="999" spans="1:20" s="395" customFormat="1" ht="15.75" outlineLevel="1" x14ac:dyDescent="0.25">
      <c r="A999" s="395" t="s">
        <v>304</v>
      </c>
      <c r="B999" s="395" t="s">
        <v>373</v>
      </c>
      <c r="C999" s="395">
        <v>8</v>
      </c>
      <c r="D999" s="395">
        <v>44</v>
      </c>
      <c r="E999" s="395" t="s">
        <v>367</v>
      </c>
      <c r="F999" s="394">
        <v>13</v>
      </c>
      <c r="G999" s="179">
        <v>5690</v>
      </c>
      <c r="H999" s="394">
        <v>9443</v>
      </c>
      <c r="I999" s="394">
        <f t="shared" si="247"/>
        <v>21.574516695957819</v>
      </c>
      <c r="J999" s="394">
        <f t="shared" si="248"/>
        <v>34.574516695957819</v>
      </c>
      <c r="K999" s="491">
        <v>0.3</v>
      </c>
      <c r="L999" s="394">
        <f t="shared" si="244"/>
        <v>44.946871704745163</v>
      </c>
      <c r="M999" s="394">
        <v>35</v>
      </c>
      <c r="N999" s="504"/>
      <c r="O999" s="362"/>
      <c r="Q999" s="833"/>
      <c r="R999" s="396"/>
    </row>
    <row r="1000" spans="1:20" s="395" customFormat="1" ht="15.75" outlineLevel="1" x14ac:dyDescent="0.25">
      <c r="A1000" s="393" t="s">
        <v>203</v>
      </c>
      <c r="B1000" s="395" t="s">
        <v>203</v>
      </c>
      <c r="C1000" s="395">
        <v>9</v>
      </c>
      <c r="D1000" s="395" t="s">
        <v>503</v>
      </c>
      <c r="E1000" s="395" t="s">
        <v>386</v>
      </c>
      <c r="F1000" s="394">
        <v>6</v>
      </c>
      <c r="G1000" s="179"/>
      <c r="H1000" s="394"/>
      <c r="I1000" s="394"/>
      <c r="J1000" s="394"/>
      <c r="K1000" s="491"/>
      <c r="L1000" s="394">
        <f t="shared" si="244"/>
        <v>0</v>
      </c>
      <c r="M1000" s="394">
        <v>25</v>
      </c>
      <c r="N1000" s="504"/>
      <c r="O1000" s="362"/>
      <c r="Q1000" s="833"/>
      <c r="R1000" s="396"/>
    </row>
    <row r="1001" spans="1:20" s="395" customFormat="1" ht="15.75" outlineLevel="1" x14ac:dyDescent="0.25">
      <c r="A1001" s="393" t="s">
        <v>203</v>
      </c>
      <c r="B1001" s="395" t="s">
        <v>203</v>
      </c>
      <c r="C1001" s="395">
        <v>10</v>
      </c>
      <c r="D1001" s="395" t="s">
        <v>501</v>
      </c>
      <c r="E1001" s="395" t="s">
        <v>386</v>
      </c>
      <c r="F1001" s="394">
        <v>6</v>
      </c>
      <c r="G1001" s="179"/>
      <c r="H1001" s="394"/>
      <c r="I1001" s="394"/>
      <c r="J1001" s="394"/>
      <c r="K1001" s="491"/>
      <c r="L1001" s="394">
        <f t="shared" si="244"/>
        <v>0</v>
      </c>
      <c r="M1001" s="394">
        <v>25</v>
      </c>
      <c r="N1001" s="504"/>
      <c r="O1001" s="362"/>
      <c r="Q1001" s="833"/>
      <c r="R1001" s="396"/>
    </row>
    <row r="1002" spans="1:20" s="395" customFormat="1" ht="15.75" outlineLevel="1" x14ac:dyDescent="0.25">
      <c r="A1002" s="393" t="s">
        <v>203</v>
      </c>
      <c r="B1002" s="395" t="s">
        <v>203</v>
      </c>
      <c r="C1002" s="395">
        <v>11</v>
      </c>
      <c r="D1002" s="395" t="s">
        <v>503</v>
      </c>
      <c r="E1002" s="395" t="s">
        <v>979</v>
      </c>
      <c r="F1002" s="394">
        <v>6</v>
      </c>
      <c r="G1002" s="179"/>
      <c r="H1002" s="394"/>
      <c r="I1002" s="394"/>
      <c r="J1002" s="394"/>
      <c r="K1002" s="491"/>
      <c r="L1002" s="394">
        <f t="shared" si="244"/>
        <v>0</v>
      </c>
      <c r="M1002" s="394">
        <v>25</v>
      </c>
      <c r="N1002" s="504"/>
      <c r="O1002" s="362"/>
      <c r="Q1002" s="833"/>
      <c r="R1002" s="396"/>
    </row>
    <row r="1003" spans="1:20" s="395" customFormat="1" ht="15.75" outlineLevel="1" x14ac:dyDescent="0.25">
      <c r="A1003" s="393"/>
      <c r="B1003" s="395" t="s">
        <v>203</v>
      </c>
      <c r="C1003" s="395">
        <v>12</v>
      </c>
      <c r="D1003" s="395" t="s">
        <v>504</v>
      </c>
      <c r="E1003" s="395" t="s">
        <v>979</v>
      </c>
      <c r="F1003" s="394">
        <v>6</v>
      </c>
      <c r="G1003" s="179"/>
      <c r="H1003" s="394"/>
      <c r="I1003" s="394"/>
      <c r="J1003" s="394"/>
      <c r="K1003" s="491"/>
      <c r="L1003" s="394">
        <f t="shared" si="244"/>
        <v>0</v>
      </c>
      <c r="M1003" s="394">
        <v>25</v>
      </c>
      <c r="N1003" s="504"/>
      <c r="O1003" s="362"/>
      <c r="Q1003" s="833"/>
      <c r="R1003" s="396"/>
    </row>
    <row r="1004" spans="1:20" s="395" customFormat="1" ht="15.75" outlineLevel="1" x14ac:dyDescent="0.25">
      <c r="A1004" s="393"/>
      <c r="B1004" s="395" t="s">
        <v>203</v>
      </c>
      <c r="C1004" s="395">
        <v>13</v>
      </c>
      <c r="D1004" s="395" t="s">
        <v>503</v>
      </c>
      <c r="E1004" s="395" t="s">
        <v>387</v>
      </c>
      <c r="F1004" s="394">
        <v>6</v>
      </c>
      <c r="G1004" s="179"/>
      <c r="H1004" s="394"/>
      <c r="I1004" s="394"/>
      <c r="J1004" s="394"/>
      <c r="K1004" s="491"/>
      <c r="L1004" s="394">
        <f t="shared" si="244"/>
        <v>0</v>
      </c>
      <c r="M1004" s="394">
        <v>25</v>
      </c>
      <c r="N1004" s="504"/>
      <c r="O1004" s="362"/>
      <c r="Q1004" s="833"/>
      <c r="R1004" s="396"/>
    </row>
    <row r="1005" spans="1:20" s="395" customFormat="1" ht="15.75" outlineLevel="1" x14ac:dyDescent="0.25">
      <c r="A1005" s="393"/>
      <c r="B1005" s="393"/>
      <c r="E1005" s="393" t="s">
        <v>629</v>
      </c>
      <c r="F1005" s="394"/>
      <c r="G1005" s="179"/>
      <c r="H1005" s="394"/>
      <c r="I1005" s="394"/>
      <c r="J1005" s="394"/>
      <c r="K1005" s="492"/>
      <c r="L1005" s="394">
        <f t="shared" si="244"/>
        <v>0</v>
      </c>
      <c r="M1005" s="394"/>
      <c r="N1005" s="504"/>
      <c r="Q1005" s="833"/>
      <c r="R1005" s="396"/>
    </row>
    <row r="1006" spans="1:20" s="395" customFormat="1" ht="15.75" outlineLevel="1" x14ac:dyDescent="0.25">
      <c r="B1006" s="395" t="s">
        <v>609</v>
      </c>
      <c r="C1006" s="395">
        <v>14</v>
      </c>
      <c r="D1006" s="395" t="s">
        <v>494</v>
      </c>
      <c r="E1006" s="395" t="s">
        <v>612</v>
      </c>
      <c r="F1006" s="394">
        <v>11.5</v>
      </c>
      <c r="G1006" s="179">
        <v>9148</v>
      </c>
      <c r="H1006" s="394">
        <v>15477</v>
      </c>
      <c r="I1006" s="394">
        <f t="shared" ref="I1006:I1014" si="249">+F1006/G1006*H1006</f>
        <v>19.456219938784432</v>
      </c>
      <c r="J1006" s="394">
        <f t="shared" ref="J1006:J1014" si="250">+F1006+I1006</f>
        <v>30.956219938784432</v>
      </c>
      <c r="K1006" s="492">
        <v>0.3</v>
      </c>
      <c r="L1006" s="394">
        <f t="shared" si="244"/>
        <v>40.243085920419759</v>
      </c>
      <c r="M1006" s="167">
        <v>55</v>
      </c>
      <c r="N1006" s="404"/>
      <c r="O1006" s="362"/>
      <c r="Q1006" s="833"/>
      <c r="R1006" s="396"/>
    </row>
    <row r="1007" spans="1:20" s="395" customFormat="1" ht="15.75" outlineLevel="1" x14ac:dyDescent="0.25">
      <c r="A1007" s="395" t="s">
        <v>477</v>
      </c>
      <c r="B1007" s="395" t="s">
        <v>279</v>
      </c>
      <c r="C1007" s="395">
        <v>15</v>
      </c>
      <c r="D1007" s="395">
        <v>38</v>
      </c>
      <c r="E1007" s="395" t="s">
        <v>621</v>
      </c>
      <c r="F1007" s="394">
        <v>10</v>
      </c>
      <c r="G1007" s="179">
        <v>9148</v>
      </c>
      <c r="H1007" s="394">
        <v>15477</v>
      </c>
      <c r="I1007" s="394">
        <f t="shared" si="249"/>
        <v>16.918452120682115</v>
      </c>
      <c r="J1007" s="394">
        <f t="shared" si="250"/>
        <v>26.918452120682115</v>
      </c>
      <c r="K1007" s="492">
        <v>0.3</v>
      </c>
      <c r="L1007" s="394">
        <f t="shared" si="244"/>
        <v>34.993987756886753</v>
      </c>
      <c r="M1007" s="167">
        <v>65</v>
      </c>
      <c r="N1007" s="404"/>
      <c r="O1007" s="362"/>
      <c r="Q1007" s="833"/>
      <c r="R1007" s="396"/>
    </row>
    <row r="1008" spans="1:20" s="395" customFormat="1" ht="15.75" outlineLevel="1" x14ac:dyDescent="0.25">
      <c r="A1008" s="395" t="s">
        <v>319</v>
      </c>
      <c r="B1008" s="395" t="s">
        <v>319</v>
      </c>
      <c r="C1008" s="395">
        <v>16</v>
      </c>
      <c r="D1008" s="395">
        <v>44</v>
      </c>
      <c r="E1008" s="395" t="s">
        <v>717</v>
      </c>
      <c r="F1008" s="394">
        <v>15</v>
      </c>
      <c r="G1008" s="179">
        <v>9148</v>
      </c>
      <c r="H1008" s="394">
        <v>15477</v>
      </c>
      <c r="I1008" s="394">
        <f t="shared" si="249"/>
        <v>25.377678181023175</v>
      </c>
      <c r="J1008" s="394">
        <f t="shared" si="250"/>
        <v>40.377678181023171</v>
      </c>
      <c r="K1008" s="492">
        <v>0.3</v>
      </c>
      <c r="L1008" s="394">
        <f t="shared" si="244"/>
        <v>52.490981635330122</v>
      </c>
      <c r="M1008" s="167">
        <v>65</v>
      </c>
      <c r="N1008" s="404"/>
      <c r="O1008" s="362"/>
      <c r="Q1008" s="833"/>
      <c r="R1008" s="396"/>
    </row>
    <row r="1009" spans="1:18" s="395" customFormat="1" ht="15.75" outlineLevel="1" x14ac:dyDescent="0.25">
      <c r="A1009" s="395" t="s">
        <v>319</v>
      </c>
      <c r="B1009" s="395" t="s">
        <v>319</v>
      </c>
      <c r="C1009" s="395">
        <v>17</v>
      </c>
      <c r="D1009" s="395">
        <v>48</v>
      </c>
      <c r="E1009" s="395" t="s">
        <v>717</v>
      </c>
      <c r="F1009" s="394">
        <v>15</v>
      </c>
      <c r="G1009" s="179">
        <v>9148</v>
      </c>
      <c r="H1009" s="394">
        <v>15477</v>
      </c>
      <c r="I1009" s="394">
        <f t="shared" si="249"/>
        <v>25.377678181023175</v>
      </c>
      <c r="J1009" s="394">
        <f t="shared" si="250"/>
        <v>40.377678181023171</v>
      </c>
      <c r="K1009" s="492">
        <v>0.3</v>
      </c>
      <c r="L1009" s="394">
        <f t="shared" si="244"/>
        <v>52.490981635330122</v>
      </c>
      <c r="M1009" s="167">
        <v>65</v>
      </c>
      <c r="N1009" s="404"/>
      <c r="O1009" s="362"/>
      <c r="Q1009" s="833"/>
      <c r="R1009" s="396"/>
    </row>
    <row r="1010" spans="1:18" s="395" customFormat="1" ht="15.75" outlineLevel="1" x14ac:dyDescent="0.25">
      <c r="A1010" s="395" t="s">
        <v>319</v>
      </c>
      <c r="B1010" s="395" t="s">
        <v>319</v>
      </c>
      <c r="C1010" s="395">
        <v>18</v>
      </c>
      <c r="D1010" s="395">
        <v>50</v>
      </c>
      <c r="E1010" s="395" t="s">
        <v>604</v>
      </c>
      <c r="F1010" s="394">
        <v>10</v>
      </c>
      <c r="G1010" s="179">
        <v>9148</v>
      </c>
      <c r="H1010" s="394">
        <v>15477</v>
      </c>
      <c r="I1010" s="394">
        <f t="shared" si="249"/>
        <v>16.918452120682115</v>
      </c>
      <c r="J1010" s="394">
        <f t="shared" si="250"/>
        <v>26.918452120682115</v>
      </c>
      <c r="K1010" s="492">
        <v>0.3</v>
      </c>
      <c r="L1010" s="394">
        <f t="shared" si="244"/>
        <v>34.993987756886753</v>
      </c>
      <c r="M1010" s="167">
        <v>65</v>
      </c>
      <c r="N1010" s="404"/>
      <c r="O1010" s="362"/>
      <c r="Q1010" s="833"/>
      <c r="R1010" s="396"/>
    </row>
    <row r="1011" spans="1:18" s="395" customFormat="1" ht="15.75" outlineLevel="1" x14ac:dyDescent="0.25">
      <c r="A1011" s="395" t="s">
        <v>319</v>
      </c>
      <c r="B1011" s="395" t="s">
        <v>319</v>
      </c>
      <c r="C1011" s="395">
        <v>19</v>
      </c>
      <c r="D1011" s="395">
        <v>52</v>
      </c>
      <c r="E1011" s="395" t="s">
        <v>604</v>
      </c>
      <c r="F1011" s="394">
        <v>10</v>
      </c>
      <c r="G1011" s="179">
        <v>9148</v>
      </c>
      <c r="H1011" s="394">
        <v>15477</v>
      </c>
      <c r="I1011" s="394">
        <f t="shared" si="249"/>
        <v>16.918452120682115</v>
      </c>
      <c r="J1011" s="394">
        <f t="shared" si="250"/>
        <v>26.918452120682115</v>
      </c>
      <c r="K1011" s="492">
        <v>0.3</v>
      </c>
      <c r="L1011" s="394">
        <f t="shared" si="244"/>
        <v>34.993987756886753</v>
      </c>
      <c r="M1011" s="167">
        <v>65</v>
      </c>
      <c r="N1011" s="404"/>
      <c r="O1011" s="362"/>
      <c r="Q1011" s="833"/>
      <c r="R1011" s="396"/>
    </row>
    <row r="1012" spans="1:18" s="395" customFormat="1" ht="15.75" outlineLevel="1" x14ac:dyDescent="0.25">
      <c r="A1012" s="395" t="s">
        <v>319</v>
      </c>
      <c r="B1012" s="395" t="s">
        <v>319</v>
      </c>
      <c r="C1012" s="395">
        <v>20</v>
      </c>
      <c r="D1012" s="395">
        <v>54</v>
      </c>
      <c r="E1012" s="395" t="s">
        <v>604</v>
      </c>
      <c r="F1012" s="394">
        <v>10</v>
      </c>
      <c r="G1012" s="179">
        <v>9148</v>
      </c>
      <c r="H1012" s="394">
        <v>15477</v>
      </c>
      <c r="I1012" s="394">
        <f t="shared" si="249"/>
        <v>16.918452120682115</v>
      </c>
      <c r="J1012" s="394">
        <f t="shared" si="250"/>
        <v>26.918452120682115</v>
      </c>
      <c r="K1012" s="492">
        <v>0.3</v>
      </c>
      <c r="L1012" s="394">
        <f t="shared" ref="L1012:L1024" si="251">+J1012*K1012+J1012</f>
        <v>34.993987756886753</v>
      </c>
      <c r="M1012" s="167">
        <v>65</v>
      </c>
      <c r="N1012" s="404"/>
      <c r="O1012" s="362"/>
      <c r="Q1012" s="833"/>
      <c r="R1012" s="396"/>
    </row>
    <row r="1013" spans="1:18" s="395" customFormat="1" ht="15.75" outlineLevel="1" x14ac:dyDescent="0.25">
      <c r="A1013" s="395" t="s">
        <v>319</v>
      </c>
      <c r="B1013" s="395" t="s">
        <v>319</v>
      </c>
      <c r="C1013" s="395">
        <v>21</v>
      </c>
      <c r="D1013" s="395">
        <v>44</v>
      </c>
      <c r="E1013" s="395" t="s">
        <v>605</v>
      </c>
      <c r="F1013" s="394">
        <v>15</v>
      </c>
      <c r="G1013" s="179">
        <v>9148</v>
      </c>
      <c r="H1013" s="394">
        <v>15477</v>
      </c>
      <c r="I1013" s="394">
        <f t="shared" si="249"/>
        <v>25.377678181023175</v>
      </c>
      <c r="J1013" s="394">
        <f t="shared" si="250"/>
        <v>40.377678181023171</v>
      </c>
      <c r="K1013" s="492">
        <v>0.3</v>
      </c>
      <c r="L1013" s="394">
        <f t="shared" si="251"/>
        <v>52.490981635330122</v>
      </c>
      <c r="M1013" s="167">
        <v>65</v>
      </c>
      <c r="N1013" s="404"/>
      <c r="O1013" s="362"/>
      <c r="Q1013" s="833"/>
      <c r="R1013" s="396"/>
    </row>
    <row r="1014" spans="1:18" s="395" customFormat="1" ht="15.75" outlineLevel="1" x14ac:dyDescent="0.25">
      <c r="A1014" s="395" t="s">
        <v>319</v>
      </c>
      <c r="B1014" s="395" t="s">
        <v>319</v>
      </c>
      <c r="C1014" s="395">
        <v>22</v>
      </c>
      <c r="D1014" s="395">
        <v>46</v>
      </c>
      <c r="E1014" s="395" t="s">
        <v>718</v>
      </c>
      <c r="F1014" s="394">
        <v>15</v>
      </c>
      <c r="G1014" s="179">
        <v>9148</v>
      </c>
      <c r="H1014" s="394">
        <v>15477</v>
      </c>
      <c r="I1014" s="394">
        <f t="shared" si="249"/>
        <v>25.377678181023175</v>
      </c>
      <c r="J1014" s="394">
        <f t="shared" si="250"/>
        <v>40.377678181023171</v>
      </c>
      <c r="K1014" s="492">
        <v>0.3</v>
      </c>
      <c r="L1014" s="394">
        <f t="shared" si="251"/>
        <v>52.490981635330122</v>
      </c>
      <c r="M1014" s="167">
        <v>65</v>
      </c>
      <c r="N1014" s="404"/>
      <c r="O1014" s="362"/>
      <c r="Q1014" s="833"/>
      <c r="R1014" s="396"/>
    </row>
    <row r="1015" spans="1:18" s="395" customFormat="1" ht="15.75" hidden="1" outlineLevel="1" x14ac:dyDescent="0.25">
      <c r="A1015" s="395" t="s">
        <v>203</v>
      </c>
      <c r="B1015" s="395" t="s">
        <v>203</v>
      </c>
      <c r="C1015" s="395">
        <v>23</v>
      </c>
      <c r="E1015" s="317" t="s">
        <v>598</v>
      </c>
      <c r="F1015" s="493">
        <v>6.5</v>
      </c>
      <c r="G1015" s="509">
        <v>9148</v>
      </c>
      <c r="H1015" s="493">
        <v>15477</v>
      </c>
      <c r="I1015" s="493">
        <f t="shared" ref="I1015:I1020" si="252">+F1015/G1015*H1015</f>
        <v>10.996993878443375</v>
      </c>
      <c r="J1015" s="493">
        <f t="shared" ref="J1015:J1020" si="253">+F1015+I1015</f>
        <v>17.496993878443377</v>
      </c>
      <c r="K1015" s="692">
        <v>0.3</v>
      </c>
      <c r="L1015" s="493">
        <f t="shared" si="251"/>
        <v>22.746092041976389</v>
      </c>
      <c r="M1015" s="545">
        <v>25</v>
      </c>
      <c r="N1015" s="404">
        <v>10</v>
      </c>
      <c r="O1015" s="362"/>
      <c r="P1015" s="395" t="s">
        <v>1925</v>
      </c>
      <c r="Q1015" s="833">
        <v>45320</v>
      </c>
      <c r="R1015" s="396">
        <f>+N1015*7000</f>
        <v>70000</v>
      </c>
    </row>
    <row r="1016" spans="1:18" s="395" customFormat="1" ht="15.75" hidden="1" outlineLevel="1" x14ac:dyDescent="0.25">
      <c r="A1016" s="395" t="s">
        <v>203</v>
      </c>
      <c r="B1016" s="395" t="s">
        <v>203</v>
      </c>
      <c r="C1016" s="395">
        <v>24</v>
      </c>
      <c r="E1016" s="317" t="s">
        <v>598</v>
      </c>
      <c r="F1016" s="493">
        <v>6.5</v>
      </c>
      <c r="G1016" s="509">
        <v>9148</v>
      </c>
      <c r="H1016" s="493">
        <v>15477</v>
      </c>
      <c r="I1016" s="493">
        <f t="shared" si="252"/>
        <v>10.996993878443375</v>
      </c>
      <c r="J1016" s="493">
        <f t="shared" si="253"/>
        <v>17.496993878443377</v>
      </c>
      <c r="K1016" s="692">
        <v>0.3</v>
      </c>
      <c r="L1016" s="493">
        <f t="shared" si="251"/>
        <v>22.746092041976389</v>
      </c>
      <c r="M1016" s="545">
        <v>25</v>
      </c>
      <c r="N1016" s="404">
        <v>10</v>
      </c>
      <c r="O1016" s="362"/>
      <c r="P1016" s="395" t="s">
        <v>12</v>
      </c>
      <c r="Q1016" s="833">
        <v>45324</v>
      </c>
      <c r="R1016" s="396">
        <f>+N1016*8000</f>
        <v>80000</v>
      </c>
    </row>
    <row r="1017" spans="1:18" s="395" customFormat="1" ht="15.75" hidden="1" outlineLevel="1" x14ac:dyDescent="0.25">
      <c r="A1017" s="395" t="s">
        <v>203</v>
      </c>
      <c r="B1017" s="395" t="s">
        <v>203</v>
      </c>
      <c r="C1017" s="395">
        <v>25</v>
      </c>
      <c r="E1017" s="317" t="s">
        <v>598</v>
      </c>
      <c r="F1017" s="493">
        <v>6.5</v>
      </c>
      <c r="G1017" s="509">
        <v>9148</v>
      </c>
      <c r="H1017" s="493">
        <v>15477</v>
      </c>
      <c r="I1017" s="493">
        <f t="shared" si="252"/>
        <v>10.996993878443375</v>
      </c>
      <c r="J1017" s="493">
        <f t="shared" si="253"/>
        <v>17.496993878443377</v>
      </c>
      <c r="K1017" s="692">
        <v>0.3</v>
      </c>
      <c r="L1017" s="493">
        <f t="shared" si="251"/>
        <v>22.746092041976389</v>
      </c>
      <c r="M1017" s="545">
        <v>25</v>
      </c>
      <c r="N1017" s="404">
        <v>10</v>
      </c>
      <c r="O1017" s="362"/>
      <c r="P1017" s="395" t="s">
        <v>12</v>
      </c>
      <c r="Q1017" s="833">
        <v>45324</v>
      </c>
      <c r="R1017" s="396">
        <f>+N1017*8000</f>
        <v>80000</v>
      </c>
    </row>
    <row r="1018" spans="1:18" s="395" customFormat="1" ht="15.75" hidden="1" outlineLevel="1" x14ac:dyDescent="0.25">
      <c r="A1018" s="395" t="s">
        <v>203</v>
      </c>
      <c r="B1018" s="395" t="s">
        <v>203</v>
      </c>
      <c r="C1018" s="395">
        <v>26</v>
      </c>
      <c r="E1018" s="317" t="s">
        <v>598</v>
      </c>
      <c r="F1018" s="493">
        <v>6.5</v>
      </c>
      <c r="G1018" s="509">
        <v>9148</v>
      </c>
      <c r="H1018" s="493">
        <v>15477</v>
      </c>
      <c r="I1018" s="493">
        <f t="shared" si="252"/>
        <v>10.996993878443375</v>
      </c>
      <c r="J1018" s="493">
        <f t="shared" si="253"/>
        <v>17.496993878443377</v>
      </c>
      <c r="K1018" s="692">
        <v>0.3</v>
      </c>
      <c r="L1018" s="493">
        <f t="shared" si="251"/>
        <v>22.746092041976389</v>
      </c>
      <c r="M1018" s="545">
        <v>25</v>
      </c>
      <c r="N1018" s="404"/>
      <c r="O1018" s="362"/>
      <c r="P1018" s="395" t="s">
        <v>12</v>
      </c>
      <c r="Q1018" s="833">
        <v>45369</v>
      </c>
      <c r="R1018" s="396">
        <f>+N1018*18000</f>
        <v>0</v>
      </c>
    </row>
    <row r="1019" spans="1:18" s="395" customFormat="1" ht="15.75" outlineLevel="1" x14ac:dyDescent="0.25">
      <c r="B1019" s="395" t="s">
        <v>602</v>
      </c>
      <c r="C1019" s="395">
        <v>27</v>
      </c>
      <c r="E1019" s="395" t="s">
        <v>719</v>
      </c>
      <c r="F1019" s="394">
        <v>12</v>
      </c>
      <c r="G1019" s="179">
        <v>9148</v>
      </c>
      <c r="H1019" s="394">
        <v>15477</v>
      </c>
      <c r="I1019" s="394">
        <f t="shared" si="252"/>
        <v>20.30214254481854</v>
      </c>
      <c r="J1019" s="394">
        <f t="shared" si="253"/>
        <v>32.302142544818537</v>
      </c>
      <c r="K1019" s="492">
        <v>0.3</v>
      </c>
      <c r="L1019" s="394">
        <f t="shared" si="251"/>
        <v>41.992785308264096</v>
      </c>
      <c r="M1019" s="167">
        <v>45</v>
      </c>
      <c r="N1019" s="404"/>
      <c r="O1019" s="362"/>
      <c r="Q1019" s="833"/>
      <c r="R1019" s="396"/>
    </row>
    <row r="1020" spans="1:18" s="395" customFormat="1" ht="15.75" outlineLevel="1" x14ac:dyDescent="0.25">
      <c r="B1020" s="395" t="s">
        <v>602</v>
      </c>
      <c r="C1020" s="395">
        <v>28</v>
      </c>
      <c r="E1020" s="395" t="s">
        <v>720</v>
      </c>
      <c r="F1020" s="394">
        <v>12</v>
      </c>
      <c r="G1020" s="179">
        <v>9148</v>
      </c>
      <c r="H1020" s="394">
        <v>15477</v>
      </c>
      <c r="I1020" s="394">
        <f t="shared" si="252"/>
        <v>20.30214254481854</v>
      </c>
      <c r="J1020" s="394">
        <f t="shared" si="253"/>
        <v>32.302142544818537</v>
      </c>
      <c r="K1020" s="492">
        <v>0.3</v>
      </c>
      <c r="L1020" s="394">
        <f t="shared" si="251"/>
        <v>41.992785308264096</v>
      </c>
      <c r="M1020" s="167">
        <v>45</v>
      </c>
      <c r="N1020" s="404"/>
      <c r="O1020" s="362"/>
      <c r="Q1020" s="833"/>
      <c r="R1020" s="396"/>
    </row>
    <row r="1021" spans="1:18" s="395" customFormat="1" ht="15.75" outlineLevel="1" x14ac:dyDescent="0.25">
      <c r="A1021" s="393"/>
      <c r="B1021" s="393" t="s">
        <v>681</v>
      </c>
      <c r="F1021" s="394"/>
      <c r="H1021" s="394"/>
      <c r="I1021" s="394"/>
      <c r="J1021" s="394"/>
      <c r="K1021" s="492"/>
      <c r="L1021" s="394">
        <f t="shared" si="251"/>
        <v>0</v>
      </c>
      <c r="M1021" s="394"/>
      <c r="N1021" s="504"/>
      <c r="Q1021" s="833"/>
      <c r="R1021" s="396"/>
    </row>
    <row r="1022" spans="1:18" s="395" customFormat="1" ht="15.75" outlineLevel="1" x14ac:dyDescent="0.25">
      <c r="A1022" s="395" t="s">
        <v>609</v>
      </c>
      <c r="B1022" s="395" t="s">
        <v>609</v>
      </c>
      <c r="C1022" s="395">
        <v>29</v>
      </c>
      <c r="D1022" s="395">
        <v>46</v>
      </c>
      <c r="E1022" s="395" t="s">
        <v>662</v>
      </c>
      <c r="F1022" s="395">
        <v>11</v>
      </c>
      <c r="G1022" s="395">
        <v>6556</v>
      </c>
      <c r="H1022" s="394">
        <v>9750</v>
      </c>
      <c r="I1022" s="394">
        <f t="shared" ref="I1022:I1024" si="254">+F1022/G1022*H1022</f>
        <v>16.359060402684563</v>
      </c>
      <c r="J1022" s="394">
        <f t="shared" ref="J1022:J1024" si="255">+F1022+I1022</f>
        <v>27.359060402684563</v>
      </c>
      <c r="K1022" s="492">
        <v>0.3</v>
      </c>
      <c r="L1022" s="394">
        <f t="shared" si="251"/>
        <v>35.56677852348993</v>
      </c>
      <c r="M1022" s="394">
        <v>45</v>
      </c>
      <c r="N1022" s="504"/>
      <c r="O1022" s="362"/>
      <c r="Q1022" s="833"/>
      <c r="R1022" s="396"/>
    </row>
    <row r="1023" spans="1:18" s="395" customFormat="1" ht="15.75" hidden="1" outlineLevel="1" x14ac:dyDescent="0.25">
      <c r="B1023" s="395" t="s">
        <v>684</v>
      </c>
      <c r="C1023" s="395">
        <v>30</v>
      </c>
      <c r="E1023" s="317" t="s">
        <v>685</v>
      </c>
      <c r="F1023" s="317">
        <v>13</v>
      </c>
      <c r="G1023" s="317">
        <v>6556</v>
      </c>
      <c r="H1023" s="493">
        <v>9750</v>
      </c>
      <c r="I1023" s="493">
        <f t="shared" si="254"/>
        <v>19.333435021354482</v>
      </c>
      <c r="J1023" s="493">
        <f t="shared" si="255"/>
        <v>32.333435021354482</v>
      </c>
      <c r="K1023" s="692">
        <v>0.3</v>
      </c>
      <c r="L1023" s="493">
        <f t="shared" si="251"/>
        <v>42.033465527760825</v>
      </c>
      <c r="M1023" s="493">
        <v>45</v>
      </c>
      <c r="N1023" s="504"/>
      <c r="O1023" s="362"/>
      <c r="P1023" s="395" t="s">
        <v>12</v>
      </c>
      <c r="Q1023" s="833">
        <v>45311</v>
      </c>
      <c r="R1023" s="396">
        <f>+M1023*7000</f>
        <v>315000</v>
      </c>
    </row>
    <row r="1024" spans="1:18" s="395" customFormat="1" ht="15.75" outlineLevel="1" x14ac:dyDescent="0.25">
      <c r="B1024" s="395" t="s">
        <v>684</v>
      </c>
      <c r="C1024" s="395">
        <v>31</v>
      </c>
      <c r="E1024" s="395" t="s">
        <v>685</v>
      </c>
      <c r="F1024" s="395">
        <v>13</v>
      </c>
      <c r="G1024" s="395">
        <v>6556</v>
      </c>
      <c r="H1024" s="394">
        <v>9750</v>
      </c>
      <c r="I1024" s="394">
        <f t="shared" si="254"/>
        <v>19.333435021354482</v>
      </c>
      <c r="J1024" s="394">
        <f t="shared" si="255"/>
        <v>32.333435021354482</v>
      </c>
      <c r="K1024" s="492">
        <v>0.3</v>
      </c>
      <c r="L1024" s="394">
        <f t="shared" si="251"/>
        <v>42.033465527760825</v>
      </c>
      <c r="M1024" s="394">
        <v>45</v>
      </c>
      <c r="N1024" s="504"/>
      <c r="O1024" s="362"/>
      <c r="Q1024" s="833"/>
      <c r="R1024" s="396"/>
    </row>
    <row r="1025" spans="1:20" s="395" customFormat="1" ht="15.75" x14ac:dyDescent="0.25">
      <c r="A1025" s="393"/>
      <c r="B1025" s="393" t="s">
        <v>958</v>
      </c>
      <c r="G1025" s="179"/>
      <c r="H1025" s="394"/>
      <c r="I1025" s="394"/>
      <c r="J1025" s="394"/>
      <c r="K1025" s="492"/>
      <c r="L1025" s="394"/>
      <c r="M1025" s="394"/>
      <c r="N1025" s="504"/>
      <c r="Q1025" s="833"/>
      <c r="R1025" s="396"/>
    </row>
    <row r="1026" spans="1:20" s="395" customFormat="1" ht="15.75" x14ac:dyDescent="0.25">
      <c r="A1026" s="393" t="s">
        <v>891</v>
      </c>
      <c r="B1026" s="393" t="s">
        <v>891</v>
      </c>
      <c r="C1026" s="395">
        <v>32</v>
      </c>
      <c r="D1026" s="395">
        <v>50</v>
      </c>
      <c r="E1026" s="395" t="s">
        <v>892</v>
      </c>
      <c r="F1026" s="394">
        <v>12</v>
      </c>
      <c r="G1026" s="179">
        <v>6911</v>
      </c>
      <c r="H1026" s="394">
        <v>4716</v>
      </c>
      <c r="I1026" s="394">
        <f t="shared" ref="I1026:I1032" si="256">+F1026/G1026*H1026</f>
        <v>8.1886847055418901</v>
      </c>
      <c r="J1026" s="394">
        <f t="shared" ref="J1026:J1032" si="257">+F1026+I1026</f>
        <v>20.188684705541888</v>
      </c>
      <c r="K1026" s="492">
        <v>0.3</v>
      </c>
      <c r="L1026" s="394">
        <f t="shared" ref="L1026:L1032" si="258">+J1026*K1026+J1026</f>
        <v>26.245290117204455</v>
      </c>
      <c r="M1026" s="394">
        <v>55</v>
      </c>
      <c r="N1026" s="504"/>
      <c r="O1026" s="362"/>
      <c r="Q1026" s="833"/>
      <c r="R1026" s="396"/>
    </row>
    <row r="1027" spans="1:20" s="494" customFormat="1" ht="15.75" x14ac:dyDescent="0.25">
      <c r="A1027" s="428" t="s">
        <v>891</v>
      </c>
      <c r="B1027" s="428" t="s">
        <v>891</v>
      </c>
      <c r="D1027" s="494">
        <v>50</v>
      </c>
      <c r="E1027" s="494" t="s">
        <v>933</v>
      </c>
      <c r="F1027" s="504">
        <v>20</v>
      </c>
      <c r="G1027" s="585">
        <v>6911</v>
      </c>
      <c r="H1027" s="504">
        <v>4716</v>
      </c>
      <c r="I1027" s="504">
        <f t="shared" si="256"/>
        <v>13.647807842569817</v>
      </c>
      <c r="J1027" s="504">
        <f t="shared" si="257"/>
        <v>33.647807842569819</v>
      </c>
      <c r="K1027" s="586">
        <v>0.3</v>
      </c>
      <c r="L1027" s="504">
        <f t="shared" si="258"/>
        <v>43.742150195340763</v>
      </c>
      <c r="M1027" s="504">
        <v>55</v>
      </c>
      <c r="N1027" s="504"/>
      <c r="Q1027" s="841"/>
      <c r="R1027" s="918"/>
    </row>
    <row r="1028" spans="1:20" s="395" customFormat="1" ht="15.75" x14ac:dyDescent="0.25">
      <c r="A1028" s="393" t="s">
        <v>891</v>
      </c>
      <c r="B1028" s="393" t="s">
        <v>891</v>
      </c>
      <c r="C1028" s="395">
        <v>33</v>
      </c>
      <c r="D1028" s="395">
        <v>54</v>
      </c>
      <c r="E1028" s="395" t="s">
        <v>933</v>
      </c>
      <c r="F1028" s="394">
        <v>20</v>
      </c>
      <c r="G1028" s="179">
        <v>6911</v>
      </c>
      <c r="H1028" s="394">
        <v>4716</v>
      </c>
      <c r="I1028" s="394">
        <f t="shared" si="256"/>
        <v>13.647807842569817</v>
      </c>
      <c r="J1028" s="394">
        <f t="shared" si="257"/>
        <v>33.647807842569819</v>
      </c>
      <c r="K1028" s="492">
        <v>0.3</v>
      </c>
      <c r="L1028" s="394">
        <f t="shared" si="258"/>
        <v>43.742150195340763</v>
      </c>
      <c r="M1028" s="394">
        <v>55</v>
      </c>
      <c r="N1028" s="504"/>
      <c r="O1028" s="362"/>
      <c r="Q1028" s="833"/>
      <c r="R1028" s="396"/>
    </row>
    <row r="1029" spans="1:20" s="395" customFormat="1" ht="15.75" x14ac:dyDescent="0.25">
      <c r="A1029" s="393" t="s">
        <v>891</v>
      </c>
      <c r="B1029" s="393" t="s">
        <v>891</v>
      </c>
      <c r="C1029" s="395">
        <v>34</v>
      </c>
      <c r="D1029" s="395">
        <v>56</v>
      </c>
      <c r="E1029" s="395" t="s">
        <v>933</v>
      </c>
      <c r="F1029" s="394">
        <v>20</v>
      </c>
      <c r="G1029" s="179">
        <v>6911</v>
      </c>
      <c r="H1029" s="394">
        <v>4716</v>
      </c>
      <c r="I1029" s="394">
        <f t="shared" si="256"/>
        <v>13.647807842569817</v>
      </c>
      <c r="J1029" s="394">
        <f t="shared" si="257"/>
        <v>33.647807842569819</v>
      </c>
      <c r="K1029" s="492">
        <v>0.3</v>
      </c>
      <c r="L1029" s="394">
        <f t="shared" si="258"/>
        <v>43.742150195340763</v>
      </c>
      <c r="M1029" s="394">
        <v>55</v>
      </c>
      <c r="N1029" s="504"/>
      <c r="O1029" s="362"/>
      <c r="Q1029" s="833"/>
      <c r="R1029" s="396"/>
    </row>
    <row r="1030" spans="1:20" s="395" customFormat="1" ht="15.75" x14ac:dyDescent="0.25">
      <c r="A1030" s="393" t="s">
        <v>203</v>
      </c>
      <c r="B1030" s="393" t="s">
        <v>203</v>
      </c>
      <c r="C1030" s="395">
        <v>35</v>
      </c>
      <c r="D1030" s="395" t="s">
        <v>617</v>
      </c>
      <c r="E1030" s="395" t="s">
        <v>903</v>
      </c>
      <c r="F1030" s="394">
        <v>9</v>
      </c>
      <c r="G1030" s="179">
        <v>6911</v>
      </c>
      <c r="H1030" s="394">
        <v>4716</v>
      </c>
      <c r="I1030" s="394">
        <f t="shared" si="256"/>
        <v>6.1415135291564171</v>
      </c>
      <c r="J1030" s="394">
        <f t="shared" si="257"/>
        <v>15.141513529156416</v>
      </c>
      <c r="K1030" s="492">
        <v>0.3</v>
      </c>
      <c r="L1030" s="394">
        <f t="shared" si="258"/>
        <v>19.683967587903339</v>
      </c>
      <c r="M1030" s="394">
        <v>20</v>
      </c>
      <c r="N1030" s="504"/>
      <c r="O1030" s="362"/>
      <c r="Q1030" s="833"/>
      <c r="R1030" s="396"/>
    </row>
    <row r="1031" spans="1:20" s="494" customFormat="1" ht="15.75" x14ac:dyDescent="0.25">
      <c r="A1031" s="428" t="s">
        <v>203</v>
      </c>
      <c r="B1031" s="428" t="s">
        <v>203</v>
      </c>
      <c r="D1031" s="494" t="s">
        <v>617</v>
      </c>
      <c r="E1031" s="494" t="s">
        <v>935</v>
      </c>
      <c r="F1031" s="504">
        <v>11</v>
      </c>
      <c r="G1031" s="585">
        <v>6911</v>
      </c>
      <c r="H1031" s="504">
        <v>4716</v>
      </c>
      <c r="I1031" s="504">
        <f t="shared" si="256"/>
        <v>7.5062943134133988</v>
      </c>
      <c r="J1031" s="504">
        <f t="shared" si="257"/>
        <v>18.506294313413399</v>
      </c>
      <c r="K1031" s="586">
        <v>0.3</v>
      </c>
      <c r="L1031" s="504">
        <f t="shared" si="258"/>
        <v>24.058182607437416</v>
      </c>
      <c r="M1031" s="504">
        <v>30</v>
      </c>
      <c r="N1031" s="504"/>
      <c r="Q1031" s="841"/>
      <c r="R1031" s="918"/>
    </row>
    <row r="1032" spans="1:20" s="365" customFormat="1" ht="15.75" x14ac:dyDescent="0.25">
      <c r="A1032" s="428" t="s">
        <v>203</v>
      </c>
      <c r="B1032" s="428" t="s">
        <v>203</v>
      </c>
      <c r="C1032" s="494"/>
      <c r="D1032" s="494" t="s">
        <v>504</v>
      </c>
      <c r="E1032" s="494" t="s">
        <v>936</v>
      </c>
      <c r="F1032" s="504">
        <v>11</v>
      </c>
      <c r="G1032" s="585">
        <v>6911</v>
      </c>
      <c r="H1032" s="504">
        <v>4716</v>
      </c>
      <c r="I1032" s="504">
        <f t="shared" si="256"/>
        <v>7.5062943134133988</v>
      </c>
      <c r="J1032" s="504">
        <f t="shared" si="257"/>
        <v>18.506294313413399</v>
      </c>
      <c r="K1032" s="586">
        <v>0.3</v>
      </c>
      <c r="L1032" s="504">
        <f t="shared" si="258"/>
        <v>24.058182607437416</v>
      </c>
      <c r="M1032" s="504">
        <v>30</v>
      </c>
      <c r="N1032" s="504"/>
      <c r="O1032" s="494"/>
      <c r="P1032" s="494"/>
      <c r="Q1032" s="841"/>
      <c r="R1032" s="918"/>
      <c r="S1032" s="494"/>
      <c r="T1032" s="494"/>
    </row>
    <row r="1033" spans="1:20" s="169" customFormat="1" ht="15.75" x14ac:dyDescent="0.25">
      <c r="A1033" s="393" t="s">
        <v>916</v>
      </c>
      <c r="B1033" s="393" t="s">
        <v>932</v>
      </c>
      <c r="C1033" s="395">
        <v>36</v>
      </c>
      <c r="D1033" s="395" t="s">
        <v>849</v>
      </c>
      <c r="E1033" s="395" t="s">
        <v>913</v>
      </c>
      <c r="F1033" s="394">
        <v>10</v>
      </c>
      <c r="G1033" s="179">
        <v>6911</v>
      </c>
      <c r="H1033" s="394">
        <v>4716</v>
      </c>
      <c r="I1033" s="394">
        <f t="shared" ref="I1033:I1052" si="259">+F1033/G1033*H1033</f>
        <v>6.8239039212849084</v>
      </c>
      <c r="J1033" s="394">
        <f t="shared" ref="J1033:J1052" si="260">+F1033+I1033</f>
        <v>16.823903921284909</v>
      </c>
      <c r="K1033" s="492">
        <v>0.3</v>
      </c>
      <c r="L1033" s="394">
        <f t="shared" ref="L1033:L1052" si="261">+J1033*K1033+J1033</f>
        <v>21.871075097670381</v>
      </c>
      <c r="M1033" s="394">
        <v>55</v>
      </c>
      <c r="N1033" s="504"/>
      <c r="O1033" s="362"/>
      <c r="P1033" s="395"/>
      <c r="Q1033" s="833"/>
      <c r="R1033" s="396"/>
      <c r="S1033" s="395"/>
      <c r="T1033" s="395"/>
    </row>
    <row r="1034" spans="1:20" s="169" customFormat="1" ht="15.75" hidden="1" x14ac:dyDescent="0.25">
      <c r="A1034" s="393" t="s">
        <v>916</v>
      </c>
      <c r="B1034" s="393" t="s">
        <v>932</v>
      </c>
      <c r="C1034" s="395">
        <v>37</v>
      </c>
      <c r="D1034" s="395" t="s">
        <v>790</v>
      </c>
      <c r="E1034" s="317" t="s">
        <v>913</v>
      </c>
      <c r="F1034" s="493">
        <v>13</v>
      </c>
      <c r="G1034" s="509">
        <v>6911</v>
      </c>
      <c r="H1034" s="493">
        <v>4716</v>
      </c>
      <c r="I1034" s="493">
        <f t="shared" si="259"/>
        <v>8.8710750976703814</v>
      </c>
      <c r="J1034" s="493">
        <f t="shared" si="260"/>
        <v>21.871075097670381</v>
      </c>
      <c r="K1034" s="692">
        <v>0.3</v>
      </c>
      <c r="L1034" s="493">
        <f t="shared" si="261"/>
        <v>28.432397626971497</v>
      </c>
      <c r="M1034" s="493">
        <v>55</v>
      </c>
      <c r="N1034" s="504">
        <v>35</v>
      </c>
      <c r="O1034" s="362"/>
      <c r="P1034" s="395" t="s">
        <v>2539</v>
      </c>
      <c r="Q1034" s="833">
        <v>45416</v>
      </c>
      <c r="R1034" s="396">
        <f>+N1034*14.5</f>
        <v>507.5</v>
      </c>
      <c r="S1034" s="395"/>
      <c r="T1034" s="395"/>
    </row>
    <row r="1035" spans="1:20" s="169" customFormat="1" ht="15.75" x14ac:dyDescent="0.25">
      <c r="A1035" s="393" t="s">
        <v>916</v>
      </c>
      <c r="B1035" s="393" t="s">
        <v>932</v>
      </c>
      <c r="C1035" s="395">
        <v>38</v>
      </c>
      <c r="D1035" s="395" t="s">
        <v>790</v>
      </c>
      <c r="E1035" s="395" t="s">
        <v>942</v>
      </c>
      <c r="F1035" s="394">
        <v>13</v>
      </c>
      <c r="G1035" s="179">
        <v>6911</v>
      </c>
      <c r="H1035" s="394">
        <v>4716</v>
      </c>
      <c r="I1035" s="394">
        <f t="shared" si="259"/>
        <v>8.8710750976703814</v>
      </c>
      <c r="J1035" s="394">
        <f t="shared" si="260"/>
        <v>21.871075097670381</v>
      </c>
      <c r="K1035" s="492">
        <v>0.3</v>
      </c>
      <c r="L1035" s="394">
        <f t="shared" si="261"/>
        <v>28.432397626971497</v>
      </c>
      <c r="M1035" s="394">
        <v>55</v>
      </c>
      <c r="N1035" s="504"/>
      <c r="O1035" s="362"/>
      <c r="P1035" s="395"/>
      <c r="Q1035" s="833"/>
      <c r="R1035" s="396"/>
      <c r="S1035" s="395"/>
      <c r="T1035" s="395"/>
    </row>
    <row r="1036" spans="1:20" s="169" customFormat="1" ht="15.75" x14ac:dyDescent="0.25">
      <c r="A1036" s="393" t="s">
        <v>916</v>
      </c>
      <c r="B1036" s="393" t="s">
        <v>932</v>
      </c>
      <c r="C1036" s="395">
        <v>39</v>
      </c>
      <c r="D1036" s="395" t="s">
        <v>849</v>
      </c>
      <c r="E1036" s="395" t="s">
        <v>942</v>
      </c>
      <c r="F1036" s="394">
        <v>13</v>
      </c>
      <c r="G1036" s="179">
        <v>6911</v>
      </c>
      <c r="H1036" s="394">
        <v>4716</v>
      </c>
      <c r="I1036" s="394">
        <f t="shared" si="259"/>
        <v>8.8710750976703814</v>
      </c>
      <c r="J1036" s="394">
        <f t="shared" si="260"/>
        <v>21.871075097670381</v>
      </c>
      <c r="K1036" s="492">
        <v>0.3</v>
      </c>
      <c r="L1036" s="394">
        <f t="shared" si="261"/>
        <v>28.432397626971497</v>
      </c>
      <c r="M1036" s="394">
        <v>55</v>
      </c>
      <c r="N1036" s="504"/>
      <c r="O1036" s="362"/>
      <c r="P1036" s="395"/>
      <c r="Q1036" s="833"/>
      <c r="R1036" s="396"/>
      <c r="S1036" s="395"/>
      <c r="T1036" s="395"/>
    </row>
    <row r="1037" spans="1:20" s="169" customFormat="1" ht="15.75" x14ac:dyDescent="0.25">
      <c r="A1037" s="393"/>
      <c r="B1037" s="507"/>
      <c r="C1037" s="395"/>
      <c r="D1037" s="395"/>
      <c r="E1037" s="393" t="s">
        <v>1075</v>
      </c>
      <c r="F1037" s="394"/>
      <c r="G1037" s="179"/>
      <c r="H1037" s="394"/>
      <c r="I1037" s="394"/>
      <c r="J1037" s="394"/>
      <c r="K1037" s="492"/>
      <c r="L1037" s="394"/>
      <c r="M1037" s="394"/>
      <c r="N1037" s="504"/>
      <c r="O1037" s="395"/>
      <c r="P1037" s="395"/>
      <c r="Q1037" s="833"/>
      <c r="R1037" s="396"/>
      <c r="S1037" s="395"/>
      <c r="T1037" s="395"/>
    </row>
    <row r="1038" spans="1:20" s="169" customFormat="1" ht="15.75" hidden="1" x14ac:dyDescent="0.25">
      <c r="A1038" s="169" t="s">
        <v>1002</v>
      </c>
      <c r="B1038" s="169" t="s">
        <v>609</v>
      </c>
      <c r="C1038" s="169">
        <v>40</v>
      </c>
      <c r="D1038" s="169">
        <v>46</v>
      </c>
      <c r="E1038" s="699" t="s">
        <v>1003</v>
      </c>
      <c r="F1038" s="700">
        <v>11</v>
      </c>
      <c r="G1038" s="701">
        <v>4607</v>
      </c>
      <c r="H1038" s="700">
        <f t="shared" ref="H1038:H1055" si="262">7503-G1038</f>
        <v>2896</v>
      </c>
      <c r="I1038" s="700">
        <f t="shared" si="259"/>
        <v>6.9146950293032345</v>
      </c>
      <c r="J1038" s="700">
        <f t="shared" si="260"/>
        <v>17.914695029303235</v>
      </c>
      <c r="K1038" s="702">
        <v>0.3</v>
      </c>
      <c r="L1038" s="700">
        <f t="shared" si="261"/>
        <v>23.289103538094206</v>
      </c>
      <c r="M1038" s="703">
        <v>45</v>
      </c>
      <c r="N1038" s="532"/>
      <c r="O1038" s="361"/>
      <c r="P1038" s="169" t="s">
        <v>12</v>
      </c>
      <c r="Q1038" s="838">
        <v>45309</v>
      </c>
      <c r="R1038" s="580">
        <f>+M1038*7000</f>
        <v>315000</v>
      </c>
    </row>
    <row r="1039" spans="1:20" s="169" customFormat="1" ht="15.75" hidden="1" x14ac:dyDescent="0.25">
      <c r="A1039" s="169" t="s">
        <v>1002</v>
      </c>
      <c r="B1039" s="169" t="s">
        <v>609</v>
      </c>
      <c r="C1039" s="169">
        <v>41</v>
      </c>
      <c r="D1039" s="169">
        <v>50</v>
      </c>
      <c r="E1039" s="699" t="s">
        <v>1003</v>
      </c>
      <c r="F1039" s="700">
        <v>11</v>
      </c>
      <c r="G1039" s="701">
        <v>4607</v>
      </c>
      <c r="H1039" s="700">
        <f t="shared" si="262"/>
        <v>2896</v>
      </c>
      <c r="I1039" s="700">
        <f t="shared" si="259"/>
        <v>6.9146950293032345</v>
      </c>
      <c r="J1039" s="700">
        <f t="shared" si="260"/>
        <v>17.914695029303235</v>
      </c>
      <c r="K1039" s="702">
        <v>0.3</v>
      </c>
      <c r="L1039" s="700">
        <f t="shared" si="261"/>
        <v>23.289103538094206</v>
      </c>
      <c r="M1039" s="703">
        <v>50</v>
      </c>
      <c r="N1039" s="532"/>
      <c r="O1039" s="361"/>
      <c r="P1039" s="169" t="s">
        <v>12</v>
      </c>
      <c r="Q1039" s="838">
        <v>45295</v>
      </c>
      <c r="R1039" s="580">
        <f>+M1039*10000</f>
        <v>500000</v>
      </c>
    </row>
    <row r="1040" spans="1:20" s="169" customFormat="1" ht="15.75" hidden="1" x14ac:dyDescent="0.25">
      <c r="A1040" s="169" t="s">
        <v>1002</v>
      </c>
      <c r="B1040" s="169" t="s">
        <v>609</v>
      </c>
      <c r="C1040" s="169">
        <v>42</v>
      </c>
      <c r="D1040" s="169">
        <v>38</v>
      </c>
      <c r="E1040" s="699" t="s">
        <v>1004</v>
      </c>
      <c r="F1040" s="700">
        <v>9</v>
      </c>
      <c r="G1040" s="701">
        <v>4607</v>
      </c>
      <c r="H1040" s="700">
        <f t="shared" si="262"/>
        <v>2896</v>
      </c>
      <c r="I1040" s="700">
        <f t="shared" si="259"/>
        <v>5.6574777512481011</v>
      </c>
      <c r="J1040" s="700">
        <f t="shared" si="260"/>
        <v>14.657477751248102</v>
      </c>
      <c r="K1040" s="702">
        <v>0.3</v>
      </c>
      <c r="L1040" s="700">
        <f t="shared" si="261"/>
        <v>19.054721076622531</v>
      </c>
      <c r="M1040" s="703">
        <v>45</v>
      </c>
      <c r="N1040" s="532"/>
      <c r="O1040" s="361"/>
      <c r="P1040" s="169" t="s">
        <v>12</v>
      </c>
      <c r="Q1040" s="838">
        <v>45468</v>
      </c>
      <c r="R1040" s="580"/>
    </row>
    <row r="1041" spans="1:20" s="169" customFormat="1" ht="15.75" x14ac:dyDescent="0.25">
      <c r="A1041" s="169" t="s">
        <v>1002</v>
      </c>
      <c r="B1041" s="169" t="s">
        <v>609</v>
      </c>
      <c r="C1041" s="169">
        <v>43</v>
      </c>
      <c r="D1041" s="169">
        <v>38</v>
      </c>
      <c r="E1041" s="169" t="s">
        <v>1042</v>
      </c>
      <c r="F1041" s="180">
        <v>10</v>
      </c>
      <c r="G1041" s="499">
        <v>4607</v>
      </c>
      <c r="H1041" s="180">
        <f t="shared" si="262"/>
        <v>2896</v>
      </c>
      <c r="I1041" s="180">
        <f t="shared" si="259"/>
        <v>6.2860863902756678</v>
      </c>
      <c r="J1041" s="180">
        <f t="shared" si="260"/>
        <v>16.286086390275667</v>
      </c>
      <c r="K1041" s="345">
        <v>0.3</v>
      </c>
      <c r="L1041" s="180">
        <f t="shared" si="261"/>
        <v>21.171912307358369</v>
      </c>
      <c r="M1041" s="170">
        <v>45</v>
      </c>
      <c r="N1041" s="532"/>
      <c r="O1041" s="361"/>
      <c r="Q1041" s="838"/>
      <c r="R1041" s="580"/>
    </row>
    <row r="1042" spans="1:20" s="169" customFormat="1" ht="15.75" hidden="1" x14ac:dyDescent="0.25">
      <c r="B1042" s="169" t="s">
        <v>891</v>
      </c>
      <c r="C1042" s="169">
        <v>44</v>
      </c>
      <c r="D1042" s="169">
        <v>54</v>
      </c>
      <c r="E1042" s="699" t="s">
        <v>1045</v>
      </c>
      <c r="F1042" s="700">
        <v>10</v>
      </c>
      <c r="G1042" s="701">
        <v>4607</v>
      </c>
      <c r="H1042" s="700">
        <f t="shared" si="262"/>
        <v>2896</v>
      </c>
      <c r="I1042" s="700">
        <f t="shared" si="259"/>
        <v>6.2860863902756678</v>
      </c>
      <c r="J1042" s="700">
        <f t="shared" si="260"/>
        <v>16.286086390275667</v>
      </c>
      <c r="K1042" s="702">
        <v>0.3</v>
      </c>
      <c r="L1042" s="700">
        <f t="shared" si="261"/>
        <v>21.171912307358369</v>
      </c>
      <c r="M1042" s="703">
        <v>50</v>
      </c>
      <c r="N1042" s="532"/>
      <c r="O1042" s="361"/>
      <c r="P1042" s="169" t="s">
        <v>1819</v>
      </c>
      <c r="Q1042" s="838">
        <v>45296</v>
      </c>
      <c r="R1042" s="580">
        <f>+M1042*10000</f>
        <v>500000</v>
      </c>
    </row>
    <row r="1043" spans="1:20" s="169" customFormat="1" ht="15.75" hidden="1" x14ac:dyDescent="0.25">
      <c r="B1043" s="169" t="s">
        <v>891</v>
      </c>
      <c r="C1043" s="169">
        <v>45</v>
      </c>
      <c r="D1043" s="169">
        <v>50</v>
      </c>
      <c r="E1043" s="699" t="s">
        <v>1046</v>
      </c>
      <c r="F1043" s="700">
        <v>10</v>
      </c>
      <c r="G1043" s="701">
        <v>4607</v>
      </c>
      <c r="H1043" s="700">
        <f t="shared" si="262"/>
        <v>2896</v>
      </c>
      <c r="I1043" s="700">
        <f t="shared" si="259"/>
        <v>6.2860863902756678</v>
      </c>
      <c r="J1043" s="700">
        <f t="shared" si="260"/>
        <v>16.286086390275667</v>
      </c>
      <c r="K1043" s="702">
        <v>0.3</v>
      </c>
      <c r="L1043" s="700">
        <f t="shared" si="261"/>
        <v>21.171912307358369</v>
      </c>
      <c r="M1043" s="703">
        <v>50</v>
      </c>
      <c r="N1043" s="532"/>
      <c r="O1043" s="361"/>
      <c r="P1043" s="169" t="s">
        <v>1819</v>
      </c>
      <c r="Q1043" s="838">
        <v>45360</v>
      </c>
      <c r="R1043" s="580">
        <f>+M1043*18000</f>
        <v>900000</v>
      </c>
    </row>
    <row r="1044" spans="1:20" s="169" customFormat="1" ht="15.75" hidden="1" x14ac:dyDescent="0.25">
      <c r="B1044" s="169" t="s">
        <v>1020</v>
      </c>
      <c r="C1044" s="169">
        <v>46</v>
      </c>
      <c r="D1044" s="169">
        <v>36</v>
      </c>
      <c r="E1044" s="699" t="s">
        <v>1021</v>
      </c>
      <c r="F1044" s="700">
        <v>11</v>
      </c>
      <c r="G1044" s="701">
        <v>4607</v>
      </c>
      <c r="H1044" s="700">
        <f t="shared" si="262"/>
        <v>2896</v>
      </c>
      <c r="I1044" s="700">
        <f t="shared" si="259"/>
        <v>6.9146950293032345</v>
      </c>
      <c r="J1044" s="700">
        <f t="shared" si="260"/>
        <v>17.914695029303235</v>
      </c>
      <c r="K1044" s="702">
        <v>0.3</v>
      </c>
      <c r="L1044" s="700">
        <f t="shared" si="261"/>
        <v>23.289103538094206</v>
      </c>
      <c r="M1044" s="703">
        <v>35</v>
      </c>
      <c r="N1044" s="532"/>
      <c r="O1044" s="361"/>
      <c r="P1044" s="169" t="s">
        <v>2224</v>
      </c>
      <c r="Q1044" s="838">
        <v>45377</v>
      </c>
      <c r="R1044" s="580">
        <f>+M1044*20000</f>
        <v>700000</v>
      </c>
    </row>
    <row r="1045" spans="1:20" s="169" customFormat="1" ht="15.75" x14ac:dyDescent="0.25">
      <c r="B1045" s="169" t="s">
        <v>1020</v>
      </c>
      <c r="C1045" s="169">
        <v>47</v>
      </c>
      <c r="D1045" s="169">
        <v>40</v>
      </c>
      <c r="E1045" s="169" t="s">
        <v>1021</v>
      </c>
      <c r="F1045" s="180">
        <v>11</v>
      </c>
      <c r="G1045" s="499">
        <v>4607</v>
      </c>
      <c r="H1045" s="180">
        <f t="shared" si="262"/>
        <v>2896</v>
      </c>
      <c r="I1045" s="180">
        <f t="shared" si="259"/>
        <v>6.9146950293032345</v>
      </c>
      <c r="J1045" s="180">
        <f t="shared" si="260"/>
        <v>17.914695029303235</v>
      </c>
      <c r="K1045" s="345">
        <v>0.3</v>
      </c>
      <c r="L1045" s="180">
        <f t="shared" si="261"/>
        <v>23.289103538094206</v>
      </c>
      <c r="M1045" s="170">
        <v>55</v>
      </c>
      <c r="N1045" s="532"/>
      <c r="O1045" s="361"/>
      <c r="Q1045" s="838"/>
      <c r="R1045" s="580"/>
    </row>
    <row r="1046" spans="1:20" s="169" customFormat="1" ht="15.75" x14ac:dyDescent="0.25">
      <c r="B1046" s="169" t="s">
        <v>1020</v>
      </c>
      <c r="C1046" s="169">
        <v>48</v>
      </c>
      <c r="D1046" s="169">
        <v>42</v>
      </c>
      <c r="E1046" s="169" t="s">
        <v>1021</v>
      </c>
      <c r="F1046" s="180">
        <v>11</v>
      </c>
      <c r="G1046" s="499">
        <v>4607</v>
      </c>
      <c r="H1046" s="180">
        <f t="shared" si="262"/>
        <v>2896</v>
      </c>
      <c r="I1046" s="180">
        <f t="shared" si="259"/>
        <v>6.9146950293032345</v>
      </c>
      <c r="J1046" s="180">
        <f t="shared" si="260"/>
        <v>17.914695029303235</v>
      </c>
      <c r="K1046" s="345">
        <v>0.3</v>
      </c>
      <c r="L1046" s="180">
        <f t="shared" si="261"/>
        <v>23.289103538094206</v>
      </c>
      <c r="M1046" s="170">
        <v>55</v>
      </c>
      <c r="N1046" s="532"/>
      <c r="O1046" s="361"/>
      <c r="Q1046" s="838"/>
      <c r="R1046" s="580"/>
    </row>
    <row r="1047" spans="1:20" s="169" customFormat="1" ht="15.75" hidden="1" x14ac:dyDescent="0.25">
      <c r="B1047" s="169" t="s">
        <v>1020</v>
      </c>
      <c r="C1047" s="169">
        <v>49</v>
      </c>
      <c r="D1047" s="169">
        <v>48</v>
      </c>
      <c r="E1047" s="571" t="s">
        <v>1021</v>
      </c>
      <c r="F1047" s="572">
        <v>11</v>
      </c>
      <c r="G1047" s="865">
        <v>4607</v>
      </c>
      <c r="H1047" s="572">
        <f t="shared" si="262"/>
        <v>2896</v>
      </c>
      <c r="I1047" s="572">
        <f t="shared" si="259"/>
        <v>6.9146950293032345</v>
      </c>
      <c r="J1047" s="572">
        <f t="shared" si="260"/>
        <v>17.914695029303235</v>
      </c>
      <c r="K1047" s="573">
        <v>0.3</v>
      </c>
      <c r="L1047" s="572">
        <f t="shared" si="261"/>
        <v>23.289103538094206</v>
      </c>
      <c r="M1047" s="866">
        <v>55</v>
      </c>
      <c r="N1047" s="532"/>
      <c r="O1047" s="361"/>
      <c r="P1047" s="169" t="s">
        <v>1823</v>
      </c>
      <c r="Q1047" s="838">
        <v>45377</v>
      </c>
      <c r="R1047" s="580"/>
    </row>
    <row r="1048" spans="1:20" s="169" customFormat="1" ht="15.75" x14ac:dyDescent="0.25">
      <c r="B1048" s="169" t="s">
        <v>203</v>
      </c>
      <c r="C1048" s="169">
        <v>50</v>
      </c>
      <c r="D1048" s="169" t="s">
        <v>507</v>
      </c>
      <c r="E1048" s="169" t="s">
        <v>1025</v>
      </c>
      <c r="F1048" s="180">
        <v>11</v>
      </c>
      <c r="G1048" s="499">
        <v>4607</v>
      </c>
      <c r="H1048" s="180">
        <f t="shared" si="262"/>
        <v>2896</v>
      </c>
      <c r="I1048" s="180">
        <f t="shared" si="259"/>
        <v>6.9146950293032345</v>
      </c>
      <c r="J1048" s="180">
        <f t="shared" si="260"/>
        <v>17.914695029303235</v>
      </c>
      <c r="K1048" s="345">
        <v>0.3</v>
      </c>
      <c r="L1048" s="180">
        <f t="shared" si="261"/>
        <v>23.289103538094206</v>
      </c>
      <c r="M1048" s="170">
        <v>30</v>
      </c>
      <c r="N1048" s="532"/>
      <c r="O1048" s="361"/>
      <c r="Q1048" s="838"/>
      <c r="R1048" s="580"/>
    </row>
    <row r="1049" spans="1:20" s="169" customFormat="1" ht="15.75" x14ac:dyDescent="0.25">
      <c r="C1049" s="169">
        <v>51</v>
      </c>
      <c r="D1049" s="169" t="s">
        <v>504</v>
      </c>
      <c r="E1049" s="169" t="s">
        <v>1025</v>
      </c>
      <c r="F1049" s="180">
        <v>11</v>
      </c>
      <c r="G1049" s="499">
        <v>4607</v>
      </c>
      <c r="H1049" s="180">
        <f t="shared" ref="H1049" si="263">7503-G1049</f>
        <v>2896</v>
      </c>
      <c r="I1049" s="180">
        <f t="shared" ref="I1049" si="264">+F1049/G1049*H1049</f>
        <v>6.9146950293032345</v>
      </c>
      <c r="J1049" s="180">
        <f t="shared" ref="J1049" si="265">+F1049+I1049</f>
        <v>17.914695029303235</v>
      </c>
      <c r="K1049" s="345">
        <v>0.3</v>
      </c>
      <c r="L1049" s="180">
        <f t="shared" ref="L1049" si="266">+J1049*K1049+J1049</f>
        <v>23.289103538094206</v>
      </c>
      <c r="M1049" s="170">
        <v>30</v>
      </c>
      <c r="N1049" s="532"/>
      <c r="O1049" s="361"/>
      <c r="P1049" s="169" t="s">
        <v>1718</v>
      </c>
      <c r="Q1049" s="838"/>
      <c r="R1049" s="580"/>
    </row>
    <row r="1050" spans="1:20" s="169" customFormat="1" ht="15.75" x14ac:dyDescent="0.25">
      <c r="B1050" s="169" t="s">
        <v>203</v>
      </c>
      <c r="C1050" s="169">
        <v>52</v>
      </c>
      <c r="D1050" s="169" t="s">
        <v>617</v>
      </c>
      <c r="E1050" s="169" t="s">
        <v>1048</v>
      </c>
      <c r="F1050" s="180">
        <v>11</v>
      </c>
      <c r="G1050" s="499">
        <v>4607</v>
      </c>
      <c r="H1050" s="180">
        <f t="shared" si="262"/>
        <v>2896</v>
      </c>
      <c r="I1050" s="180">
        <f t="shared" si="259"/>
        <v>6.9146950293032345</v>
      </c>
      <c r="J1050" s="180">
        <f t="shared" si="260"/>
        <v>17.914695029303235</v>
      </c>
      <c r="K1050" s="345">
        <v>0.3</v>
      </c>
      <c r="L1050" s="180">
        <f t="shared" si="261"/>
        <v>23.289103538094206</v>
      </c>
      <c r="M1050" s="170">
        <v>30</v>
      </c>
      <c r="N1050" s="532"/>
      <c r="O1050" s="361"/>
      <c r="Q1050" s="838"/>
      <c r="R1050" s="580"/>
    </row>
    <row r="1051" spans="1:20" s="169" customFormat="1" ht="15.75" hidden="1" x14ac:dyDescent="0.25">
      <c r="B1051" s="169" t="s">
        <v>203</v>
      </c>
      <c r="C1051" s="169">
        <v>53</v>
      </c>
      <c r="D1051" s="169" t="s">
        <v>504</v>
      </c>
      <c r="E1051" s="699" t="s">
        <v>1048</v>
      </c>
      <c r="F1051" s="700">
        <v>11</v>
      </c>
      <c r="G1051" s="701">
        <v>4607</v>
      </c>
      <c r="H1051" s="700">
        <f t="shared" si="262"/>
        <v>2896</v>
      </c>
      <c r="I1051" s="700">
        <f t="shared" si="259"/>
        <v>6.9146950293032345</v>
      </c>
      <c r="J1051" s="700">
        <f t="shared" si="260"/>
        <v>17.914695029303235</v>
      </c>
      <c r="K1051" s="702">
        <v>0.3</v>
      </c>
      <c r="L1051" s="700">
        <f t="shared" si="261"/>
        <v>23.289103538094206</v>
      </c>
      <c r="M1051" s="703">
        <v>35</v>
      </c>
      <c r="N1051" s="532"/>
      <c r="O1051" s="361"/>
      <c r="P1051" s="169" t="s">
        <v>1907</v>
      </c>
      <c r="Q1051" s="838">
        <v>45316</v>
      </c>
      <c r="R1051" s="580">
        <f>+M1051*7000</f>
        <v>245000</v>
      </c>
    </row>
    <row r="1052" spans="1:20" s="337" customFormat="1" ht="15.75" hidden="1" x14ac:dyDescent="0.25">
      <c r="A1052" s="169"/>
      <c r="B1052" s="169" t="s">
        <v>203</v>
      </c>
      <c r="C1052" s="169">
        <v>54</v>
      </c>
      <c r="D1052" s="169" t="s">
        <v>507</v>
      </c>
      <c r="E1052" s="699" t="s">
        <v>1048</v>
      </c>
      <c r="F1052" s="700">
        <v>11</v>
      </c>
      <c r="G1052" s="701">
        <v>4607</v>
      </c>
      <c r="H1052" s="700">
        <f t="shared" si="262"/>
        <v>2896</v>
      </c>
      <c r="I1052" s="700">
        <f t="shared" si="259"/>
        <v>6.9146950293032345</v>
      </c>
      <c r="J1052" s="700">
        <f t="shared" si="260"/>
        <v>17.914695029303235</v>
      </c>
      <c r="K1052" s="702">
        <v>0.3</v>
      </c>
      <c r="L1052" s="700">
        <f t="shared" si="261"/>
        <v>23.289103538094206</v>
      </c>
      <c r="M1052" s="703">
        <v>30</v>
      </c>
      <c r="N1052" s="532"/>
      <c r="O1052" s="361"/>
      <c r="P1052" s="169" t="s">
        <v>12</v>
      </c>
      <c r="Q1052" s="838">
        <v>45376</v>
      </c>
      <c r="R1052" s="580">
        <f>+M1052*20000</f>
        <v>600000</v>
      </c>
      <c r="S1052" s="169"/>
      <c r="T1052" s="169"/>
    </row>
    <row r="1053" spans="1:20" s="337" customFormat="1" ht="15.75" x14ac:dyDescent="0.25">
      <c r="A1053" s="169"/>
      <c r="B1053" s="169" t="s">
        <v>203</v>
      </c>
      <c r="C1053" s="169">
        <v>55</v>
      </c>
      <c r="D1053" s="169" t="s">
        <v>617</v>
      </c>
      <c r="E1053" s="169" t="s">
        <v>1047</v>
      </c>
      <c r="F1053" s="180">
        <v>11</v>
      </c>
      <c r="G1053" s="499">
        <v>4607</v>
      </c>
      <c r="H1053" s="180">
        <f t="shared" si="262"/>
        <v>2896</v>
      </c>
      <c r="I1053" s="180">
        <f>+F1053/G1053*H1053</f>
        <v>6.9146950293032345</v>
      </c>
      <c r="J1053" s="180">
        <f>+F1053+I1053</f>
        <v>17.914695029303235</v>
      </c>
      <c r="K1053" s="345">
        <v>0.3</v>
      </c>
      <c r="L1053" s="180">
        <f>+J1053*K1053+J1053</f>
        <v>23.289103538094206</v>
      </c>
      <c r="M1053" s="170">
        <v>30</v>
      </c>
      <c r="N1053" s="532"/>
      <c r="O1053" s="361"/>
      <c r="P1053" s="169"/>
      <c r="Q1053" s="838"/>
      <c r="R1053" s="580"/>
      <c r="S1053" s="169"/>
      <c r="T1053" s="169"/>
    </row>
    <row r="1054" spans="1:20" s="337" customFormat="1" ht="15.75" x14ac:dyDescent="0.25">
      <c r="A1054" s="169"/>
      <c r="B1054" s="169" t="s">
        <v>203</v>
      </c>
      <c r="C1054" s="169">
        <v>56</v>
      </c>
      <c r="D1054" s="169" t="s">
        <v>504</v>
      </c>
      <c r="E1054" s="169" t="s">
        <v>1026</v>
      </c>
      <c r="F1054" s="180">
        <v>11</v>
      </c>
      <c r="G1054" s="499">
        <v>4607</v>
      </c>
      <c r="H1054" s="180">
        <f t="shared" si="262"/>
        <v>2896</v>
      </c>
      <c r="I1054" s="180">
        <f>+F1054/G1054*H1054</f>
        <v>6.9146950293032345</v>
      </c>
      <c r="J1054" s="180">
        <f>+F1054+I1054</f>
        <v>17.914695029303235</v>
      </c>
      <c r="K1054" s="345">
        <v>0.3</v>
      </c>
      <c r="L1054" s="180">
        <f>+J1054*K1054+J1054</f>
        <v>23.289103538094206</v>
      </c>
      <c r="M1054" s="170">
        <v>30</v>
      </c>
      <c r="N1054" s="532"/>
      <c r="O1054" s="361"/>
      <c r="P1054" s="169"/>
      <c r="Q1054" s="838"/>
      <c r="R1054" s="580"/>
      <c r="S1054" s="169"/>
      <c r="T1054" s="169"/>
    </row>
    <row r="1055" spans="1:20" s="337" customFormat="1" ht="15.75" x14ac:dyDescent="0.25">
      <c r="A1055" s="169"/>
      <c r="B1055" s="169" t="s">
        <v>203</v>
      </c>
      <c r="C1055" s="169">
        <v>57</v>
      </c>
      <c r="D1055" s="169" t="s">
        <v>507</v>
      </c>
      <c r="E1055" s="169" t="s">
        <v>1026</v>
      </c>
      <c r="F1055" s="180">
        <v>11</v>
      </c>
      <c r="G1055" s="499">
        <v>4607</v>
      </c>
      <c r="H1055" s="180">
        <f t="shared" si="262"/>
        <v>2896</v>
      </c>
      <c r="I1055" s="180">
        <f>+F1055/G1055*H1055</f>
        <v>6.9146950293032345</v>
      </c>
      <c r="J1055" s="180">
        <f>+F1055+I1055</f>
        <v>17.914695029303235</v>
      </c>
      <c r="K1055" s="345">
        <v>0.3</v>
      </c>
      <c r="L1055" s="180">
        <f>+J1055*K1055+J1055</f>
        <v>23.289103538094206</v>
      </c>
      <c r="M1055" s="170">
        <v>30</v>
      </c>
      <c r="N1055" s="532"/>
      <c r="O1055" s="361"/>
      <c r="P1055" s="169"/>
      <c r="Q1055" s="838"/>
      <c r="R1055" s="580"/>
      <c r="S1055" s="169"/>
      <c r="T1055" s="169"/>
    </row>
    <row r="1056" spans="1:20" s="337" customFormat="1" ht="15.75" x14ac:dyDescent="0.25">
      <c r="A1056" s="169"/>
      <c r="B1056" s="613">
        <v>44986</v>
      </c>
      <c r="C1056" s="169"/>
      <c r="D1056" s="169"/>
      <c r="F1056" s="180"/>
      <c r="G1056" s="499"/>
      <c r="H1056" s="180"/>
      <c r="I1056" s="180"/>
      <c r="J1056" s="180"/>
      <c r="K1056" s="345"/>
      <c r="L1056" s="180"/>
      <c r="M1056" s="170"/>
      <c r="N1056" s="532"/>
      <c r="O1056" s="169"/>
      <c r="P1056" s="169"/>
      <c r="Q1056" s="838"/>
      <c r="R1056" s="580"/>
      <c r="S1056" s="169"/>
      <c r="T1056" s="169"/>
    </row>
    <row r="1057" spans="1:20" s="337" customFormat="1" ht="15.75" hidden="1" x14ac:dyDescent="0.25">
      <c r="A1057" s="169"/>
      <c r="B1057" s="331" t="s">
        <v>609</v>
      </c>
      <c r="C1057" s="337">
        <v>58</v>
      </c>
      <c r="D1057" s="337">
        <v>44</v>
      </c>
      <c r="E1057" s="704" t="s">
        <v>1178</v>
      </c>
      <c r="F1057" s="695">
        <v>10</v>
      </c>
      <c r="G1057" s="705">
        <v>8267</v>
      </c>
      <c r="H1057" s="695">
        <v>7400</v>
      </c>
      <c r="I1057" s="695">
        <f t="shared" ref="I1057:I1068" si="267">+F1057/G1057*H1057</f>
        <v>8.9512519656465468</v>
      </c>
      <c r="J1057" s="695">
        <f t="shared" ref="J1057:J1068" si="268">+F1057+I1057</f>
        <v>18.951251965646549</v>
      </c>
      <c r="K1057" s="706">
        <v>0.3</v>
      </c>
      <c r="L1057" s="695">
        <f t="shared" ref="L1057:L1068" si="269">+J1057*1.3</f>
        <v>24.636627555340514</v>
      </c>
      <c r="M1057" s="707">
        <v>45</v>
      </c>
      <c r="N1057" s="675"/>
      <c r="O1057" s="361"/>
      <c r="P1057" s="169" t="s">
        <v>12</v>
      </c>
      <c r="Q1057" s="835">
        <v>45324</v>
      </c>
      <c r="R1057" s="580">
        <f>+M1057*8000</f>
        <v>360000</v>
      </c>
    </row>
    <row r="1058" spans="1:20" s="337" customFormat="1" ht="15.75" hidden="1" x14ac:dyDescent="0.25">
      <c r="A1058" s="169"/>
      <c r="B1058" s="331" t="s">
        <v>609</v>
      </c>
      <c r="C1058" s="337">
        <v>59</v>
      </c>
      <c r="D1058" s="337">
        <v>46</v>
      </c>
      <c r="E1058" s="704" t="s">
        <v>1178</v>
      </c>
      <c r="F1058" s="695">
        <v>10</v>
      </c>
      <c r="G1058" s="705">
        <v>8267</v>
      </c>
      <c r="H1058" s="695">
        <v>7400</v>
      </c>
      <c r="I1058" s="695">
        <f t="shared" si="267"/>
        <v>8.9512519656465468</v>
      </c>
      <c r="J1058" s="695">
        <f t="shared" si="268"/>
        <v>18.951251965646549</v>
      </c>
      <c r="K1058" s="706">
        <v>0.3</v>
      </c>
      <c r="L1058" s="695">
        <f t="shared" si="269"/>
        <v>24.636627555340514</v>
      </c>
      <c r="M1058" s="707">
        <v>45</v>
      </c>
      <c r="N1058" s="675"/>
      <c r="O1058" s="361"/>
      <c r="P1058" s="505" t="s">
        <v>12</v>
      </c>
      <c r="Q1058" s="835">
        <v>45387</v>
      </c>
      <c r="R1058" s="580">
        <f>+M1058*36000</f>
        <v>1620000</v>
      </c>
    </row>
    <row r="1059" spans="1:20" s="337" customFormat="1" ht="15.75" hidden="1" x14ac:dyDescent="0.25">
      <c r="A1059" s="169"/>
      <c r="B1059" s="331" t="s">
        <v>609</v>
      </c>
      <c r="C1059" s="337">
        <v>60</v>
      </c>
      <c r="D1059" s="337">
        <v>48</v>
      </c>
      <c r="E1059" s="704" t="s">
        <v>1178</v>
      </c>
      <c r="F1059" s="695">
        <v>10</v>
      </c>
      <c r="G1059" s="705">
        <v>8267</v>
      </c>
      <c r="H1059" s="695">
        <v>7400</v>
      </c>
      <c r="I1059" s="695">
        <f t="shared" si="267"/>
        <v>8.9512519656465468</v>
      </c>
      <c r="J1059" s="695">
        <f t="shared" si="268"/>
        <v>18.951251965646549</v>
      </c>
      <c r="K1059" s="706">
        <v>0.3</v>
      </c>
      <c r="L1059" s="695">
        <f t="shared" si="269"/>
        <v>24.636627555340514</v>
      </c>
      <c r="M1059" s="707">
        <v>45</v>
      </c>
      <c r="N1059" s="675"/>
      <c r="O1059" s="361"/>
      <c r="P1059" s="169" t="s">
        <v>12</v>
      </c>
      <c r="Q1059" s="835">
        <v>45356</v>
      </c>
      <c r="R1059" s="580">
        <f>+M1059*18000</f>
        <v>810000</v>
      </c>
    </row>
    <row r="1060" spans="1:20" s="337" customFormat="1" ht="15.75" hidden="1" x14ac:dyDescent="0.25">
      <c r="A1060" s="169"/>
      <c r="B1060" s="331" t="s">
        <v>609</v>
      </c>
      <c r="C1060" s="337">
        <v>61</v>
      </c>
      <c r="D1060" s="337">
        <v>50</v>
      </c>
      <c r="E1060" s="704" t="s">
        <v>1178</v>
      </c>
      <c r="F1060" s="695">
        <v>10</v>
      </c>
      <c r="G1060" s="705">
        <v>8267</v>
      </c>
      <c r="H1060" s="695">
        <v>7400</v>
      </c>
      <c r="I1060" s="695">
        <f t="shared" si="267"/>
        <v>8.9512519656465468</v>
      </c>
      <c r="J1060" s="695">
        <f t="shared" si="268"/>
        <v>18.951251965646549</v>
      </c>
      <c r="K1060" s="706">
        <v>0.3</v>
      </c>
      <c r="L1060" s="695">
        <f t="shared" si="269"/>
        <v>24.636627555340514</v>
      </c>
      <c r="M1060" s="707">
        <v>50</v>
      </c>
      <c r="N1060" s="675"/>
      <c r="O1060" s="361"/>
      <c r="P1060" s="169" t="s">
        <v>12</v>
      </c>
      <c r="Q1060" s="835">
        <v>45295</v>
      </c>
      <c r="R1060" s="580">
        <f>+M1060*10000</f>
        <v>500000</v>
      </c>
    </row>
    <row r="1061" spans="1:20" s="337" customFormat="1" ht="15.75" x14ac:dyDescent="0.25">
      <c r="A1061" s="169"/>
      <c r="B1061" s="331" t="s">
        <v>1184</v>
      </c>
      <c r="C1061" s="337">
        <v>62</v>
      </c>
      <c r="D1061" s="337">
        <v>48</v>
      </c>
      <c r="E1061" s="337" t="s">
        <v>1180</v>
      </c>
      <c r="F1061" s="338">
        <v>14</v>
      </c>
      <c r="G1061" s="339">
        <v>8267</v>
      </c>
      <c r="H1061" s="338">
        <v>7400</v>
      </c>
      <c r="I1061" s="338">
        <f t="shared" si="267"/>
        <v>12.531752751905165</v>
      </c>
      <c r="J1061" s="338">
        <f t="shared" si="268"/>
        <v>26.531752751905167</v>
      </c>
      <c r="K1061" s="340">
        <v>0.3</v>
      </c>
      <c r="L1061" s="338">
        <f t="shared" si="269"/>
        <v>34.49127857747672</v>
      </c>
      <c r="M1061" s="341">
        <v>55</v>
      </c>
      <c r="N1061" s="675"/>
      <c r="O1061" s="361"/>
      <c r="P1061" s="169"/>
      <c r="Q1061" s="835"/>
      <c r="R1061" s="580"/>
    </row>
    <row r="1062" spans="1:20" s="337" customFormat="1" ht="15.75" x14ac:dyDescent="0.25">
      <c r="A1062" s="169"/>
      <c r="B1062" s="331" t="s">
        <v>1184</v>
      </c>
      <c r="C1062" s="337">
        <v>63</v>
      </c>
      <c r="D1062" s="337">
        <v>44</v>
      </c>
      <c r="E1062" s="337" t="s">
        <v>1179</v>
      </c>
      <c r="F1062" s="338">
        <v>14</v>
      </c>
      <c r="G1062" s="339">
        <v>8267</v>
      </c>
      <c r="H1062" s="338">
        <v>7400</v>
      </c>
      <c r="I1062" s="338">
        <f t="shared" si="267"/>
        <v>12.531752751905165</v>
      </c>
      <c r="J1062" s="338">
        <f t="shared" si="268"/>
        <v>26.531752751905167</v>
      </c>
      <c r="K1062" s="340">
        <v>0.3</v>
      </c>
      <c r="L1062" s="338">
        <f t="shared" si="269"/>
        <v>34.49127857747672</v>
      </c>
      <c r="M1062" s="341">
        <v>55</v>
      </c>
      <c r="N1062" s="675"/>
      <c r="O1062" s="361"/>
      <c r="P1062" s="169"/>
      <c r="Q1062" s="835"/>
      <c r="R1062" s="580"/>
    </row>
    <row r="1063" spans="1:20" s="337" customFormat="1" ht="15.75" x14ac:dyDescent="0.25">
      <c r="A1063" s="169"/>
      <c r="B1063" s="331" t="s">
        <v>1184</v>
      </c>
      <c r="C1063" s="337">
        <v>64</v>
      </c>
      <c r="D1063" s="337">
        <v>46</v>
      </c>
      <c r="E1063" s="337" t="s">
        <v>1179</v>
      </c>
      <c r="F1063" s="338">
        <v>14</v>
      </c>
      <c r="G1063" s="339">
        <v>8267</v>
      </c>
      <c r="H1063" s="338">
        <v>7400</v>
      </c>
      <c r="I1063" s="338">
        <f t="shared" si="267"/>
        <v>12.531752751905165</v>
      </c>
      <c r="J1063" s="338">
        <f t="shared" si="268"/>
        <v>26.531752751905167</v>
      </c>
      <c r="K1063" s="340">
        <v>0.3</v>
      </c>
      <c r="L1063" s="338">
        <f t="shared" si="269"/>
        <v>34.49127857747672</v>
      </c>
      <c r="M1063" s="341">
        <v>55</v>
      </c>
      <c r="N1063" s="675"/>
      <c r="O1063" s="361"/>
      <c r="P1063" s="169"/>
      <c r="Q1063" s="835"/>
      <c r="R1063" s="580"/>
    </row>
    <row r="1064" spans="1:20" ht="15" customHeight="1" x14ac:dyDescent="0.25">
      <c r="A1064" s="169"/>
      <c r="B1064" s="331" t="s">
        <v>1184</v>
      </c>
      <c r="C1064" s="337">
        <v>65</v>
      </c>
      <c r="D1064" s="337">
        <v>48</v>
      </c>
      <c r="E1064" s="337" t="s">
        <v>1179</v>
      </c>
      <c r="F1064" s="338">
        <v>14</v>
      </c>
      <c r="G1064" s="339">
        <v>8267</v>
      </c>
      <c r="H1064" s="338">
        <v>7400</v>
      </c>
      <c r="I1064" s="338">
        <f t="shared" si="267"/>
        <v>12.531752751905165</v>
      </c>
      <c r="J1064" s="338">
        <f t="shared" si="268"/>
        <v>26.531752751905167</v>
      </c>
      <c r="K1064" s="340">
        <v>0.3</v>
      </c>
      <c r="L1064" s="338">
        <f t="shared" si="269"/>
        <v>34.49127857747672</v>
      </c>
      <c r="M1064" s="341">
        <v>55</v>
      </c>
      <c r="N1064" s="675"/>
      <c r="O1064" s="361"/>
      <c r="P1064" s="169"/>
      <c r="Q1064" s="835"/>
      <c r="R1064" s="580"/>
      <c r="S1064" s="337"/>
      <c r="T1064" s="337"/>
    </row>
    <row r="1065" spans="1:20" ht="15" customHeight="1" x14ac:dyDescent="0.25">
      <c r="A1065" s="169"/>
      <c r="B1065" s="331" t="s">
        <v>1184</v>
      </c>
      <c r="C1065" s="337">
        <v>66</v>
      </c>
      <c r="D1065" s="337">
        <v>50</v>
      </c>
      <c r="E1065" s="337" t="s">
        <v>1179</v>
      </c>
      <c r="F1065" s="338">
        <v>14</v>
      </c>
      <c r="G1065" s="339">
        <v>8267</v>
      </c>
      <c r="H1065" s="338">
        <v>7400</v>
      </c>
      <c r="I1065" s="338">
        <f t="shared" si="267"/>
        <v>12.531752751905165</v>
      </c>
      <c r="J1065" s="338">
        <f t="shared" si="268"/>
        <v>26.531752751905167</v>
      </c>
      <c r="K1065" s="340">
        <v>0.3</v>
      </c>
      <c r="L1065" s="338">
        <f t="shared" si="269"/>
        <v>34.49127857747672</v>
      </c>
      <c r="M1065" s="341">
        <v>55</v>
      </c>
      <c r="N1065" s="675"/>
      <c r="O1065" s="361"/>
      <c r="P1065" s="169"/>
      <c r="Q1065" s="835"/>
      <c r="R1065" s="580"/>
      <c r="S1065" s="337"/>
      <c r="T1065" s="337"/>
    </row>
    <row r="1066" spans="1:20" ht="15" customHeight="1" outlineLevel="1" x14ac:dyDescent="0.25">
      <c r="A1066" s="169"/>
      <c r="B1066" s="331" t="s">
        <v>1729</v>
      </c>
      <c r="C1066" s="337">
        <v>67</v>
      </c>
      <c r="D1066" s="337">
        <v>38</v>
      </c>
      <c r="E1066" s="337" t="s">
        <v>1181</v>
      </c>
      <c r="F1066" s="338">
        <v>20</v>
      </c>
      <c r="G1066" s="339">
        <v>8267</v>
      </c>
      <c r="H1066" s="338">
        <v>7400</v>
      </c>
      <c r="I1066" s="338">
        <f t="shared" si="267"/>
        <v>17.902503931293094</v>
      </c>
      <c r="J1066" s="338">
        <f t="shared" si="268"/>
        <v>37.902503931293097</v>
      </c>
      <c r="K1066" s="340">
        <v>0.3</v>
      </c>
      <c r="L1066" s="338">
        <f t="shared" si="269"/>
        <v>49.273255110681028</v>
      </c>
      <c r="M1066" s="341">
        <v>55</v>
      </c>
      <c r="N1066" s="675"/>
      <c r="O1066" s="361"/>
      <c r="P1066" s="169"/>
      <c r="Q1066" s="835"/>
      <c r="R1066" s="580"/>
      <c r="S1066" s="337"/>
      <c r="T1066" s="337"/>
    </row>
    <row r="1067" spans="1:20" ht="15" customHeight="1" outlineLevel="1" x14ac:dyDescent="0.25">
      <c r="A1067" s="169"/>
      <c r="B1067" s="331" t="s">
        <v>1729</v>
      </c>
      <c r="C1067" s="337">
        <v>68</v>
      </c>
      <c r="D1067" s="337">
        <v>40</v>
      </c>
      <c r="E1067" s="337" t="s">
        <v>1181</v>
      </c>
      <c r="F1067" s="338">
        <v>20</v>
      </c>
      <c r="G1067" s="339">
        <v>8267</v>
      </c>
      <c r="H1067" s="338">
        <v>7400</v>
      </c>
      <c r="I1067" s="338">
        <f t="shared" si="267"/>
        <v>17.902503931293094</v>
      </c>
      <c r="J1067" s="338">
        <f t="shared" si="268"/>
        <v>37.902503931293097</v>
      </c>
      <c r="K1067" s="340">
        <v>0.3</v>
      </c>
      <c r="L1067" s="338">
        <f t="shared" si="269"/>
        <v>49.273255110681028</v>
      </c>
      <c r="M1067" s="341">
        <v>55</v>
      </c>
      <c r="N1067" s="675"/>
      <c r="O1067" s="361"/>
      <c r="P1067" s="169"/>
      <c r="Q1067" s="835"/>
      <c r="R1067" s="580"/>
      <c r="S1067" s="337"/>
      <c r="T1067" s="337"/>
    </row>
    <row r="1068" spans="1:20" ht="15" customHeight="1" outlineLevel="1" x14ac:dyDescent="0.25">
      <c r="A1068" s="169"/>
      <c r="B1068" s="331" t="s">
        <v>1182</v>
      </c>
      <c r="C1068" s="337">
        <v>69</v>
      </c>
      <c r="D1068" s="337">
        <v>42</v>
      </c>
      <c r="E1068" s="337" t="s">
        <v>1183</v>
      </c>
      <c r="F1068" s="338">
        <v>22</v>
      </c>
      <c r="G1068" s="339">
        <v>8267</v>
      </c>
      <c r="H1068" s="338">
        <v>7400</v>
      </c>
      <c r="I1068" s="338">
        <f t="shared" si="267"/>
        <v>19.692754324422403</v>
      </c>
      <c r="J1068" s="338">
        <f t="shared" si="268"/>
        <v>41.692754324422403</v>
      </c>
      <c r="K1068" s="340">
        <v>0.3</v>
      </c>
      <c r="L1068" s="338">
        <f t="shared" si="269"/>
        <v>54.200580621749125</v>
      </c>
      <c r="M1068" s="341">
        <v>65</v>
      </c>
      <c r="N1068" s="675"/>
      <c r="O1068" s="361"/>
      <c r="P1068" s="169"/>
      <c r="Q1068" s="835"/>
      <c r="R1068" s="580"/>
      <c r="S1068" s="337"/>
      <c r="T1068" s="337"/>
    </row>
    <row r="1069" spans="1:20" s="178" customFormat="1" ht="15.75" hidden="1" x14ac:dyDescent="0.25">
      <c r="A1069" s="319" t="s">
        <v>602</v>
      </c>
      <c r="B1069" s="319" t="s">
        <v>602</v>
      </c>
      <c r="C1069" s="337">
        <v>70</v>
      </c>
      <c r="D1069" s="178">
        <v>44</v>
      </c>
      <c r="E1069" s="704" t="s">
        <v>1292</v>
      </c>
      <c r="F1069" s="232">
        <v>14</v>
      </c>
      <c r="G1069" s="305">
        <v>9682</v>
      </c>
      <c r="H1069" s="232">
        <v>7766</v>
      </c>
      <c r="I1069" s="611">
        <f>+F1069/G1069*H1069</f>
        <v>11.229498037595539</v>
      </c>
      <c r="J1069" s="611">
        <f>+F1069+I1069</f>
        <v>25.22949803759554</v>
      </c>
      <c r="K1069" s="612">
        <v>0.4</v>
      </c>
      <c r="L1069" s="611">
        <f>+J1069*1.4</f>
        <v>35.321297252633755</v>
      </c>
      <c r="M1069" s="707">
        <v>45</v>
      </c>
      <c r="N1069" s="675"/>
      <c r="O1069" s="590"/>
      <c r="P1069" s="169" t="s">
        <v>1831</v>
      </c>
      <c r="Q1069" s="833">
        <v>45300</v>
      </c>
      <c r="R1069" s="396">
        <f>+M1069*10000</f>
        <v>450000</v>
      </c>
    </row>
    <row r="1070" spans="1:20" s="178" customFormat="1" ht="15.75" x14ac:dyDescent="0.25">
      <c r="A1070" s="319" t="s">
        <v>602</v>
      </c>
      <c r="B1070" s="319" t="s">
        <v>602</v>
      </c>
      <c r="C1070" s="337">
        <v>71</v>
      </c>
      <c r="D1070" s="178">
        <v>46</v>
      </c>
      <c r="E1070" s="337" t="s">
        <v>1292</v>
      </c>
      <c r="F1070" s="226">
        <v>14</v>
      </c>
      <c r="G1070" s="227">
        <v>9682</v>
      </c>
      <c r="H1070" s="226">
        <v>7766</v>
      </c>
      <c r="I1070" s="174">
        <f>+F1070/G1070*H1070</f>
        <v>11.229498037595539</v>
      </c>
      <c r="J1070" s="174">
        <f>+F1070+I1070</f>
        <v>25.22949803759554</v>
      </c>
      <c r="K1070" s="316">
        <v>0.4</v>
      </c>
      <c r="L1070" s="174">
        <f>+J1070*1.4</f>
        <v>35.321297252633755</v>
      </c>
      <c r="M1070" s="341">
        <v>45</v>
      </c>
      <c r="N1070" s="675"/>
      <c r="O1070" s="590"/>
      <c r="Q1070" s="833"/>
      <c r="R1070" s="396"/>
    </row>
    <row r="1071" spans="1:20" s="178" customFormat="1" ht="15.75" x14ac:dyDescent="0.25">
      <c r="A1071" s="319" t="s">
        <v>602</v>
      </c>
      <c r="B1071" s="319" t="s">
        <v>602</v>
      </c>
      <c r="C1071" s="337">
        <v>72</v>
      </c>
      <c r="D1071" s="178">
        <v>48</v>
      </c>
      <c r="E1071" s="337" t="s">
        <v>1292</v>
      </c>
      <c r="F1071" s="226">
        <v>14</v>
      </c>
      <c r="G1071" s="227">
        <v>9682</v>
      </c>
      <c r="H1071" s="226">
        <v>7766</v>
      </c>
      <c r="I1071" s="174">
        <f>+F1071/G1071*H1071</f>
        <v>11.229498037595539</v>
      </c>
      <c r="J1071" s="174">
        <f>+F1071+I1071</f>
        <v>25.22949803759554</v>
      </c>
      <c r="K1071" s="316">
        <v>0.4</v>
      </c>
      <c r="L1071" s="174">
        <f>+J1071*1.4</f>
        <v>35.321297252633755</v>
      </c>
      <c r="M1071" s="341">
        <v>45</v>
      </c>
      <c r="N1071" s="675"/>
      <c r="O1071" s="590"/>
      <c r="Q1071" s="833"/>
      <c r="R1071" s="396"/>
    </row>
    <row r="1072" spans="1:20" s="178" customFormat="1" ht="15.75" x14ac:dyDescent="0.25">
      <c r="A1072" s="319" t="s">
        <v>602</v>
      </c>
      <c r="B1072" s="319" t="s">
        <v>602</v>
      </c>
      <c r="C1072" s="337">
        <v>73</v>
      </c>
      <c r="D1072" s="178">
        <v>54</v>
      </c>
      <c r="E1072" s="337" t="s">
        <v>1292</v>
      </c>
      <c r="F1072" s="226">
        <v>14</v>
      </c>
      <c r="G1072" s="227">
        <v>9682</v>
      </c>
      <c r="H1072" s="226">
        <v>7766</v>
      </c>
      <c r="I1072" s="174">
        <f>+F1072/G1072*H1072</f>
        <v>11.229498037595539</v>
      </c>
      <c r="J1072" s="174">
        <f>+F1072+I1072</f>
        <v>25.22949803759554</v>
      </c>
      <c r="K1072" s="316">
        <v>0.4</v>
      </c>
      <c r="L1072" s="174">
        <f>+J1072*1.4</f>
        <v>35.321297252633755</v>
      </c>
      <c r="M1072" s="341">
        <v>45</v>
      </c>
      <c r="N1072" s="675"/>
      <c r="O1072" s="590"/>
      <c r="Q1072" s="833"/>
      <c r="R1072" s="396"/>
    </row>
    <row r="1073" spans="1:20" s="238" customFormat="1" ht="15.75" x14ac:dyDescent="0.25">
      <c r="A1073" s="676" t="s">
        <v>602</v>
      </c>
      <c r="B1073" s="676" t="s">
        <v>602</v>
      </c>
      <c r="D1073" s="238">
        <v>54</v>
      </c>
      <c r="E1073" s="632" t="s">
        <v>1292</v>
      </c>
      <c r="F1073" s="631">
        <v>14</v>
      </c>
      <c r="G1073" s="677">
        <v>9682</v>
      </c>
      <c r="H1073" s="631">
        <v>7766</v>
      </c>
      <c r="I1073" s="663">
        <f>+F1073/G1073*H1073</f>
        <v>11.229498037595539</v>
      </c>
      <c r="J1073" s="663">
        <f>+F1073+I1073</f>
        <v>25.22949803759554</v>
      </c>
      <c r="K1073" s="662">
        <v>0.4</v>
      </c>
      <c r="L1073" s="663">
        <f>+J1073*1.4</f>
        <v>35.321297252633755</v>
      </c>
      <c r="M1073" s="675">
        <v>45</v>
      </c>
      <c r="N1073" s="675"/>
      <c r="Q1073" s="841"/>
      <c r="R1073" s="918"/>
    </row>
    <row r="1074" spans="1:20" s="178" customFormat="1" hidden="1" x14ac:dyDescent="0.25">
      <c r="A1074" s="225" t="s">
        <v>203</v>
      </c>
      <c r="B1074" s="319"/>
      <c r="C1074" s="337">
        <v>74</v>
      </c>
      <c r="D1074" s="178" t="s">
        <v>501</v>
      </c>
      <c r="E1074" s="704" t="s">
        <v>1717</v>
      </c>
      <c r="F1074" s="698">
        <v>9</v>
      </c>
      <c r="G1074" s="305">
        <v>9682</v>
      </c>
      <c r="H1074" s="232">
        <v>7766</v>
      </c>
      <c r="I1074" s="611">
        <f t="shared" ref="I1074:I1075" si="270">+F1074/G1074*H1074</f>
        <v>7.2189630241685609</v>
      </c>
      <c r="J1074" s="611">
        <f t="shared" ref="J1074:J1075" si="271">+F1074+I1074</f>
        <v>16.218963024168559</v>
      </c>
      <c r="K1074" s="612">
        <v>0.4</v>
      </c>
      <c r="L1074" s="611">
        <f t="shared" ref="L1074:L1075" si="272">+J1074*1.4</f>
        <v>22.706548233835981</v>
      </c>
      <c r="M1074" s="232">
        <v>30</v>
      </c>
      <c r="N1074" s="631">
        <v>10</v>
      </c>
      <c r="O1074" s="590"/>
      <c r="P1074" s="178" t="s">
        <v>12</v>
      </c>
      <c r="Q1074" s="836">
        <v>45353</v>
      </c>
      <c r="R1074" s="914">
        <f>+N1074*15000</f>
        <v>150000</v>
      </c>
    </row>
    <row r="1075" spans="1:20" s="178" customFormat="1" hidden="1" x14ac:dyDescent="0.25">
      <c r="A1075" s="225" t="s">
        <v>203</v>
      </c>
      <c r="B1075" s="319"/>
      <c r="C1075" s="337">
        <v>75</v>
      </c>
      <c r="D1075" s="178" t="s">
        <v>501</v>
      </c>
      <c r="E1075" s="704" t="s">
        <v>1451</v>
      </c>
      <c r="F1075" s="698">
        <v>9</v>
      </c>
      <c r="G1075" s="305">
        <v>9682</v>
      </c>
      <c r="H1075" s="232">
        <v>7766</v>
      </c>
      <c r="I1075" s="611">
        <f t="shared" si="270"/>
        <v>7.2189630241685609</v>
      </c>
      <c r="J1075" s="611">
        <f t="shared" si="271"/>
        <v>16.218963024168559</v>
      </c>
      <c r="K1075" s="612">
        <v>0.4</v>
      </c>
      <c r="L1075" s="611">
        <f t="shared" si="272"/>
        <v>22.706548233835981</v>
      </c>
      <c r="M1075" s="232">
        <v>30</v>
      </c>
      <c r="N1075" s="631">
        <v>10</v>
      </c>
      <c r="O1075" s="590"/>
      <c r="P1075" s="178" t="s">
        <v>12</v>
      </c>
      <c r="Q1075" s="836">
        <v>45320</v>
      </c>
      <c r="R1075" s="914">
        <f>+N1075*7000</f>
        <v>70000</v>
      </c>
    </row>
    <row r="1076" spans="1:20" s="178" customFormat="1" x14ac:dyDescent="0.25">
      <c r="A1076" s="225"/>
      <c r="B1076" s="319"/>
      <c r="E1076" s="615">
        <v>45170</v>
      </c>
      <c r="F1076" s="175"/>
      <c r="G1076" s="227"/>
      <c r="H1076" s="226"/>
      <c r="I1076" s="174"/>
      <c r="J1076" s="174"/>
      <c r="K1076" s="316"/>
      <c r="L1076" s="174"/>
      <c r="M1076" s="226"/>
      <c r="N1076" s="631"/>
      <c r="Q1076" s="836"/>
      <c r="R1076" s="914"/>
    </row>
    <row r="1077" spans="1:20" s="178" customFormat="1" x14ac:dyDescent="0.25">
      <c r="B1077" s="319" t="s">
        <v>1613</v>
      </c>
      <c r="C1077" s="337">
        <v>76</v>
      </c>
      <c r="D1077" s="178">
        <v>46</v>
      </c>
      <c r="E1077" s="347" t="s">
        <v>1526</v>
      </c>
      <c r="F1077" s="175">
        <v>10</v>
      </c>
      <c r="G1077" s="227">
        <v>5278</v>
      </c>
      <c r="H1077" s="226">
        <v>7702</v>
      </c>
      <c r="I1077" s="338">
        <f t="shared" ref="I1077:I1084" si="273">+F1077/G1077*H1077</f>
        <v>14.592648730579766</v>
      </c>
      <c r="J1077" s="614">
        <f t="shared" ref="J1077:J1084" si="274">+F1077+I1077</f>
        <v>24.592648730579768</v>
      </c>
      <c r="K1077" s="316">
        <v>0.4</v>
      </c>
      <c r="L1077" s="174">
        <f t="shared" ref="L1077:L1084" si="275">+J1077*1.4</f>
        <v>34.429708222811669</v>
      </c>
      <c r="M1077" s="226">
        <v>45</v>
      </c>
      <c r="N1077" s="631"/>
      <c r="O1077" s="590"/>
      <c r="Q1077" s="836"/>
      <c r="R1077" s="914"/>
    </row>
    <row r="1078" spans="1:20" s="178" customFormat="1" x14ac:dyDescent="0.25">
      <c r="B1078" s="319" t="s">
        <v>1613</v>
      </c>
      <c r="C1078" s="337">
        <v>77</v>
      </c>
      <c r="D1078" s="178">
        <v>48</v>
      </c>
      <c r="E1078" s="347" t="s">
        <v>1526</v>
      </c>
      <c r="F1078" s="175">
        <v>10</v>
      </c>
      <c r="G1078" s="227">
        <v>5278</v>
      </c>
      <c r="H1078" s="226">
        <v>7702</v>
      </c>
      <c r="I1078" s="338">
        <f t="shared" si="273"/>
        <v>14.592648730579766</v>
      </c>
      <c r="J1078" s="614">
        <f t="shared" si="274"/>
        <v>24.592648730579768</v>
      </c>
      <c r="K1078" s="316">
        <v>0.4</v>
      </c>
      <c r="L1078" s="174">
        <f t="shared" si="275"/>
        <v>34.429708222811669</v>
      </c>
      <c r="M1078" s="226">
        <v>45</v>
      </c>
      <c r="N1078" s="631"/>
      <c r="O1078" s="590"/>
      <c r="Q1078" s="836"/>
      <c r="R1078" s="914"/>
    </row>
    <row r="1079" spans="1:20" s="178" customFormat="1" x14ac:dyDescent="0.25">
      <c r="B1079" s="319" t="s">
        <v>1613</v>
      </c>
      <c r="C1079" s="337">
        <v>78</v>
      </c>
      <c r="D1079" s="178">
        <v>50</v>
      </c>
      <c r="E1079" s="347" t="s">
        <v>1526</v>
      </c>
      <c r="F1079" s="175">
        <v>10</v>
      </c>
      <c r="G1079" s="227">
        <v>5278</v>
      </c>
      <c r="H1079" s="226">
        <v>7702</v>
      </c>
      <c r="I1079" s="338">
        <f t="shared" si="273"/>
        <v>14.592648730579766</v>
      </c>
      <c r="J1079" s="614">
        <f t="shared" si="274"/>
        <v>24.592648730579768</v>
      </c>
      <c r="K1079" s="316">
        <v>0.4</v>
      </c>
      <c r="L1079" s="174">
        <f t="shared" si="275"/>
        <v>34.429708222811669</v>
      </c>
      <c r="M1079" s="226">
        <v>45</v>
      </c>
      <c r="N1079" s="631"/>
      <c r="O1079" s="590"/>
      <c r="Q1079" s="836"/>
      <c r="R1079" s="914"/>
      <c r="T1079" s="229"/>
    </row>
    <row r="1080" spans="1:20" s="178" customFormat="1" x14ac:dyDescent="0.25">
      <c r="B1080" s="319" t="s">
        <v>1613</v>
      </c>
      <c r="C1080" s="337">
        <v>79</v>
      </c>
      <c r="D1080" s="178">
        <v>52</v>
      </c>
      <c r="E1080" s="347" t="s">
        <v>1526</v>
      </c>
      <c r="F1080" s="175">
        <v>10</v>
      </c>
      <c r="G1080" s="227">
        <v>5278</v>
      </c>
      <c r="H1080" s="226">
        <v>7702</v>
      </c>
      <c r="I1080" s="338">
        <f t="shared" si="273"/>
        <v>14.592648730579766</v>
      </c>
      <c r="J1080" s="614">
        <f t="shared" si="274"/>
        <v>24.592648730579768</v>
      </c>
      <c r="K1080" s="316">
        <v>0.4</v>
      </c>
      <c r="L1080" s="174">
        <f t="shared" si="275"/>
        <v>34.429708222811669</v>
      </c>
      <c r="M1080" s="226">
        <v>45</v>
      </c>
      <c r="N1080" s="631"/>
      <c r="O1080" s="590"/>
      <c r="Q1080" s="836"/>
      <c r="R1080" s="914"/>
    </row>
    <row r="1081" spans="1:20" s="178" customFormat="1" x14ac:dyDescent="0.25">
      <c r="B1081" s="319" t="s">
        <v>1613</v>
      </c>
      <c r="C1081" s="337">
        <v>80</v>
      </c>
      <c r="D1081" s="178">
        <v>54</v>
      </c>
      <c r="E1081" s="347" t="s">
        <v>1526</v>
      </c>
      <c r="F1081" s="175">
        <v>10</v>
      </c>
      <c r="G1081" s="227">
        <v>5278</v>
      </c>
      <c r="H1081" s="226">
        <v>7702</v>
      </c>
      <c r="I1081" s="338">
        <f t="shared" si="273"/>
        <v>14.592648730579766</v>
      </c>
      <c r="J1081" s="614">
        <f t="shared" si="274"/>
        <v>24.592648730579768</v>
      </c>
      <c r="K1081" s="316">
        <v>0.4</v>
      </c>
      <c r="L1081" s="174">
        <f t="shared" si="275"/>
        <v>34.429708222811669</v>
      </c>
      <c r="M1081" s="226">
        <v>45</v>
      </c>
      <c r="N1081" s="631"/>
      <c r="O1081" s="590"/>
      <c r="Q1081" s="836"/>
      <c r="R1081" s="914"/>
    </row>
    <row r="1082" spans="1:20" s="178" customFormat="1" x14ac:dyDescent="0.25">
      <c r="B1082" s="319" t="s">
        <v>1613</v>
      </c>
      <c r="C1082" s="337">
        <v>81</v>
      </c>
      <c r="D1082" s="178">
        <v>46</v>
      </c>
      <c r="E1082" s="347" t="s">
        <v>1526</v>
      </c>
      <c r="F1082" s="175">
        <v>10</v>
      </c>
      <c r="G1082" s="227">
        <v>5278</v>
      </c>
      <c r="H1082" s="226">
        <v>7702</v>
      </c>
      <c r="I1082" s="338">
        <f t="shared" si="273"/>
        <v>14.592648730579766</v>
      </c>
      <c r="J1082" s="614">
        <f t="shared" si="274"/>
        <v>24.592648730579768</v>
      </c>
      <c r="K1082" s="316">
        <v>0.4</v>
      </c>
      <c r="L1082" s="174">
        <f t="shared" si="275"/>
        <v>34.429708222811669</v>
      </c>
      <c r="M1082" s="226">
        <v>45</v>
      </c>
      <c r="N1082" s="631"/>
      <c r="O1082" s="590"/>
      <c r="Q1082" s="836"/>
      <c r="R1082" s="914"/>
      <c r="T1082" s="229"/>
    </row>
    <row r="1083" spans="1:20" s="178" customFormat="1" x14ac:dyDescent="0.25">
      <c r="B1083" s="319" t="s">
        <v>1613</v>
      </c>
      <c r="C1083" s="337">
        <v>82</v>
      </c>
      <c r="D1083" s="178">
        <v>48</v>
      </c>
      <c r="E1083" s="347" t="s">
        <v>1526</v>
      </c>
      <c r="F1083" s="175">
        <v>10</v>
      </c>
      <c r="G1083" s="227">
        <v>5278</v>
      </c>
      <c r="H1083" s="226">
        <v>7702</v>
      </c>
      <c r="I1083" s="338">
        <f t="shared" si="273"/>
        <v>14.592648730579766</v>
      </c>
      <c r="J1083" s="614">
        <f t="shared" si="274"/>
        <v>24.592648730579768</v>
      </c>
      <c r="K1083" s="316">
        <v>0.4</v>
      </c>
      <c r="L1083" s="174">
        <f t="shared" si="275"/>
        <v>34.429708222811669</v>
      </c>
      <c r="M1083" s="226">
        <v>45</v>
      </c>
      <c r="N1083" s="631"/>
      <c r="O1083" s="590"/>
      <c r="P1083" s="178" t="s">
        <v>1734</v>
      </c>
      <c r="Q1083" s="836"/>
      <c r="R1083" s="914"/>
    </row>
    <row r="1084" spans="1:20" s="178" customFormat="1" x14ac:dyDescent="0.25">
      <c r="B1084" s="319" t="s">
        <v>1613</v>
      </c>
      <c r="C1084" s="337">
        <v>83</v>
      </c>
      <c r="D1084" s="178">
        <v>52</v>
      </c>
      <c r="E1084" s="347" t="s">
        <v>1526</v>
      </c>
      <c r="F1084" s="175">
        <v>10</v>
      </c>
      <c r="G1084" s="227">
        <v>5278</v>
      </c>
      <c r="H1084" s="226">
        <v>7702</v>
      </c>
      <c r="I1084" s="338">
        <f t="shared" si="273"/>
        <v>14.592648730579766</v>
      </c>
      <c r="J1084" s="614">
        <f t="shared" si="274"/>
        <v>24.592648730579768</v>
      </c>
      <c r="K1084" s="316">
        <v>0.4</v>
      </c>
      <c r="L1084" s="174">
        <f t="shared" si="275"/>
        <v>34.429708222811669</v>
      </c>
      <c r="M1084" s="226">
        <v>45</v>
      </c>
      <c r="N1084" s="631"/>
      <c r="O1084" s="590"/>
      <c r="Q1084" s="836"/>
      <c r="R1084" s="914"/>
    </row>
    <row r="1085" spans="1:20" s="178" customFormat="1" x14ac:dyDescent="0.25">
      <c r="B1085" s="319" t="s">
        <v>1613</v>
      </c>
      <c r="C1085" s="337">
        <v>84</v>
      </c>
      <c r="D1085" s="178">
        <v>52</v>
      </c>
      <c r="E1085" s="347" t="s">
        <v>1526</v>
      </c>
      <c r="F1085" s="175">
        <v>10</v>
      </c>
      <c r="G1085" s="227">
        <v>5278</v>
      </c>
      <c r="H1085" s="226">
        <v>7702</v>
      </c>
      <c r="I1085" s="338">
        <f t="shared" ref="I1085" si="276">+F1085/G1085*H1085</f>
        <v>14.592648730579766</v>
      </c>
      <c r="J1085" s="614">
        <f t="shared" ref="J1085" si="277">+F1085+I1085</f>
        <v>24.592648730579768</v>
      </c>
      <c r="K1085" s="316">
        <v>0.4</v>
      </c>
      <c r="L1085" s="174">
        <f t="shared" ref="L1085" si="278">+J1085*1.4</f>
        <v>34.429708222811669</v>
      </c>
      <c r="M1085" s="226">
        <v>45</v>
      </c>
      <c r="N1085" s="631"/>
      <c r="O1085" s="590"/>
      <c r="P1085" s="178" t="s">
        <v>1730</v>
      </c>
      <c r="Q1085" s="836"/>
      <c r="R1085" s="914"/>
    </row>
    <row r="1086" spans="1:20" s="178" customFormat="1" x14ac:dyDescent="0.25">
      <c r="A1086" s="178" t="s">
        <v>763</v>
      </c>
      <c r="B1086" s="319" t="s">
        <v>1612</v>
      </c>
      <c r="C1086" s="337">
        <v>85</v>
      </c>
      <c r="D1086" s="178">
        <v>42</v>
      </c>
      <c r="E1086" s="347" t="s">
        <v>368</v>
      </c>
      <c r="F1086" s="175">
        <v>11</v>
      </c>
      <c r="G1086" s="227">
        <v>5278</v>
      </c>
      <c r="H1086" s="226">
        <v>7702</v>
      </c>
      <c r="I1086" s="338">
        <f t="shared" ref="I1086:I1097" si="279">+F1086/G1086*H1086</f>
        <v>16.05191360363774</v>
      </c>
      <c r="J1086" s="614">
        <f t="shared" ref="J1086:J1097" si="280">+F1086+I1086</f>
        <v>27.05191360363774</v>
      </c>
      <c r="K1086" s="316">
        <v>0.4</v>
      </c>
      <c r="L1086" s="174">
        <f t="shared" ref="L1086:L1097" si="281">+J1086*1.4</f>
        <v>37.872679045092831</v>
      </c>
      <c r="M1086" s="226">
        <v>35</v>
      </c>
      <c r="N1086" s="631"/>
      <c r="O1086" s="590"/>
      <c r="Q1086" s="836"/>
      <c r="R1086" s="914"/>
    </row>
    <row r="1087" spans="1:20" s="178" customFormat="1" x14ac:dyDescent="0.25">
      <c r="A1087" s="178" t="s">
        <v>763</v>
      </c>
      <c r="B1087" s="319" t="s">
        <v>1612</v>
      </c>
      <c r="C1087" s="337">
        <v>86</v>
      </c>
      <c r="D1087" s="178">
        <v>44</v>
      </c>
      <c r="E1087" s="347" t="s">
        <v>368</v>
      </c>
      <c r="F1087" s="175">
        <v>11</v>
      </c>
      <c r="G1087" s="227">
        <v>5278</v>
      </c>
      <c r="H1087" s="226">
        <v>7702</v>
      </c>
      <c r="I1087" s="338">
        <f t="shared" si="279"/>
        <v>16.05191360363774</v>
      </c>
      <c r="J1087" s="614">
        <f t="shared" si="280"/>
        <v>27.05191360363774</v>
      </c>
      <c r="K1087" s="316">
        <v>0.4</v>
      </c>
      <c r="L1087" s="174">
        <f t="shared" si="281"/>
        <v>37.872679045092831</v>
      </c>
      <c r="M1087" s="226">
        <v>35</v>
      </c>
      <c r="N1087" s="631"/>
      <c r="O1087" s="590"/>
      <c r="Q1087" s="836"/>
      <c r="R1087" s="914"/>
    </row>
    <row r="1088" spans="1:20" s="238" customFormat="1" x14ac:dyDescent="0.25">
      <c r="A1088" s="238" t="s">
        <v>763</v>
      </c>
      <c r="B1088" s="676" t="s">
        <v>1612</v>
      </c>
      <c r="D1088" s="238">
        <v>46</v>
      </c>
      <c r="E1088" s="679" t="s">
        <v>368</v>
      </c>
      <c r="F1088" s="633">
        <v>11</v>
      </c>
      <c r="G1088" s="677">
        <v>5278</v>
      </c>
      <c r="H1088" s="631">
        <v>7702</v>
      </c>
      <c r="I1088" s="660">
        <f t="shared" si="279"/>
        <v>16.05191360363774</v>
      </c>
      <c r="J1088" s="661">
        <f t="shared" si="280"/>
        <v>27.05191360363774</v>
      </c>
      <c r="K1088" s="662">
        <v>0.4</v>
      </c>
      <c r="L1088" s="663">
        <f t="shared" si="281"/>
        <v>37.872679045092831</v>
      </c>
      <c r="M1088" s="631">
        <v>35</v>
      </c>
      <c r="N1088" s="631"/>
      <c r="Q1088" s="843"/>
      <c r="R1088" s="920"/>
    </row>
    <row r="1089" spans="1:18" s="178" customFormat="1" x14ac:dyDescent="0.25">
      <c r="A1089" s="178" t="s">
        <v>763</v>
      </c>
      <c r="B1089" s="319" t="s">
        <v>1612</v>
      </c>
      <c r="C1089" s="337">
        <v>87</v>
      </c>
      <c r="D1089" s="178">
        <v>42</v>
      </c>
      <c r="E1089" s="347" t="s">
        <v>1530</v>
      </c>
      <c r="F1089" s="175">
        <v>11</v>
      </c>
      <c r="G1089" s="227">
        <v>5278</v>
      </c>
      <c r="H1089" s="226">
        <v>7702</v>
      </c>
      <c r="I1089" s="338">
        <f t="shared" si="279"/>
        <v>16.05191360363774</v>
      </c>
      <c r="J1089" s="614">
        <f t="shared" si="280"/>
        <v>27.05191360363774</v>
      </c>
      <c r="K1089" s="316">
        <v>0.4</v>
      </c>
      <c r="L1089" s="174">
        <f t="shared" si="281"/>
        <v>37.872679045092831</v>
      </c>
      <c r="M1089" s="226">
        <v>35</v>
      </c>
      <c r="N1089" s="631"/>
      <c r="O1089" s="590"/>
      <c r="Q1089" s="836"/>
      <c r="R1089" s="914"/>
    </row>
    <row r="1090" spans="1:18" s="178" customFormat="1" x14ac:dyDescent="0.25">
      <c r="A1090" s="178" t="s">
        <v>763</v>
      </c>
      <c r="B1090" s="319" t="s">
        <v>1612</v>
      </c>
      <c r="C1090" s="337">
        <v>88</v>
      </c>
      <c r="D1090" s="178">
        <v>44</v>
      </c>
      <c r="E1090" s="347" t="s">
        <v>1530</v>
      </c>
      <c r="F1090" s="175">
        <v>11</v>
      </c>
      <c r="G1090" s="227">
        <v>5278</v>
      </c>
      <c r="H1090" s="226">
        <v>7702</v>
      </c>
      <c r="I1090" s="338">
        <f t="shared" si="279"/>
        <v>16.05191360363774</v>
      </c>
      <c r="J1090" s="614">
        <f t="shared" si="280"/>
        <v>27.05191360363774</v>
      </c>
      <c r="K1090" s="316">
        <v>0.4</v>
      </c>
      <c r="L1090" s="174">
        <f t="shared" si="281"/>
        <v>37.872679045092831</v>
      </c>
      <c r="M1090" s="226">
        <v>35</v>
      </c>
      <c r="N1090" s="631"/>
      <c r="O1090" s="590"/>
      <c r="Q1090" s="836"/>
      <c r="R1090" s="914"/>
    </row>
    <row r="1091" spans="1:18" s="178" customFormat="1" x14ac:dyDescent="0.25">
      <c r="A1091" s="178" t="s">
        <v>763</v>
      </c>
      <c r="B1091" s="319" t="s">
        <v>1612</v>
      </c>
      <c r="C1091" s="337">
        <v>89</v>
      </c>
      <c r="D1091" s="178">
        <v>46</v>
      </c>
      <c r="E1091" s="347" t="s">
        <v>1530</v>
      </c>
      <c r="F1091" s="175">
        <v>11</v>
      </c>
      <c r="G1091" s="227">
        <v>5278</v>
      </c>
      <c r="H1091" s="226">
        <v>7702</v>
      </c>
      <c r="I1091" s="338">
        <f t="shared" si="279"/>
        <v>16.05191360363774</v>
      </c>
      <c r="J1091" s="614">
        <f t="shared" si="280"/>
        <v>27.05191360363774</v>
      </c>
      <c r="K1091" s="316">
        <v>0.4</v>
      </c>
      <c r="L1091" s="174">
        <f t="shared" si="281"/>
        <v>37.872679045092831</v>
      </c>
      <c r="M1091" s="226">
        <v>35</v>
      </c>
      <c r="N1091" s="631"/>
      <c r="O1091" s="590"/>
      <c r="Q1091" s="836"/>
      <c r="R1091" s="914"/>
    </row>
    <row r="1092" spans="1:18" s="178" customFormat="1" x14ac:dyDescent="0.25">
      <c r="A1092" s="178" t="s">
        <v>763</v>
      </c>
      <c r="B1092" s="319" t="s">
        <v>1612</v>
      </c>
      <c r="C1092" s="337">
        <v>90</v>
      </c>
      <c r="D1092" s="178">
        <v>48</v>
      </c>
      <c r="E1092" s="347" t="s">
        <v>1530</v>
      </c>
      <c r="F1092" s="175">
        <v>11</v>
      </c>
      <c r="G1092" s="227">
        <v>5278</v>
      </c>
      <c r="H1092" s="226">
        <v>7702</v>
      </c>
      <c r="I1092" s="338">
        <f t="shared" si="279"/>
        <v>16.05191360363774</v>
      </c>
      <c r="J1092" s="614">
        <f t="shared" si="280"/>
        <v>27.05191360363774</v>
      </c>
      <c r="K1092" s="316">
        <v>0.4</v>
      </c>
      <c r="L1092" s="174">
        <f t="shared" si="281"/>
        <v>37.872679045092831</v>
      </c>
      <c r="M1092" s="226">
        <v>35</v>
      </c>
      <c r="N1092" s="631"/>
      <c r="O1092" s="590"/>
      <c r="Q1092" s="836"/>
      <c r="R1092" s="914"/>
    </row>
    <row r="1093" spans="1:18" s="178" customFormat="1" x14ac:dyDescent="0.25">
      <c r="A1093" s="178" t="s">
        <v>891</v>
      </c>
      <c r="B1093" s="319" t="s">
        <v>891</v>
      </c>
      <c r="C1093" s="337">
        <v>91</v>
      </c>
      <c r="D1093" s="178">
        <v>42</v>
      </c>
      <c r="E1093" s="347" t="s">
        <v>1538</v>
      </c>
      <c r="F1093" s="175">
        <v>15</v>
      </c>
      <c r="G1093" s="227">
        <v>5278</v>
      </c>
      <c r="H1093" s="226">
        <v>7702</v>
      </c>
      <c r="I1093" s="338">
        <f t="shared" si="279"/>
        <v>21.888973095869648</v>
      </c>
      <c r="J1093" s="614">
        <f t="shared" si="280"/>
        <v>36.888973095869645</v>
      </c>
      <c r="K1093" s="316">
        <v>0.4</v>
      </c>
      <c r="L1093" s="174">
        <f t="shared" si="281"/>
        <v>51.644562334217497</v>
      </c>
      <c r="M1093" s="226">
        <v>55</v>
      </c>
      <c r="N1093" s="631"/>
      <c r="O1093" s="590"/>
      <c r="Q1093" s="836"/>
      <c r="R1093" s="914"/>
    </row>
    <row r="1094" spans="1:18" s="178" customFormat="1" x14ac:dyDescent="0.25">
      <c r="A1094" s="178" t="s">
        <v>891</v>
      </c>
      <c r="B1094" s="319" t="s">
        <v>891</v>
      </c>
      <c r="C1094" s="337">
        <v>92</v>
      </c>
      <c r="D1094" s="178">
        <v>44</v>
      </c>
      <c r="E1094" s="347" t="s">
        <v>1538</v>
      </c>
      <c r="F1094" s="175">
        <v>15</v>
      </c>
      <c r="G1094" s="227">
        <v>5278</v>
      </c>
      <c r="H1094" s="226">
        <v>7702</v>
      </c>
      <c r="I1094" s="338">
        <f t="shared" si="279"/>
        <v>21.888973095869648</v>
      </c>
      <c r="J1094" s="614">
        <f t="shared" si="280"/>
        <v>36.888973095869645</v>
      </c>
      <c r="K1094" s="316">
        <v>0.4</v>
      </c>
      <c r="L1094" s="174">
        <f t="shared" si="281"/>
        <v>51.644562334217497</v>
      </c>
      <c r="M1094" s="226">
        <v>55</v>
      </c>
      <c r="N1094" s="631"/>
      <c r="O1094" s="590"/>
      <c r="Q1094" s="836"/>
      <c r="R1094" s="914"/>
    </row>
    <row r="1095" spans="1:18" s="178" customFormat="1" x14ac:dyDescent="0.25">
      <c r="A1095" s="178" t="s">
        <v>891</v>
      </c>
      <c r="B1095" s="319" t="s">
        <v>891</v>
      </c>
      <c r="C1095" s="337">
        <v>93</v>
      </c>
      <c r="D1095" s="178">
        <v>42</v>
      </c>
      <c r="E1095" s="347" t="s">
        <v>1539</v>
      </c>
      <c r="F1095" s="175">
        <v>15</v>
      </c>
      <c r="G1095" s="227">
        <v>5278</v>
      </c>
      <c r="H1095" s="226">
        <v>7702</v>
      </c>
      <c r="I1095" s="338">
        <f t="shared" si="279"/>
        <v>21.888973095869648</v>
      </c>
      <c r="J1095" s="614">
        <f t="shared" si="280"/>
        <v>36.888973095869645</v>
      </c>
      <c r="K1095" s="316">
        <v>0.4</v>
      </c>
      <c r="L1095" s="174">
        <f t="shared" si="281"/>
        <v>51.644562334217497</v>
      </c>
      <c r="M1095" s="226">
        <v>65</v>
      </c>
      <c r="N1095" s="631"/>
      <c r="O1095" s="590"/>
      <c r="Q1095" s="836"/>
      <c r="R1095" s="914"/>
    </row>
    <row r="1096" spans="1:18" s="178" customFormat="1" x14ac:dyDescent="0.25">
      <c r="A1096" s="178" t="s">
        <v>891</v>
      </c>
      <c r="B1096" s="319" t="s">
        <v>891</v>
      </c>
      <c r="C1096" s="337">
        <v>94</v>
      </c>
      <c r="D1096" s="178">
        <v>44</v>
      </c>
      <c r="E1096" s="347" t="s">
        <v>1539</v>
      </c>
      <c r="F1096" s="175">
        <v>15</v>
      </c>
      <c r="G1096" s="227">
        <v>5278</v>
      </c>
      <c r="H1096" s="226">
        <v>7702</v>
      </c>
      <c r="I1096" s="338">
        <f t="shared" si="279"/>
        <v>21.888973095869648</v>
      </c>
      <c r="J1096" s="614">
        <f t="shared" si="280"/>
        <v>36.888973095869645</v>
      </c>
      <c r="K1096" s="316">
        <v>0.4</v>
      </c>
      <c r="L1096" s="174">
        <f t="shared" si="281"/>
        <v>51.644562334217497</v>
      </c>
      <c r="M1096" s="226">
        <v>65</v>
      </c>
      <c r="N1096" s="631"/>
      <c r="O1096" s="590"/>
      <c r="Q1096" s="836"/>
      <c r="R1096" s="914"/>
    </row>
    <row r="1097" spans="1:18" s="178" customFormat="1" hidden="1" x14ac:dyDescent="0.25">
      <c r="A1097" s="225" t="s">
        <v>203</v>
      </c>
      <c r="B1097" s="225" t="s">
        <v>203</v>
      </c>
      <c r="C1097" s="337">
        <v>95</v>
      </c>
      <c r="E1097" s="708" t="s">
        <v>1551</v>
      </c>
      <c r="F1097" s="232">
        <v>19</v>
      </c>
      <c r="G1097" s="305">
        <v>5278</v>
      </c>
      <c r="H1097" s="232">
        <v>7702</v>
      </c>
      <c r="I1097" s="695">
        <f t="shared" si="279"/>
        <v>27.726032588101553</v>
      </c>
      <c r="J1097" s="696">
        <f t="shared" si="280"/>
        <v>46.726032588101553</v>
      </c>
      <c r="K1097" s="612">
        <v>0.4</v>
      </c>
      <c r="L1097" s="611">
        <f t="shared" si="281"/>
        <v>65.41644562334217</v>
      </c>
      <c r="M1097" s="232">
        <v>65</v>
      </c>
      <c r="N1097" s="631"/>
      <c r="O1097" s="590"/>
      <c r="P1097" s="178" t="s">
        <v>1908</v>
      </c>
      <c r="Q1097" s="836">
        <v>45316</v>
      </c>
      <c r="R1097" s="914">
        <f>+M1097*7000</f>
        <v>455000</v>
      </c>
    </row>
    <row r="1098" spans="1:18" s="178" customFormat="1" hidden="1" x14ac:dyDescent="0.25">
      <c r="A1098" s="178" t="s">
        <v>1625</v>
      </c>
      <c r="B1098" s="319" t="s">
        <v>1570</v>
      </c>
      <c r="C1098" s="337">
        <v>96</v>
      </c>
      <c r="D1098" s="178" t="s">
        <v>789</v>
      </c>
      <c r="E1098" s="752" t="s">
        <v>1571</v>
      </c>
      <c r="F1098" s="698">
        <v>12</v>
      </c>
      <c r="G1098" s="232">
        <v>1162</v>
      </c>
      <c r="H1098" s="232">
        <v>2629</v>
      </c>
      <c r="I1098" s="695">
        <f t="shared" ref="I1098:I1099" si="282">+F1098/G1098*H1098</f>
        <v>27.149741824440621</v>
      </c>
      <c r="J1098" s="696">
        <f t="shared" ref="J1098:J1099" si="283">+F1098+I1098</f>
        <v>39.149741824440625</v>
      </c>
      <c r="K1098" s="612">
        <v>0.4</v>
      </c>
      <c r="L1098" s="611">
        <f t="shared" ref="L1098:L1099" si="284">+J1098*1.4</f>
        <v>54.809638554216875</v>
      </c>
      <c r="M1098" s="232">
        <v>55</v>
      </c>
      <c r="N1098" s="631"/>
      <c r="O1098" s="590"/>
      <c r="P1098" s="178" t="s">
        <v>12</v>
      </c>
      <c r="Q1098" s="836">
        <v>45416</v>
      </c>
      <c r="R1098" s="914">
        <f>+M1098*14.5</f>
        <v>797.5</v>
      </c>
    </row>
    <row r="1099" spans="1:18" s="178" customFormat="1" x14ac:dyDescent="0.25">
      <c r="A1099" s="178" t="s">
        <v>1625</v>
      </c>
      <c r="B1099" s="319" t="s">
        <v>1570</v>
      </c>
      <c r="C1099" s="337">
        <v>97</v>
      </c>
      <c r="D1099" s="178" t="s">
        <v>495</v>
      </c>
      <c r="E1099" s="347" t="s">
        <v>1571</v>
      </c>
      <c r="F1099" s="175">
        <v>12</v>
      </c>
      <c r="G1099" s="226">
        <v>1162</v>
      </c>
      <c r="H1099" s="226">
        <v>2629</v>
      </c>
      <c r="I1099" s="338">
        <f t="shared" si="282"/>
        <v>27.149741824440621</v>
      </c>
      <c r="J1099" s="614">
        <f t="shared" si="283"/>
        <v>39.149741824440625</v>
      </c>
      <c r="K1099" s="316">
        <v>0.4</v>
      </c>
      <c r="L1099" s="174">
        <f t="shared" si="284"/>
        <v>54.809638554216875</v>
      </c>
      <c r="M1099" s="226">
        <v>55</v>
      </c>
      <c r="N1099" s="631"/>
      <c r="O1099" s="590"/>
      <c r="Q1099" s="836"/>
      <c r="R1099" s="914"/>
    </row>
    <row r="1100" spans="1:18" s="178" customFormat="1" x14ac:dyDescent="0.25">
      <c r="B1100" s="653">
        <v>45352</v>
      </c>
      <c r="R1100" s="914"/>
    </row>
    <row r="1101" spans="1:18" s="178" customFormat="1" x14ac:dyDescent="0.25">
      <c r="A1101" s="225" t="s">
        <v>2130</v>
      </c>
      <c r="B1101" s="318" t="s">
        <v>2238</v>
      </c>
      <c r="C1101" s="337">
        <v>98</v>
      </c>
      <c r="D1101" s="656" t="s">
        <v>2237</v>
      </c>
      <c r="E1101" s="628" t="s">
        <v>2131</v>
      </c>
      <c r="F1101" s="226">
        <v>10</v>
      </c>
      <c r="G1101" s="178">
        <v>4192</v>
      </c>
      <c r="H1101" s="226">
        <v>3417</v>
      </c>
      <c r="I1101" s="226">
        <f t="shared" ref="I1101:I1112" si="285">+H1101/G1101*F1101</f>
        <v>8.151240458015268</v>
      </c>
      <c r="J1101" s="820">
        <f t="shared" ref="J1101:J1112" si="286">+F1101+I1101</f>
        <v>18.151240458015266</v>
      </c>
      <c r="K1101" s="228">
        <v>1.4</v>
      </c>
      <c r="L1101" s="226">
        <f t="shared" ref="L1101:L1112" si="287">+J1101*K1101</f>
        <v>25.411736641221371</v>
      </c>
      <c r="M1101" s="226">
        <v>35</v>
      </c>
      <c r="R1101" s="914"/>
    </row>
    <row r="1102" spans="1:18" s="178" customFormat="1" hidden="1" x14ac:dyDescent="0.25">
      <c r="A1102" s="862" t="s">
        <v>2130</v>
      </c>
      <c r="B1102" s="318" t="s">
        <v>2238</v>
      </c>
      <c r="C1102" s="337">
        <v>99</v>
      </c>
      <c r="D1102" s="656" t="s">
        <v>504</v>
      </c>
      <c r="E1102" s="708" t="s">
        <v>2131</v>
      </c>
      <c r="F1102" s="232">
        <v>10</v>
      </c>
      <c r="G1102" s="213">
        <v>4192</v>
      </c>
      <c r="H1102" s="232">
        <v>3417</v>
      </c>
      <c r="I1102" s="232">
        <f t="shared" si="285"/>
        <v>8.151240458015268</v>
      </c>
      <c r="J1102" s="863">
        <f t="shared" si="286"/>
        <v>18.151240458015266</v>
      </c>
      <c r="K1102" s="864">
        <v>1.4</v>
      </c>
      <c r="L1102" s="232">
        <f t="shared" si="287"/>
        <v>25.411736641221371</v>
      </c>
      <c r="M1102" s="232">
        <v>35</v>
      </c>
      <c r="P1102" s="178" t="s">
        <v>12</v>
      </c>
      <c r="Q1102" s="229">
        <v>45376</v>
      </c>
      <c r="R1102" s="914">
        <f>+M1102*20000</f>
        <v>700000</v>
      </c>
    </row>
    <row r="1103" spans="1:18" s="178" customFormat="1" x14ac:dyDescent="0.25">
      <c r="A1103" s="225" t="s">
        <v>2130</v>
      </c>
      <c r="B1103" s="318" t="s">
        <v>2238</v>
      </c>
      <c r="C1103" s="337">
        <v>100</v>
      </c>
      <c r="D1103" s="656" t="s">
        <v>501</v>
      </c>
      <c r="E1103" s="628" t="s">
        <v>2131</v>
      </c>
      <c r="F1103" s="226">
        <v>10</v>
      </c>
      <c r="G1103" s="178">
        <v>4192</v>
      </c>
      <c r="H1103" s="226">
        <v>3417</v>
      </c>
      <c r="I1103" s="226">
        <f t="shared" si="285"/>
        <v>8.151240458015268</v>
      </c>
      <c r="J1103" s="820">
        <f t="shared" si="286"/>
        <v>18.151240458015266</v>
      </c>
      <c r="K1103" s="228">
        <v>1.4</v>
      </c>
      <c r="L1103" s="226">
        <f t="shared" si="287"/>
        <v>25.411736641221371</v>
      </c>
      <c r="M1103" s="226">
        <v>35</v>
      </c>
      <c r="R1103" s="914"/>
    </row>
    <row r="1104" spans="1:18" s="178" customFormat="1" x14ac:dyDescent="0.25">
      <c r="A1104" s="225" t="s">
        <v>2130</v>
      </c>
      <c r="B1104" s="318" t="s">
        <v>2238</v>
      </c>
      <c r="C1104" s="337">
        <v>101</v>
      </c>
      <c r="D1104" s="656" t="s">
        <v>503</v>
      </c>
      <c r="E1104" s="628" t="s">
        <v>2239</v>
      </c>
      <c r="F1104" s="226">
        <v>10</v>
      </c>
      <c r="G1104" s="178">
        <v>4192</v>
      </c>
      <c r="H1104" s="226">
        <v>3417</v>
      </c>
      <c r="I1104" s="226">
        <f t="shared" si="285"/>
        <v>8.151240458015268</v>
      </c>
      <c r="J1104" s="820">
        <f t="shared" si="286"/>
        <v>18.151240458015266</v>
      </c>
      <c r="K1104" s="228">
        <v>1.4</v>
      </c>
      <c r="L1104" s="226">
        <f t="shared" si="287"/>
        <v>25.411736641221371</v>
      </c>
      <c r="M1104" s="226">
        <v>35</v>
      </c>
      <c r="R1104" s="914"/>
    </row>
    <row r="1105" spans="1:20" s="178" customFormat="1" x14ac:dyDescent="0.25">
      <c r="A1105" s="862" t="s">
        <v>2130</v>
      </c>
      <c r="B1105" s="318" t="s">
        <v>2238</v>
      </c>
      <c r="C1105" s="337">
        <v>102</v>
      </c>
      <c r="D1105" s="656" t="s">
        <v>501</v>
      </c>
      <c r="E1105" s="628" t="s">
        <v>2239</v>
      </c>
      <c r="F1105" s="226">
        <v>10</v>
      </c>
      <c r="G1105" s="178">
        <v>4192</v>
      </c>
      <c r="H1105" s="226">
        <v>3417</v>
      </c>
      <c r="I1105" s="226">
        <f t="shared" si="285"/>
        <v>8.151240458015268</v>
      </c>
      <c r="J1105" s="820">
        <f t="shared" si="286"/>
        <v>18.151240458015266</v>
      </c>
      <c r="K1105" s="228">
        <v>1.4</v>
      </c>
      <c r="L1105" s="226">
        <f t="shared" si="287"/>
        <v>25.411736641221371</v>
      </c>
      <c r="M1105" s="226">
        <v>35</v>
      </c>
      <c r="R1105" s="914"/>
    </row>
    <row r="1106" spans="1:20" s="178" customFormat="1" x14ac:dyDescent="0.25">
      <c r="A1106" s="225" t="s">
        <v>2130</v>
      </c>
      <c r="B1106" s="318" t="s">
        <v>2238</v>
      </c>
      <c r="C1106" s="337">
        <v>103</v>
      </c>
      <c r="D1106" s="656" t="s">
        <v>504</v>
      </c>
      <c r="E1106" s="628" t="s">
        <v>2239</v>
      </c>
      <c r="F1106" s="226">
        <v>10</v>
      </c>
      <c r="G1106" s="178">
        <v>4192</v>
      </c>
      <c r="H1106" s="226">
        <v>3417</v>
      </c>
      <c r="I1106" s="226">
        <f t="shared" si="285"/>
        <v>8.151240458015268</v>
      </c>
      <c r="J1106" s="820">
        <f t="shared" si="286"/>
        <v>18.151240458015266</v>
      </c>
      <c r="K1106" s="228">
        <v>1.4</v>
      </c>
      <c r="L1106" s="226">
        <f t="shared" si="287"/>
        <v>25.411736641221371</v>
      </c>
      <c r="M1106" s="226">
        <v>35</v>
      </c>
      <c r="R1106" s="914"/>
    </row>
    <row r="1107" spans="1:20" s="178" customFormat="1" x14ac:dyDescent="0.25">
      <c r="A1107" s="225" t="s">
        <v>2130</v>
      </c>
      <c r="B1107" s="318" t="s">
        <v>2238</v>
      </c>
      <c r="C1107" s="337">
        <v>104</v>
      </c>
      <c r="D1107" s="656" t="s">
        <v>503</v>
      </c>
      <c r="E1107" s="628" t="s">
        <v>2240</v>
      </c>
      <c r="F1107" s="226">
        <v>10</v>
      </c>
      <c r="G1107" s="178">
        <v>4192</v>
      </c>
      <c r="H1107" s="226">
        <v>3417</v>
      </c>
      <c r="I1107" s="226">
        <f t="shared" si="285"/>
        <v>8.151240458015268</v>
      </c>
      <c r="J1107" s="820">
        <f t="shared" si="286"/>
        <v>18.151240458015266</v>
      </c>
      <c r="K1107" s="228">
        <v>1.4</v>
      </c>
      <c r="L1107" s="226">
        <f t="shared" si="287"/>
        <v>25.411736641221371</v>
      </c>
      <c r="M1107" s="226">
        <v>35</v>
      </c>
      <c r="R1107" s="914"/>
    </row>
    <row r="1108" spans="1:20" s="178" customFormat="1" x14ac:dyDescent="0.25">
      <c r="A1108" s="225" t="s">
        <v>2130</v>
      </c>
      <c r="B1108" s="318" t="s">
        <v>2238</v>
      </c>
      <c r="C1108" s="337">
        <v>105</v>
      </c>
      <c r="D1108" s="656" t="s">
        <v>501</v>
      </c>
      <c r="E1108" s="628" t="s">
        <v>2240</v>
      </c>
      <c r="F1108" s="226">
        <v>10</v>
      </c>
      <c r="G1108" s="178">
        <v>4192</v>
      </c>
      <c r="H1108" s="226">
        <v>3417</v>
      </c>
      <c r="I1108" s="226">
        <f t="shared" si="285"/>
        <v>8.151240458015268</v>
      </c>
      <c r="J1108" s="820">
        <f t="shared" si="286"/>
        <v>18.151240458015266</v>
      </c>
      <c r="K1108" s="228">
        <v>1.4</v>
      </c>
      <c r="L1108" s="226">
        <f t="shared" si="287"/>
        <v>25.411736641221371</v>
      </c>
      <c r="M1108" s="226">
        <v>35</v>
      </c>
      <c r="R1108" s="914"/>
    </row>
    <row r="1109" spans="1:20" s="178" customFormat="1" x14ac:dyDescent="0.25">
      <c r="A1109" s="225" t="s">
        <v>2130</v>
      </c>
      <c r="B1109" s="318" t="s">
        <v>2238</v>
      </c>
      <c r="C1109" s="337">
        <v>106</v>
      </c>
      <c r="D1109" s="656" t="s">
        <v>504</v>
      </c>
      <c r="E1109" s="628" t="s">
        <v>2240</v>
      </c>
      <c r="F1109" s="226">
        <v>10</v>
      </c>
      <c r="G1109" s="178">
        <v>4192</v>
      </c>
      <c r="H1109" s="226">
        <v>3417</v>
      </c>
      <c r="I1109" s="226">
        <f t="shared" si="285"/>
        <v>8.151240458015268</v>
      </c>
      <c r="J1109" s="820">
        <f t="shared" si="286"/>
        <v>18.151240458015266</v>
      </c>
      <c r="K1109" s="228">
        <v>1.4</v>
      </c>
      <c r="L1109" s="226">
        <f t="shared" si="287"/>
        <v>25.411736641221371</v>
      </c>
      <c r="M1109" s="226">
        <v>35</v>
      </c>
      <c r="R1109" s="914"/>
    </row>
    <row r="1110" spans="1:20" s="178" customFormat="1" x14ac:dyDescent="0.25">
      <c r="A1110" s="225" t="s">
        <v>2130</v>
      </c>
      <c r="B1110" s="318" t="s">
        <v>2238</v>
      </c>
      <c r="C1110" s="337">
        <v>107</v>
      </c>
      <c r="D1110" s="656" t="s">
        <v>503</v>
      </c>
      <c r="E1110" s="628" t="s">
        <v>2241</v>
      </c>
      <c r="F1110" s="226">
        <v>10</v>
      </c>
      <c r="G1110" s="178">
        <v>4192</v>
      </c>
      <c r="H1110" s="226">
        <v>3417</v>
      </c>
      <c r="I1110" s="226">
        <f t="shared" si="285"/>
        <v>8.151240458015268</v>
      </c>
      <c r="J1110" s="820">
        <f t="shared" si="286"/>
        <v>18.151240458015266</v>
      </c>
      <c r="K1110" s="228">
        <v>1.4</v>
      </c>
      <c r="L1110" s="226">
        <f t="shared" si="287"/>
        <v>25.411736641221371</v>
      </c>
      <c r="M1110" s="226">
        <v>35</v>
      </c>
      <c r="R1110" s="914"/>
    </row>
    <row r="1111" spans="1:20" s="178" customFormat="1" x14ac:dyDescent="0.25">
      <c r="A1111" s="225" t="s">
        <v>2130</v>
      </c>
      <c r="B1111" s="318" t="s">
        <v>2238</v>
      </c>
      <c r="C1111" s="337">
        <v>108</v>
      </c>
      <c r="D1111" s="656" t="s">
        <v>501</v>
      </c>
      <c r="E1111" s="628" t="s">
        <v>2241</v>
      </c>
      <c r="F1111" s="226">
        <v>10</v>
      </c>
      <c r="G1111" s="178">
        <v>4192</v>
      </c>
      <c r="H1111" s="226">
        <v>3417</v>
      </c>
      <c r="I1111" s="226">
        <f t="shared" si="285"/>
        <v>8.151240458015268</v>
      </c>
      <c r="J1111" s="820">
        <f t="shared" si="286"/>
        <v>18.151240458015266</v>
      </c>
      <c r="K1111" s="228">
        <v>1.4</v>
      </c>
      <c r="L1111" s="226">
        <f t="shared" si="287"/>
        <v>25.411736641221371</v>
      </c>
      <c r="M1111" s="226">
        <v>35</v>
      </c>
      <c r="R1111" s="914"/>
    </row>
    <row r="1112" spans="1:20" ht="15" customHeight="1" outlineLevel="1" x14ac:dyDescent="0.25">
      <c r="A1112" s="225" t="s">
        <v>2130</v>
      </c>
      <c r="B1112" s="318" t="s">
        <v>2238</v>
      </c>
      <c r="C1112" s="337">
        <v>109</v>
      </c>
      <c r="D1112" s="656" t="s">
        <v>504</v>
      </c>
      <c r="E1112" s="628" t="s">
        <v>2241</v>
      </c>
      <c r="F1112" s="226">
        <v>10</v>
      </c>
      <c r="G1112" s="178">
        <v>4192</v>
      </c>
      <c r="H1112" s="226">
        <v>3417</v>
      </c>
      <c r="I1112" s="226">
        <f t="shared" si="285"/>
        <v>8.151240458015268</v>
      </c>
      <c r="J1112" s="820">
        <f t="shared" si="286"/>
        <v>18.151240458015266</v>
      </c>
      <c r="K1112" s="228">
        <v>1.4</v>
      </c>
      <c r="L1112" s="226">
        <f t="shared" si="287"/>
        <v>25.411736641221371</v>
      </c>
      <c r="M1112" s="226">
        <v>35</v>
      </c>
      <c r="N1112" s="178"/>
      <c r="O1112" s="178"/>
      <c r="P1112" s="178"/>
      <c r="Q1112" s="178"/>
      <c r="R1112" s="914"/>
      <c r="S1112" s="337"/>
      <c r="T1112" s="337"/>
    </row>
    <row r="1113" spans="1:20" ht="15" customHeight="1" outlineLevel="1" x14ac:dyDescent="0.25">
      <c r="B1113" s="395"/>
      <c r="C1113" s="500"/>
      <c r="D1113" s="500"/>
      <c r="E1113" s="506" t="s">
        <v>730</v>
      </c>
      <c r="F1113" s="150">
        <f>SUM(F988:F1055)</f>
        <v>654.5</v>
      </c>
      <c r="G1113" s="150"/>
      <c r="H1113" s="150"/>
      <c r="I1113" s="150"/>
      <c r="J1113" s="150"/>
      <c r="K1113" s="150"/>
      <c r="L1113" s="150">
        <f>SUM(L988:L1055)</f>
        <v>1710.5257960339736</v>
      </c>
      <c r="M1113" s="150">
        <f>SUM(M988:M1055)</f>
        <v>2610</v>
      </c>
      <c r="N1113" s="404"/>
      <c r="O1113" s="395"/>
      <c r="P1113" s="160"/>
      <c r="Q1113" s="834"/>
      <c r="R1113" s="913"/>
    </row>
    <row r="1114" spans="1:20" ht="15" customHeight="1" outlineLevel="1" x14ac:dyDescent="0.25">
      <c r="B1114" s="395">
        <v>2021</v>
      </c>
      <c r="C1114" s="500">
        <v>266</v>
      </c>
      <c r="D1114" s="500">
        <v>-136</v>
      </c>
      <c r="E1114" s="393">
        <f>+C1114+D1114</f>
        <v>130</v>
      </c>
      <c r="F1114" s="150"/>
      <c r="G1114" s="150"/>
      <c r="H1114" s="150"/>
      <c r="I1114" s="150"/>
      <c r="J1114" s="150"/>
      <c r="K1114" s="150"/>
      <c r="L1114" s="394">
        <f t="shared" ref="L1114:L1248" si="288">+J1114*K1114+J1114</f>
        <v>0</v>
      </c>
      <c r="M1114" s="348">
        <f>+M1113/F1113</f>
        <v>3.9877769289533997</v>
      </c>
      <c r="N1114" s="744"/>
      <c r="O1114" s="395"/>
      <c r="P1114" s="160"/>
      <c r="Q1114" s="834"/>
      <c r="R1114" s="913"/>
    </row>
    <row r="1115" spans="1:20" ht="15" customHeight="1" outlineLevel="1" x14ac:dyDescent="0.25">
      <c r="B1115" s="395">
        <v>2022</v>
      </c>
      <c r="C1115" s="500">
        <v>271</v>
      </c>
      <c r="D1115" s="500">
        <v>-132</v>
      </c>
      <c r="E1115" s="393">
        <f>+C1115+D1115</f>
        <v>139</v>
      </c>
      <c r="F1115" s="150"/>
      <c r="G1115" s="150"/>
      <c r="H1115" s="150"/>
      <c r="I1115" s="150"/>
      <c r="J1115" s="150"/>
      <c r="K1115" s="150"/>
      <c r="M1115" s="348"/>
      <c r="N1115" s="744"/>
      <c r="O1115" s="395"/>
      <c r="P1115" s="160"/>
      <c r="Q1115" s="834"/>
      <c r="R1115" s="913"/>
    </row>
    <row r="1116" spans="1:20" ht="15" customHeight="1" outlineLevel="1" x14ac:dyDescent="0.25">
      <c r="B1116" s="395">
        <v>2023</v>
      </c>
      <c r="C1116" s="500">
        <v>183</v>
      </c>
      <c r="D1116" s="500">
        <v>-85</v>
      </c>
      <c r="E1116" s="393">
        <v>97</v>
      </c>
      <c r="F1116" s="150"/>
      <c r="G1116" s="150"/>
      <c r="H1116" s="150"/>
      <c r="I1116" s="150"/>
      <c r="J1116" s="150"/>
      <c r="K1116" s="150"/>
      <c r="M1116" s="348"/>
      <c r="N1116" s="744"/>
      <c r="O1116" s="395"/>
      <c r="P1116" s="160"/>
      <c r="Q1116" s="834"/>
      <c r="R1116" s="913"/>
    </row>
    <row r="1117" spans="1:20" ht="15" customHeight="1" outlineLevel="1" x14ac:dyDescent="0.25">
      <c r="B1117" s="395"/>
      <c r="C1117" s="500"/>
      <c r="D1117" s="500"/>
      <c r="E1117" s="393"/>
      <c r="F1117" s="150"/>
      <c r="G1117" s="150"/>
      <c r="H1117" s="150"/>
      <c r="I1117" s="150"/>
      <c r="J1117" s="150"/>
      <c r="K1117" s="150"/>
      <c r="M1117" s="348"/>
      <c r="N1117" s="744"/>
      <c r="O1117" s="395"/>
      <c r="P1117" s="160"/>
      <c r="Q1117" s="834"/>
      <c r="R1117" s="913"/>
    </row>
    <row r="1118" spans="1:20" s="395" customFormat="1" ht="21" outlineLevel="1" x14ac:dyDescent="0.35">
      <c r="A1118" s="154"/>
      <c r="C1118" s="500"/>
      <c r="D1118" s="500"/>
      <c r="E1118" s="670" t="s">
        <v>231</v>
      </c>
      <c r="F1118" s="150"/>
      <c r="G1118" s="150"/>
      <c r="H1118" s="150"/>
      <c r="I1118" s="150"/>
      <c r="J1118" s="150"/>
      <c r="K1118" s="150"/>
      <c r="L1118" s="394">
        <f t="shared" si="288"/>
        <v>0</v>
      </c>
      <c r="M1118" s="150"/>
      <c r="N1118" s="404"/>
      <c r="P1118" s="160"/>
      <c r="Q1118" s="834"/>
      <c r="R1118" s="913"/>
      <c r="S1118" s="11"/>
      <c r="T1118" s="11"/>
    </row>
    <row r="1119" spans="1:20" s="395" customFormat="1" ht="15.75" outlineLevel="1" x14ac:dyDescent="0.25">
      <c r="A1119" s="154"/>
      <c r="B1119" s="395" t="s">
        <v>213</v>
      </c>
      <c r="C1119" s="395">
        <v>1</v>
      </c>
      <c r="E1119" s="395" t="s">
        <v>722</v>
      </c>
      <c r="F1119" s="394">
        <v>13</v>
      </c>
      <c r="G1119" s="395">
        <v>3717</v>
      </c>
      <c r="H1119" s="395">
        <v>9633</v>
      </c>
      <c r="I1119" s="394">
        <f>+F1119/G1119*H1119</f>
        <v>33.690879741727201</v>
      </c>
      <c r="J1119" s="394">
        <f>+F1119+I1119</f>
        <v>46.690879741727201</v>
      </c>
      <c r="K1119" s="492">
        <v>0.3</v>
      </c>
      <c r="L1119" s="394">
        <f t="shared" si="288"/>
        <v>60.698143664245364</v>
      </c>
      <c r="M1119" s="395">
        <v>65</v>
      </c>
      <c r="N1119" s="494"/>
      <c r="O1119" s="362"/>
      <c r="P1119" s="160"/>
      <c r="Q1119" s="834"/>
      <c r="R1119" s="913"/>
      <c r="S1119" s="11"/>
      <c r="T1119" s="11"/>
    </row>
    <row r="1120" spans="1:20" s="395" customFormat="1" ht="15.75" outlineLevel="1" x14ac:dyDescent="0.25">
      <c r="A1120" s="154"/>
      <c r="C1120" s="395">
        <v>2</v>
      </c>
      <c r="E1120" s="395" t="s">
        <v>722</v>
      </c>
      <c r="F1120" s="394"/>
      <c r="I1120" s="394"/>
      <c r="J1120" s="394"/>
      <c r="K1120" s="492"/>
      <c r="L1120" s="394">
        <f>+J1120*K1120+J1120</f>
        <v>0</v>
      </c>
      <c r="M1120" s="395">
        <v>65</v>
      </c>
      <c r="N1120" s="494"/>
      <c r="O1120" s="362"/>
      <c r="P1120" s="160"/>
      <c r="Q1120" s="834"/>
      <c r="R1120" s="913"/>
      <c r="S1120" s="11"/>
      <c r="T1120" s="11"/>
    </row>
    <row r="1121" spans="1:20" s="395" customFormat="1" ht="15.75" outlineLevel="1" x14ac:dyDescent="0.25">
      <c r="A1121" s="154"/>
      <c r="B1121" s="395" t="s">
        <v>213</v>
      </c>
      <c r="C1121" s="395">
        <v>3</v>
      </c>
      <c r="E1121" s="395" t="s">
        <v>417</v>
      </c>
      <c r="F1121" s="394">
        <v>8</v>
      </c>
      <c r="G1121" s="395">
        <v>3717</v>
      </c>
      <c r="H1121" s="395">
        <v>9633</v>
      </c>
      <c r="I1121" s="394">
        <f>+F1121/G1121*H1121</f>
        <v>20.732849071832121</v>
      </c>
      <c r="J1121" s="394">
        <f>+F1121+I1121</f>
        <v>28.732849071832121</v>
      </c>
      <c r="K1121" s="492">
        <v>0.3</v>
      </c>
      <c r="L1121" s="394">
        <f t="shared" si="288"/>
        <v>37.352703793381757</v>
      </c>
      <c r="M1121" s="395">
        <v>45</v>
      </c>
      <c r="N1121" s="494"/>
      <c r="O1121" s="362"/>
      <c r="Q1121" s="833"/>
      <c r="R1121" s="912"/>
      <c r="S1121" s="149"/>
      <c r="T1121" s="149"/>
    </row>
    <row r="1122" spans="1:20" s="494" customFormat="1" ht="15.75" outlineLevel="1" x14ac:dyDescent="0.25">
      <c r="A1122" s="682"/>
      <c r="B1122" s="494" t="s">
        <v>213</v>
      </c>
      <c r="E1122" s="494" t="s">
        <v>418</v>
      </c>
      <c r="F1122" s="504">
        <v>8</v>
      </c>
      <c r="G1122" s="494">
        <v>3717</v>
      </c>
      <c r="H1122" s="494">
        <v>9633</v>
      </c>
      <c r="I1122" s="504">
        <f>+F1122/G1122*H1122</f>
        <v>20.732849071832121</v>
      </c>
      <c r="J1122" s="504">
        <f>+F1122+I1122</f>
        <v>28.732849071832121</v>
      </c>
      <c r="K1122" s="586">
        <v>0.3</v>
      </c>
      <c r="L1122" s="504">
        <f t="shared" si="288"/>
        <v>37.352703793381757</v>
      </c>
      <c r="M1122" s="494">
        <v>45</v>
      </c>
      <c r="Q1122" s="841"/>
      <c r="R1122" s="927"/>
      <c r="S1122" s="113"/>
      <c r="T1122" s="113"/>
    </row>
    <row r="1123" spans="1:20" s="494" customFormat="1" ht="15.75" outlineLevel="1" x14ac:dyDescent="0.25">
      <c r="A1123" s="682"/>
      <c r="B1123" s="494" t="s">
        <v>213</v>
      </c>
      <c r="E1123" s="494" t="s">
        <v>215</v>
      </c>
      <c r="F1123" s="504">
        <v>18</v>
      </c>
      <c r="G1123" s="494">
        <v>3717</v>
      </c>
      <c r="H1123" s="494">
        <v>9633</v>
      </c>
      <c r="I1123" s="504">
        <f>+F1123/G1123*H1123</f>
        <v>46.648910411622275</v>
      </c>
      <c r="J1123" s="504">
        <f>+F1123+I1123</f>
        <v>64.648910411622268</v>
      </c>
      <c r="K1123" s="586">
        <v>0.3</v>
      </c>
      <c r="L1123" s="504">
        <f t="shared" si="288"/>
        <v>84.043583535108951</v>
      </c>
      <c r="M1123" s="494">
        <v>86</v>
      </c>
      <c r="Q1123" s="841"/>
      <c r="R1123" s="927"/>
      <c r="S1123" s="113"/>
      <c r="T1123" s="113"/>
    </row>
    <row r="1124" spans="1:20" s="494" customFormat="1" ht="15.75" outlineLevel="1" x14ac:dyDescent="0.25">
      <c r="A1124" s="682"/>
      <c r="B1124" s="494" t="s">
        <v>416</v>
      </c>
      <c r="C1124" s="686"/>
      <c r="E1124" s="494" t="s">
        <v>214</v>
      </c>
      <c r="F1124" s="504">
        <v>18</v>
      </c>
      <c r="G1124" s="494">
        <v>3717</v>
      </c>
      <c r="H1124" s="494">
        <v>9633</v>
      </c>
      <c r="I1124" s="504">
        <f>+F1124/G1124*H1124</f>
        <v>46.648910411622275</v>
      </c>
      <c r="J1124" s="504">
        <f>+F1124+I1124</f>
        <v>64.648910411622268</v>
      </c>
      <c r="K1124" s="586">
        <v>0.3</v>
      </c>
      <c r="L1124" s="504">
        <f t="shared" si="288"/>
        <v>84.043583535108951</v>
      </c>
      <c r="M1124" s="494">
        <v>86</v>
      </c>
      <c r="Q1124" s="841"/>
      <c r="R1124" s="927"/>
      <c r="S1124" s="113"/>
      <c r="T1124" s="113"/>
    </row>
    <row r="1125" spans="1:20" s="395" customFormat="1" ht="15.75" outlineLevel="1" x14ac:dyDescent="0.25">
      <c r="A1125" s="154"/>
      <c r="B1125" s="393" t="s">
        <v>392</v>
      </c>
      <c r="F1125" s="258"/>
      <c r="G1125" s="160"/>
      <c r="H1125" s="160"/>
      <c r="I1125" s="258"/>
      <c r="J1125" s="258"/>
      <c r="K1125" s="497"/>
      <c r="L1125" s="394">
        <f t="shared" si="288"/>
        <v>0</v>
      </c>
      <c r="M1125" s="160"/>
      <c r="N1125" s="494"/>
      <c r="P1125" s="160"/>
      <c r="Q1125" s="834"/>
      <c r="R1125" s="913"/>
      <c r="S1125" s="11"/>
      <c r="T1125" s="11"/>
    </row>
    <row r="1126" spans="1:20" s="395" customFormat="1" ht="15.75" outlineLevel="1" x14ac:dyDescent="0.25">
      <c r="A1126" s="154"/>
      <c r="B1126" s="393" t="s">
        <v>393</v>
      </c>
      <c r="F1126" s="258"/>
      <c r="G1126" s="160"/>
      <c r="H1126" s="160"/>
      <c r="I1126" s="258"/>
      <c r="J1126" s="258"/>
      <c r="K1126" s="497"/>
      <c r="L1126" s="394">
        <f t="shared" si="288"/>
        <v>0</v>
      </c>
      <c r="M1126" s="160"/>
      <c r="N1126" s="494"/>
      <c r="P1126" s="160"/>
      <c r="Q1126" s="834"/>
      <c r="R1126" s="913"/>
      <c r="S1126" s="11"/>
      <c r="T1126" s="11"/>
    </row>
    <row r="1127" spans="1:20" s="395" customFormat="1" ht="15.75" outlineLevel="1" x14ac:dyDescent="0.25">
      <c r="A1127" s="393"/>
      <c r="B1127" s="395" t="s">
        <v>203</v>
      </c>
      <c r="C1127" s="395">
        <v>4</v>
      </c>
      <c r="E1127" s="395" t="s">
        <v>389</v>
      </c>
      <c r="F1127" s="394">
        <v>13</v>
      </c>
      <c r="G1127" s="395">
        <v>1278</v>
      </c>
      <c r="H1127" s="394">
        <f t="shared" ref="H1127:H1129" si="289">1278+671</f>
        <v>1949</v>
      </c>
      <c r="I1127" s="394">
        <f t="shared" ref="I1127:I1129" si="290">+F1127/G1127*H1127</f>
        <v>19.825508607198746</v>
      </c>
      <c r="J1127" s="394">
        <f t="shared" ref="J1127:J1129" si="291">+F1127+I1127</f>
        <v>32.825508607198742</v>
      </c>
      <c r="K1127" s="491">
        <v>0.3</v>
      </c>
      <c r="L1127" s="394">
        <f t="shared" si="288"/>
        <v>42.673161189358368</v>
      </c>
      <c r="M1127" s="394">
        <v>45</v>
      </c>
      <c r="N1127" s="504"/>
      <c r="O1127" s="362"/>
      <c r="Q1127" s="833"/>
      <c r="R1127" s="396"/>
    </row>
    <row r="1128" spans="1:20" s="395" customFormat="1" ht="15.75" hidden="1" outlineLevel="1" x14ac:dyDescent="0.25">
      <c r="A1128" s="393"/>
      <c r="B1128" s="395" t="s">
        <v>203</v>
      </c>
      <c r="C1128" s="395">
        <v>5</v>
      </c>
      <c r="E1128" s="317" t="s">
        <v>1720</v>
      </c>
      <c r="F1128" s="493">
        <v>13</v>
      </c>
      <c r="G1128" s="317">
        <v>1278</v>
      </c>
      <c r="H1128" s="493">
        <f t="shared" si="289"/>
        <v>1949</v>
      </c>
      <c r="I1128" s="493">
        <f t="shared" si="290"/>
        <v>19.825508607198746</v>
      </c>
      <c r="J1128" s="493">
        <f t="shared" si="291"/>
        <v>32.825508607198742</v>
      </c>
      <c r="K1128" s="533">
        <v>0.3</v>
      </c>
      <c r="L1128" s="493">
        <f>+J1128*K1128+J1128</f>
        <v>42.673161189358368</v>
      </c>
      <c r="M1128" s="493">
        <v>45</v>
      </c>
      <c r="N1128" s="504">
        <v>30</v>
      </c>
      <c r="O1128" s="362"/>
      <c r="P1128" s="395" t="s">
        <v>12</v>
      </c>
      <c r="Q1128" s="833">
        <v>45378</v>
      </c>
      <c r="R1128" s="396">
        <f>+N1128*20000</f>
        <v>600000</v>
      </c>
    </row>
    <row r="1129" spans="1:20" s="395" customFormat="1" ht="15.75" outlineLevel="1" x14ac:dyDescent="0.25">
      <c r="A1129" s="393"/>
      <c r="E1129" s="395" t="s">
        <v>1721</v>
      </c>
      <c r="F1129" s="394">
        <v>13</v>
      </c>
      <c r="G1129" s="395">
        <v>1278</v>
      </c>
      <c r="H1129" s="394">
        <f t="shared" si="289"/>
        <v>1949</v>
      </c>
      <c r="I1129" s="394">
        <f t="shared" si="290"/>
        <v>19.825508607198746</v>
      </c>
      <c r="J1129" s="394">
        <f t="shared" si="291"/>
        <v>32.825508607198742</v>
      </c>
      <c r="K1129" s="491">
        <v>0.3</v>
      </c>
      <c r="L1129" s="394">
        <f>+J1129*K1129+J1129</f>
        <v>42.673161189358368</v>
      </c>
      <c r="M1129" s="394">
        <v>45</v>
      </c>
      <c r="N1129" s="504"/>
      <c r="O1129" s="362"/>
      <c r="P1129" s="395" t="s">
        <v>1722</v>
      </c>
      <c r="Q1129" s="833"/>
      <c r="R1129" s="396"/>
    </row>
    <row r="1130" spans="1:20" s="395" customFormat="1" ht="15.75" outlineLevel="1" x14ac:dyDescent="0.25">
      <c r="A1130" s="393"/>
      <c r="B1130" s="393" t="s">
        <v>394</v>
      </c>
      <c r="F1130" s="394"/>
      <c r="H1130" s="394"/>
      <c r="I1130" s="394"/>
      <c r="J1130" s="394"/>
      <c r="K1130" s="491"/>
      <c r="L1130" s="394">
        <f t="shared" si="288"/>
        <v>0</v>
      </c>
      <c r="M1130" s="394"/>
      <c r="N1130" s="504"/>
      <c r="Q1130" s="833"/>
      <c r="R1130" s="396"/>
    </row>
    <row r="1131" spans="1:20" s="395" customFormat="1" ht="15.75" hidden="1" outlineLevel="1" x14ac:dyDescent="0.25">
      <c r="B1131" s="395" t="s">
        <v>203</v>
      </c>
      <c r="C1131" s="395">
        <v>6</v>
      </c>
      <c r="E1131" s="317" t="s">
        <v>391</v>
      </c>
      <c r="F1131" s="493">
        <v>7</v>
      </c>
      <c r="G1131" s="317"/>
      <c r="H1131" s="493"/>
      <c r="I1131" s="493"/>
      <c r="J1131" s="493"/>
      <c r="K1131" s="533"/>
      <c r="L1131" s="493">
        <f t="shared" si="288"/>
        <v>0</v>
      </c>
      <c r="M1131" s="493"/>
      <c r="N1131" s="504">
        <v>10</v>
      </c>
      <c r="O1131" s="362"/>
      <c r="P1131" s="395" t="s">
        <v>12</v>
      </c>
      <c r="Q1131" s="833">
        <v>45324</v>
      </c>
      <c r="R1131" s="396">
        <f>+N1131*8000</f>
        <v>80000</v>
      </c>
    </row>
    <row r="1132" spans="1:20" s="395" customFormat="1" ht="15.75" hidden="1" outlineLevel="1" x14ac:dyDescent="0.25">
      <c r="B1132" s="395" t="s">
        <v>203</v>
      </c>
      <c r="C1132" s="395">
        <v>7</v>
      </c>
      <c r="E1132" s="317" t="s">
        <v>415</v>
      </c>
      <c r="F1132" s="493">
        <v>7</v>
      </c>
      <c r="G1132" s="317"/>
      <c r="H1132" s="493"/>
      <c r="I1132" s="493"/>
      <c r="J1132" s="493"/>
      <c r="K1132" s="533"/>
      <c r="L1132" s="493">
        <f t="shared" si="288"/>
        <v>0</v>
      </c>
      <c r="M1132" s="493"/>
      <c r="N1132" s="504">
        <v>10</v>
      </c>
      <c r="O1132" s="362"/>
      <c r="P1132" s="395" t="s">
        <v>2047</v>
      </c>
      <c r="Q1132" s="833">
        <v>45342</v>
      </c>
      <c r="R1132" s="396">
        <f>+N1132*10000</f>
        <v>100000</v>
      </c>
    </row>
    <row r="1133" spans="1:20" s="395" customFormat="1" ht="15.75" outlineLevel="1" x14ac:dyDescent="0.25">
      <c r="B1133" s="393" t="s">
        <v>575</v>
      </c>
      <c r="F1133" s="394"/>
      <c r="H1133" s="394"/>
      <c r="I1133" s="394"/>
      <c r="J1133" s="394"/>
      <c r="K1133" s="491"/>
      <c r="L1133" s="394">
        <f t="shared" si="288"/>
        <v>0</v>
      </c>
      <c r="M1133" s="394"/>
      <c r="N1133" s="504"/>
      <c r="Q1133" s="833"/>
      <c r="R1133" s="396"/>
    </row>
    <row r="1134" spans="1:20" s="395" customFormat="1" ht="15.75" outlineLevel="1" x14ac:dyDescent="0.25">
      <c r="A1134" s="393"/>
      <c r="B1134" s="395" t="s">
        <v>203</v>
      </c>
      <c r="C1134" s="395">
        <v>8</v>
      </c>
      <c r="D1134" s="393"/>
      <c r="E1134" s="395" t="s">
        <v>569</v>
      </c>
      <c r="F1134" s="394">
        <v>10</v>
      </c>
      <c r="G1134" s="179">
        <v>856</v>
      </c>
      <c r="H1134" s="394">
        <f t="shared" ref="H1134:H1138" si="292">856*1.06+415</f>
        <v>1322.3600000000001</v>
      </c>
      <c r="I1134" s="394">
        <f t="shared" ref="I1134:I1138" si="293">+F1134/G1134*H1134</f>
        <v>15.448130841121497</v>
      </c>
      <c r="J1134" s="394">
        <f t="shared" ref="J1134:J1138" si="294">+F1134+I1134</f>
        <v>25.448130841121497</v>
      </c>
      <c r="K1134" s="492">
        <v>0.3</v>
      </c>
      <c r="L1134" s="394">
        <f t="shared" si="288"/>
        <v>33.082570093457946</v>
      </c>
      <c r="M1134" s="394">
        <v>35</v>
      </c>
      <c r="N1134" s="504"/>
      <c r="P1134" s="395" t="s">
        <v>1832</v>
      </c>
      <c r="Q1134" s="833"/>
      <c r="R1134" s="396"/>
    </row>
    <row r="1135" spans="1:20" s="395" customFormat="1" ht="15.75" outlineLevel="1" x14ac:dyDescent="0.25">
      <c r="A1135" s="393"/>
      <c r="B1135" s="395" t="s">
        <v>203</v>
      </c>
      <c r="C1135" s="395">
        <v>9</v>
      </c>
      <c r="D1135" s="393"/>
      <c r="E1135" s="395" t="s">
        <v>569</v>
      </c>
      <c r="F1135" s="394">
        <v>10</v>
      </c>
      <c r="G1135" s="179">
        <v>856</v>
      </c>
      <c r="H1135" s="394">
        <f t="shared" si="292"/>
        <v>1322.3600000000001</v>
      </c>
      <c r="I1135" s="394">
        <f t="shared" si="293"/>
        <v>15.448130841121497</v>
      </c>
      <c r="J1135" s="394">
        <f t="shared" si="294"/>
        <v>25.448130841121497</v>
      </c>
      <c r="K1135" s="492">
        <v>0.3</v>
      </c>
      <c r="L1135" s="394">
        <f t="shared" si="288"/>
        <v>33.082570093457946</v>
      </c>
      <c r="M1135" s="394">
        <v>35</v>
      </c>
      <c r="N1135" s="504"/>
      <c r="P1135" s="395" t="s">
        <v>1832</v>
      </c>
      <c r="Q1135" s="833"/>
      <c r="R1135" s="396"/>
    </row>
    <row r="1136" spans="1:20" s="494" customFormat="1" ht="15.75" outlineLevel="1" x14ac:dyDescent="0.25">
      <c r="A1136" s="393"/>
      <c r="B1136" s="494" t="s">
        <v>203</v>
      </c>
      <c r="D1136" s="428"/>
      <c r="E1136" s="494" t="s">
        <v>570</v>
      </c>
      <c r="F1136" s="504">
        <v>10</v>
      </c>
      <c r="G1136" s="585">
        <v>856</v>
      </c>
      <c r="H1136" s="504">
        <f t="shared" si="292"/>
        <v>1322.3600000000001</v>
      </c>
      <c r="I1136" s="504">
        <f t="shared" si="293"/>
        <v>15.448130841121497</v>
      </c>
      <c r="J1136" s="504">
        <f t="shared" si="294"/>
        <v>25.448130841121497</v>
      </c>
      <c r="K1136" s="586">
        <v>0.3</v>
      </c>
      <c r="L1136" s="504">
        <f t="shared" si="288"/>
        <v>33.082570093457946</v>
      </c>
      <c r="M1136" s="504">
        <v>35</v>
      </c>
      <c r="N1136" s="504"/>
      <c r="O1136" s="395"/>
      <c r="Q1136" s="841"/>
      <c r="R1136" s="918"/>
    </row>
    <row r="1137" spans="1:18" s="494" customFormat="1" ht="15.75" outlineLevel="1" x14ac:dyDescent="0.25">
      <c r="A1137" s="393"/>
      <c r="B1137" s="494" t="s">
        <v>203</v>
      </c>
      <c r="D1137" s="428"/>
      <c r="E1137" s="494" t="s">
        <v>570</v>
      </c>
      <c r="F1137" s="504">
        <v>10</v>
      </c>
      <c r="G1137" s="585">
        <v>856</v>
      </c>
      <c r="H1137" s="504">
        <f t="shared" si="292"/>
        <v>1322.3600000000001</v>
      </c>
      <c r="I1137" s="504">
        <f t="shared" si="293"/>
        <v>15.448130841121497</v>
      </c>
      <c r="J1137" s="504">
        <f t="shared" si="294"/>
        <v>25.448130841121497</v>
      </c>
      <c r="K1137" s="586">
        <v>0.3</v>
      </c>
      <c r="L1137" s="504">
        <f t="shared" si="288"/>
        <v>33.082570093457946</v>
      </c>
      <c r="M1137" s="504">
        <v>35</v>
      </c>
      <c r="N1137" s="504"/>
      <c r="O1137" s="395"/>
      <c r="Q1137" s="841"/>
      <c r="R1137" s="918"/>
    </row>
    <row r="1138" spans="1:18" s="494" customFormat="1" ht="15.75" outlineLevel="1" x14ac:dyDescent="0.25">
      <c r="A1138" s="393"/>
      <c r="B1138" s="494" t="s">
        <v>203</v>
      </c>
      <c r="D1138" s="428"/>
      <c r="E1138" s="494" t="s">
        <v>571</v>
      </c>
      <c r="F1138" s="504">
        <v>10</v>
      </c>
      <c r="G1138" s="585">
        <v>856</v>
      </c>
      <c r="H1138" s="504">
        <f t="shared" si="292"/>
        <v>1322.3600000000001</v>
      </c>
      <c r="I1138" s="504">
        <f t="shared" si="293"/>
        <v>15.448130841121497</v>
      </c>
      <c r="J1138" s="504">
        <f t="shared" si="294"/>
        <v>25.448130841121497</v>
      </c>
      <c r="K1138" s="586">
        <v>0.3</v>
      </c>
      <c r="L1138" s="504">
        <f t="shared" si="288"/>
        <v>33.082570093457946</v>
      </c>
      <c r="M1138" s="504">
        <v>35</v>
      </c>
      <c r="N1138" s="504"/>
      <c r="O1138" s="395"/>
      <c r="Q1138" s="841"/>
      <c r="R1138" s="918"/>
    </row>
    <row r="1139" spans="1:18" s="395" customFormat="1" ht="15.75" outlineLevel="1" x14ac:dyDescent="0.25">
      <c r="B1139" s="393" t="s">
        <v>804</v>
      </c>
      <c r="F1139" s="394"/>
      <c r="H1139" s="394"/>
      <c r="I1139" s="394"/>
      <c r="J1139" s="394"/>
      <c r="K1139" s="491"/>
      <c r="L1139" s="394">
        <f t="shared" si="288"/>
        <v>0</v>
      </c>
      <c r="M1139" s="394"/>
      <c r="N1139" s="504"/>
      <c r="Q1139" s="833"/>
      <c r="R1139" s="396"/>
    </row>
    <row r="1140" spans="1:18" s="395" customFormat="1" ht="15.75" outlineLevel="1" x14ac:dyDescent="0.25">
      <c r="B1140" s="393" t="s">
        <v>203</v>
      </c>
      <c r="C1140" s="395">
        <v>10</v>
      </c>
      <c r="D1140" s="395" t="s">
        <v>501</v>
      </c>
      <c r="E1140" s="276" t="s">
        <v>777</v>
      </c>
      <c r="F1140" s="394">
        <v>20</v>
      </c>
      <c r="G1140" s="179">
        <v>8183</v>
      </c>
      <c r="H1140" s="394">
        <v>13183</v>
      </c>
      <c r="I1140" s="394">
        <f t="shared" ref="I1140:I1157" si="295">+F1140/G1140*H1140</f>
        <v>32.220457045093482</v>
      </c>
      <c r="J1140" s="394">
        <f t="shared" ref="J1140:J1157" si="296">+F1140+I1140</f>
        <v>52.220457045093482</v>
      </c>
      <c r="K1140" s="492">
        <v>0.3</v>
      </c>
      <c r="L1140" s="394">
        <f t="shared" si="288"/>
        <v>67.886594158621534</v>
      </c>
      <c r="M1140" s="394">
        <v>80</v>
      </c>
      <c r="N1140" s="504"/>
      <c r="O1140" s="362"/>
      <c r="P1140" s="625" t="s">
        <v>1524</v>
      </c>
      <c r="Q1140" s="833"/>
      <c r="R1140" s="396"/>
    </row>
    <row r="1141" spans="1:18" s="395" customFormat="1" ht="15.75" hidden="1" outlineLevel="1" x14ac:dyDescent="0.25">
      <c r="B1141" s="393" t="s">
        <v>203</v>
      </c>
      <c r="C1141" s="395">
        <v>11</v>
      </c>
      <c r="D1141" s="395" t="s">
        <v>507</v>
      </c>
      <c r="E1141" s="693" t="s">
        <v>777</v>
      </c>
      <c r="F1141" s="493">
        <v>20</v>
      </c>
      <c r="G1141" s="509">
        <v>8183</v>
      </c>
      <c r="H1141" s="493">
        <v>13183</v>
      </c>
      <c r="I1141" s="493">
        <f t="shared" si="295"/>
        <v>32.220457045093482</v>
      </c>
      <c r="J1141" s="493">
        <f t="shared" si="296"/>
        <v>52.220457045093482</v>
      </c>
      <c r="K1141" s="692">
        <v>0.3</v>
      </c>
      <c r="L1141" s="493">
        <f t="shared" si="288"/>
        <v>67.886594158621534</v>
      </c>
      <c r="M1141" s="493">
        <v>80</v>
      </c>
      <c r="N1141" s="504">
        <v>55</v>
      </c>
      <c r="O1141" s="362"/>
      <c r="P1141" s="625" t="s">
        <v>2048</v>
      </c>
      <c r="Q1141" s="833">
        <v>45342</v>
      </c>
      <c r="R1141" s="396">
        <f>+N1141*10000</f>
        <v>550000</v>
      </c>
    </row>
    <row r="1142" spans="1:18" s="494" customFormat="1" ht="15.75" outlineLevel="1" x14ac:dyDescent="0.25">
      <c r="B1142" s="428" t="s">
        <v>203</v>
      </c>
      <c r="D1142" s="494" t="s">
        <v>501</v>
      </c>
      <c r="E1142" s="599" t="s">
        <v>778</v>
      </c>
      <c r="F1142" s="504">
        <v>20</v>
      </c>
      <c r="G1142" s="585">
        <v>8183</v>
      </c>
      <c r="H1142" s="504">
        <v>13183</v>
      </c>
      <c r="I1142" s="504">
        <f t="shared" si="295"/>
        <v>32.220457045093482</v>
      </c>
      <c r="J1142" s="504">
        <f t="shared" si="296"/>
        <v>52.220457045093482</v>
      </c>
      <c r="K1142" s="586">
        <v>0.3</v>
      </c>
      <c r="L1142" s="504">
        <f t="shared" si="288"/>
        <v>67.886594158621534</v>
      </c>
      <c r="M1142" s="504">
        <v>80</v>
      </c>
      <c r="N1142" s="504"/>
      <c r="Q1142" s="841"/>
      <c r="R1142" s="918"/>
    </row>
    <row r="1143" spans="1:18" s="395" customFormat="1" ht="15.75" outlineLevel="1" x14ac:dyDescent="0.25">
      <c r="B1143" s="393" t="s">
        <v>203</v>
      </c>
      <c r="C1143" s="395">
        <v>12</v>
      </c>
      <c r="D1143" s="395" t="s">
        <v>504</v>
      </c>
      <c r="E1143" s="276" t="s">
        <v>778</v>
      </c>
      <c r="F1143" s="394">
        <v>20</v>
      </c>
      <c r="G1143" s="179">
        <v>8183</v>
      </c>
      <c r="H1143" s="394">
        <v>13183</v>
      </c>
      <c r="I1143" s="394">
        <f t="shared" si="295"/>
        <v>32.220457045093482</v>
      </c>
      <c r="J1143" s="394">
        <f t="shared" si="296"/>
        <v>52.220457045093482</v>
      </c>
      <c r="K1143" s="492">
        <v>0.3</v>
      </c>
      <c r="L1143" s="394">
        <f t="shared" si="288"/>
        <v>67.886594158621534</v>
      </c>
      <c r="M1143" s="394">
        <v>80</v>
      </c>
      <c r="N1143" s="504"/>
      <c r="O1143" s="362"/>
      <c r="Q1143" s="833"/>
      <c r="R1143" s="396"/>
    </row>
    <row r="1144" spans="1:18" s="395" customFormat="1" ht="15.75" outlineLevel="1" x14ac:dyDescent="0.25">
      <c r="B1144" s="393" t="s">
        <v>203</v>
      </c>
      <c r="C1144" s="395">
        <v>13</v>
      </c>
      <c r="D1144" s="395" t="s">
        <v>504</v>
      </c>
      <c r="E1144" s="276" t="s">
        <v>831</v>
      </c>
      <c r="F1144" s="394">
        <v>20</v>
      </c>
      <c r="G1144" s="179">
        <v>8183</v>
      </c>
      <c r="H1144" s="394">
        <v>13183</v>
      </c>
      <c r="I1144" s="394">
        <f t="shared" si="295"/>
        <v>32.220457045093482</v>
      </c>
      <c r="J1144" s="394">
        <f t="shared" si="296"/>
        <v>52.220457045093482</v>
      </c>
      <c r="K1144" s="492">
        <v>0.3</v>
      </c>
      <c r="L1144" s="394">
        <f t="shared" si="288"/>
        <v>67.886594158621534</v>
      </c>
      <c r="M1144" s="394">
        <v>80</v>
      </c>
      <c r="N1144" s="504"/>
      <c r="O1144" s="362"/>
      <c r="P1144" s="625" t="s">
        <v>1524</v>
      </c>
      <c r="Q1144" s="833"/>
      <c r="R1144" s="396"/>
    </row>
    <row r="1145" spans="1:18" s="395" customFormat="1" ht="15.75" outlineLevel="1" x14ac:dyDescent="0.25">
      <c r="B1145" s="393" t="s">
        <v>203</v>
      </c>
      <c r="C1145" s="395">
        <v>14</v>
      </c>
      <c r="D1145" s="395" t="s">
        <v>507</v>
      </c>
      <c r="E1145" s="276" t="s">
        <v>831</v>
      </c>
      <c r="F1145" s="394">
        <v>20</v>
      </c>
      <c r="G1145" s="179">
        <v>8183</v>
      </c>
      <c r="H1145" s="394">
        <v>13183</v>
      </c>
      <c r="I1145" s="394">
        <f t="shared" si="295"/>
        <v>32.220457045093482</v>
      </c>
      <c r="J1145" s="394">
        <f t="shared" si="296"/>
        <v>52.220457045093482</v>
      </c>
      <c r="K1145" s="492">
        <v>0.3</v>
      </c>
      <c r="L1145" s="394">
        <f t="shared" si="288"/>
        <v>67.886594158621534</v>
      </c>
      <c r="M1145" s="394">
        <v>80</v>
      </c>
      <c r="N1145" s="504"/>
      <c r="O1145" s="362"/>
      <c r="P1145" s="625" t="s">
        <v>1524</v>
      </c>
      <c r="Q1145" s="833"/>
      <c r="R1145" s="396"/>
    </row>
    <row r="1146" spans="1:18" s="395" customFormat="1" ht="15.75" hidden="1" outlineLevel="1" x14ac:dyDescent="0.25">
      <c r="B1146" s="393" t="s">
        <v>203</v>
      </c>
      <c r="C1146" s="395">
        <v>15</v>
      </c>
      <c r="D1146" s="395" t="s">
        <v>501</v>
      </c>
      <c r="E1146" s="693" t="s">
        <v>832</v>
      </c>
      <c r="F1146" s="493">
        <v>20</v>
      </c>
      <c r="G1146" s="509">
        <v>8183</v>
      </c>
      <c r="H1146" s="493">
        <v>13183</v>
      </c>
      <c r="I1146" s="493">
        <f t="shared" si="295"/>
        <v>32.220457045093482</v>
      </c>
      <c r="J1146" s="493">
        <f t="shared" si="296"/>
        <v>52.220457045093482</v>
      </c>
      <c r="K1146" s="692">
        <v>0.3</v>
      </c>
      <c r="L1146" s="493">
        <f t="shared" si="288"/>
        <v>67.886594158621534</v>
      </c>
      <c r="M1146" s="493">
        <v>80</v>
      </c>
      <c r="N1146" s="504">
        <v>55</v>
      </c>
      <c r="O1146" s="362"/>
      <c r="P1146" s="625" t="s">
        <v>2400</v>
      </c>
      <c r="Q1146" s="833">
        <v>45359</v>
      </c>
      <c r="R1146" s="396">
        <f>+N1146*30000</f>
        <v>1650000</v>
      </c>
    </row>
    <row r="1147" spans="1:18" s="395" customFormat="1" ht="15.75" outlineLevel="1" x14ac:dyDescent="0.25">
      <c r="B1147" s="393" t="s">
        <v>203</v>
      </c>
      <c r="C1147" s="395">
        <v>16</v>
      </c>
      <c r="D1147" s="395" t="s">
        <v>501</v>
      </c>
      <c r="E1147" s="276" t="s">
        <v>832</v>
      </c>
      <c r="F1147" s="394">
        <v>20</v>
      </c>
      <c r="G1147" s="179">
        <v>8183</v>
      </c>
      <c r="H1147" s="394">
        <v>13183</v>
      </c>
      <c r="I1147" s="394">
        <f t="shared" si="295"/>
        <v>32.220457045093482</v>
      </c>
      <c r="J1147" s="394">
        <f t="shared" si="296"/>
        <v>52.220457045093482</v>
      </c>
      <c r="K1147" s="492">
        <v>0.3</v>
      </c>
      <c r="L1147" s="394">
        <f t="shared" si="288"/>
        <v>67.886594158621534</v>
      </c>
      <c r="M1147" s="394">
        <v>80</v>
      </c>
      <c r="N1147" s="504"/>
      <c r="O1147" s="362"/>
      <c r="Q1147" s="833"/>
      <c r="R1147" s="396"/>
    </row>
    <row r="1148" spans="1:18" s="395" customFormat="1" ht="15.75" hidden="1" outlineLevel="1" x14ac:dyDescent="0.25">
      <c r="B1148" s="393" t="s">
        <v>203</v>
      </c>
      <c r="C1148" s="395">
        <v>17</v>
      </c>
      <c r="D1148" s="395" t="s">
        <v>504</v>
      </c>
      <c r="E1148" s="693" t="s">
        <v>832</v>
      </c>
      <c r="F1148" s="493">
        <v>20</v>
      </c>
      <c r="G1148" s="509">
        <v>8183</v>
      </c>
      <c r="H1148" s="493">
        <v>13183</v>
      </c>
      <c r="I1148" s="493">
        <f t="shared" si="295"/>
        <v>32.220457045093482</v>
      </c>
      <c r="J1148" s="493">
        <f t="shared" si="296"/>
        <v>52.220457045093482</v>
      </c>
      <c r="K1148" s="692">
        <v>0.3</v>
      </c>
      <c r="L1148" s="493">
        <f t="shared" si="288"/>
        <v>67.886594158621534</v>
      </c>
      <c r="M1148" s="493">
        <v>80</v>
      </c>
      <c r="N1148" s="504">
        <v>55</v>
      </c>
      <c r="O1148" s="362"/>
      <c r="P1148" s="395" t="s">
        <v>12</v>
      </c>
      <c r="Q1148" s="833">
        <v>45394</v>
      </c>
      <c r="R1148" s="396">
        <f>+N1148*36000</f>
        <v>1980000</v>
      </c>
    </row>
    <row r="1149" spans="1:18" s="395" customFormat="1" ht="15.75" outlineLevel="1" x14ac:dyDescent="0.25">
      <c r="B1149" s="393"/>
      <c r="C1149" s="395">
        <v>18</v>
      </c>
      <c r="D1149" s="395" t="s">
        <v>507</v>
      </c>
      <c r="E1149" s="276" t="s">
        <v>988</v>
      </c>
      <c r="F1149" s="394"/>
      <c r="G1149" s="179"/>
      <c r="H1149" s="394"/>
      <c r="I1149" s="394"/>
      <c r="J1149" s="394"/>
      <c r="K1149" s="492"/>
      <c r="L1149" s="394"/>
      <c r="M1149" s="394"/>
      <c r="N1149" s="504"/>
      <c r="O1149" s="362"/>
      <c r="P1149" s="625" t="s">
        <v>1524</v>
      </c>
      <c r="Q1149" s="833"/>
      <c r="R1149" s="396"/>
    </row>
    <row r="1150" spans="1:18" s="395" customFormat="1" ht="15.75" outlineLevel="1" x14ac:dyDescent="0.25">
      <c r="B1150" s="393"/>
      <c r="C1150" s="395">
        <v>19</v>
      </c>
      <c r="D1150" s="395" t="s">
        <v>504</v>
      </c>
      <c r="E1150" s="276" t="s">
        <v>988</v>
      </c>
      <c r="F1150" s="394"/>
      <c r="G1150" s="179"/>
      <c r="H1150" s="394"/>
      <c r="I1150" s="394"/>
      <c r="J1150" s="394"/>
      <c r="K1150" s="492"/>
      <c r="L1150" s="394"/>
      <c r="M1150" s="394"/>
      <c r="N1150" s="504"/>
      <c r="O1150" s="362"/>
      <c r="P1150" s="625" t="s">
        <v>1524</v>
      </c>
      <c r="Q1150" s="833"/>
      <c r="R1150" s="396"/>
    </row>
    <row r="1151" spans="1:18" s="395" customFormat="1" ht="15.75" outlineLevel="1" x14ac:dyDescent="0.25">
      <c r="B1151" s="393"/>
      <c r="C1151" s="395">
        <v>20</v>
      </c>
      <c r="D1151" s="395" t="s">
        <v>830</v>
      </c>
      <c r="E1151" s="276" t="s">
        <v>988</v>
      </c>
      <c r="F1151" s="394"/>
      <c r="G1151" s="179"/>
      <c r="H1151" s="394"/>
      <c r="I1151" s="394"/>
      <c r="J1151" s="394"/>
      <c r="K1151" s="492"/>
      <c r="L1151" s="394"/>
      <c r="M1151" s="394"/>
      <c r="N1151" s="504"/>
      <c r="O1151" s="362"/>
      <c r="P1151" s="625" t="s">
        <v>1524</v>
      </c>
      <c r="Q1151" s="833"/>
      <c r="R1151" s="396"/>
    </row>
    <row r="1152" spans="1:18" s="395" customFormat="1" ht="15.75" outlineLevel="1" x14ac:dyDescent="0.25">
      <c r="B1152" s="393" t="s">
        <v>203</v>
      </c>
      <c r="C1152" s="395">
        <v>21</v>
      </c>
      <c r="D1152" s="395" t="s">
        <v>507</v>
      </c>
      <c r="E1152" s="276" t="s">
        <v>824</v>
      </c>
      <c r="F1152" s="394">
        <v>13</v>
      </c>
      <c r="G1152" s="179">
        <v>8183</v>
      </c>
      <c r="H1152" s="394">
        <v>13183</v>
      </c>
      <c r="I1152" s="394">
        <f t="shared" si="295"/>
        <v>20.943297079310764</v>
      </c>
      <c r="J1152" s="394">
        <f t="shared" si="296"/>
        <v>33.943297079310767</v>
      </c>
      <c r="K1152" s="492">
        <v>0.3</v>
      </c>
      <c r="L1152" s="394">
        <f t="shared" si="288"/>
        <v>44.126286203103994</v>
      </c>
      <c r="M1152" s="394">
        <v>45</v>
      </c>
      <c r="N1152" s="504"/>
      <c r="O1152" s="362"/>
      <c r="Q1152" s="833"/>
      <c r="R1152" s="396"/>
    </row>
    <row r="1153" spans="2:18" s="395" customFormat="1" ht="15.75" outlineLevel="1" x14ac:dyDescent="0.25">
      <c r="B1153" s="393" t="s">
        <v>203</v>
      </c>
      <c r="C1153" s="395">
        <v>22</v>
      </c>
      <c r="D1153" s="395" t="s">
        <v>507</v>
      </c>
      <c r="E1153" s="276" t="s">
        <v>825</v>
      </c>
      <c r="F1153" s="394">
        <v>13</v>
      </c>
      <c r="G1153" s="179">
        <v>8183</v>
      </c>
      <c r="H1153" s="394">
        <v>13183</v>
      </c>
      <c r="I1153" s="394">
        <f t="shared" si="295"/>
        <v>20.943297079310764</v>
      </c>
      <c r="J1153" s="394">
        <f t="shared" si="296"/>
        <v>33.943297079310767</v>
      </c>
      <c r="K1153" s="492">
        <v>0.3</v>
      </c>
      <c r="L1153" s="394">
        <f t="shared" si="288"/>
        <v>44.126286203103994</v>
      </c>
      <c r="M1153" s="394">
        <v>45</v>
      </c>
      <c r="N1153" s="504"/>
      <c r="O1153" s="362"/>
      <c r="Q1153" s="833"/>
      <c r="R1153" s="396"/>
    </row>
    <row r="1154" spans="2:18" s="395" customFormat="1" ht="15.75" outlineLevel="1" x14ac:dyDescent="0.25">
      <c r="B1154" s="393" t="s">
        <v>203</v>
      </c>
      <c r="C1154" s="395">
        <v>23</v>
      </c>
      <c r="D1154" s="395" t="s">
        <v>507</v>
      </c>
      <c r="E1154" s="276" t="s">
        <v>826</v>
      </c>
      <c r="F1154" s="394">
        <v>13</v>
      </c>
      <c r="G1154" s="179">
        <v>8183</v>
      </c>
      <c r="H1154" s="394">
        <v>13183</v>
      </c>
      <c r="I1154" s="394">
        <f t="shared" si="295"/>
        <v>20.943297079310764</v>
      </c>
      <c r="J1154" s="394">
        <f t="shared" si="296"/>
        <v>33.943297079310767</v>
      </c>
      <c r="K1154" s="492">
        <v>0.3</v>
      </c>
      <c r="L1154" s="394">
        <f t="shared" si="288"/>
        <v>44.126286203103994</v>
      </c>
      <c r="M1154" s="394">
        <v>45</v>
      </c>
      <c r="N1154" s="504"/>
      <c r="O1154" s="362"/>
      <c r="Q1154" s="833"/>
      <c r="R1154" s="396"/>
    </row>
    <row r="1155" spans="2:18" s="395" customFormat="1" ht="15.75" outlineLevel="1" x14ac:dyDescent="0.25">
      <c r="B1155" s="393" t="s">
        <v>203</v>
      </c>
      <c r="C1155" s="395">
        <v>24</v>
      </c>
      <c r="D1155" s="395" t="s">
        <v>504</v>
      </c>
      <c r="E1155" s="276" t="s">
        <v>834</v>
      </c>
      <c r="F1155" s="394">
        <v>10</v>
      </c>
      <c r="G1155" s="179">
        <v>8183</v>
      </c>
      <c r="H1155" s="394">
        <v>13183</v>
      </c>
      <c r="I1155" s="394">
        <f t="shared" si="295"/>
        <v>16.110228522546741</v>
      </c>
      <c r="J1155" s="394">
        <f t="shared" si="296"/>
        <v>26.110228522546741</v>
      </c>
      <c r="K1155" s="492">
        <v>0.3</v>
      </c>
      <c r="L1155" s="394">
        <f t="shared" si="288"/>
        <v>33.943297079310767</v>
      </c>
      <c r="M1155" s="394">
        <v>45</v>
      </c>
      <c r="N1155" s="504"/>
      <c r="O1155" s="362"/>
      <c r="Q1155" s="833"/>
      <c r="R1155" s="396"/>
    </row>
    <row r="1156" spans="2:18" s="395" customFormat="1" ht="15.75" outlineLevel="1" x14ac:dyDescent="0.25">
      <c r="B1156" s="393" t="s">
        <v>203</v>
      </c>
      <c r="C1156" s="395">
        <v>25</v>
      </c>
      <c r="D1156" s="395" t="s">
        <v>507</v>
      </c>
      <c r="E1156" s="276" t="s">
        <v>834</v>
      </c>
      <c r="F1156" s="394">
        <v>10</v>
      </c>
      <c r="G1156" s="179">
        <v>8183</v>
      </c>
      <c r="H1156" s="394">
        <v>13183</v>
      </c>
      <c r="I1156" s="394">
        <f t="shared" si="295"/>
        <v>16.110228522546741</v>
      </c>
      <c r="J1156" s="394">
        <f t="shared" si="296"/>
        <v>26.110228522546741</v>
      </c>
      <c r="K1156" s="492">
        <v>0.3</v>
      </c>
      <c r="L1156" s="394">
        <f t="shared" si="288"/>
        <v>33.943297079310767</v>
      </c>
      <c r="M1156" s="394">
        <v>45</v>
      </c>
      <c r="N1156" s="504"/>
      <c r="O1156" s="362"/>
      <c r="Q1156" s="833"/>
      <c r="R1156" s="396"/>
    </row>
    <row r="1157" spans="2:18" s="395" customFormat="1" ht="15.75" hidden="1" outlineLevel="1" x14ac:dyDescent="0.25">
      <c r="B1157" s="393" t="s">
        <v>203</v>
      </c>
      <c r="C1157" s="395">
        <v>26</v>
      </c>
      <c r="D1157" s="395" t="s">
        <v>504</v>
      </c>
      <c r="E1157" s="693" t="s">
        <v>837</v>
      </c>
      <c r="F1157" s="493">
        <v>10</v>
      </c>
      <c r="G1157" s="509">
        <v>8183</v>
      </c>
      <c r="H1157" s="493">
        <v>13183</v>
      </c>
      <c r="I1157" s="493">
        <f t="shared" si="295"/>
        <v>16.110228522546741</v>
      </c>
      <c r="J1157" s="493">
        <f t="shared" si="296"/>
        <v>26.110228522546741</v>
      </c>
      <c r="K1157" s="692">
        <v>0.3</v>
      </c>
      <c r="L1157" s="493">
        <f t="shared" si="288"/>
        <v>33.943297079310767</v>
      </c>
      <c r="M1157" s="493">
        <v>45</v>
      </c>
      <c r="N1157" s="504">
        <v>30</v>
      </c>
      <c r="O1157" s="362"/>
      <c r="P1157" s="626" t="s">
        <v>2048</v>
      </c>
      <c r="Q1157" s="833">
        <v>45342</v>
      </c>
      <c r="R1157" s="396">
        <f>+N1157*10000</f>
        <v>300000</v>
      </c>
    </row>
    <row r="1158" spans="2:18" s="494" customFormat="1" ht="15.75" outlineLevel="1" x14ac:dyDescent="0.25">
      <c r="B1158" s="428" t="s">
        <v>203</v>
      </c>
      <c r="E1158" s="599" t="s">
        <v>977</v>
      </c>
      <c r="F1158" s="504">
        <v>11</v>
      </c>
      <c r="G1158" s="585">
        <v>8183</v>
      </c>
      <c r="H1158" s="504">
        <v>13183</v>
      </c>
      <c r="I1158" s="504">
        <f>+F1158/G1158*H1158</f>
        <v>17.721251374801415</v>
      </c>
      <c r="J1158" s="504">
        <f>+F1158+I1158</f>
        <v>28.721251374801415</v>
      </c>
      <c r="K1158" s="586">
        <v>0.3</v>
      </c>
      <c r="L1158" s="504">
        <f t="shared" si="288"/>
        <v>37.337626787241838</v>
      </c>
      <c r="M1158" s="504">
        <v>45</v>
      </c>
      <c r="N1158" s="504"/>
      <c r="Q1158" s="841"/>
      <c r="R1158" s="918"/>
    </row>
    <row r="1159" spans="2:18" s="494" customFormat="1" ht="15.75" outlineLevel="1" x14ac:dyDescent="0.25">
      <c r="B1159" s="428" t="s">
        <v>203</v>
      </c>
      <c r="E1159" s="599" t="s">
        <v>779</v>
      </c>
      <c r="F1159" s="504">
        <v>11</v>
      </c>
      <c r="G1159" s="585">
        <v>8183</v>
      </c>
      <c r="H1159" s="504">
        <v>13183</v>
      </c>
      <c r="I1159" s="504">
        <f>+F1159/G1159*H1159</f>
        <v>17.721251374801415</v>
      </c>
      <c r="J1159" s="504">
        <f>+F1159+I1159</f>
        <v>28.721251374801415</v>
      </c>
      <c r="K1159" s="586">
        <v>0.3</v>
      </c>
      <c r="L1159" s="504">
        <f t="shared" si="288"/>
        <v>37.337626787241838</v>
      </c>
      <c r="M1159" s="504">
        <v>45</v>
      </c>
      <c r="N1159" s="504"/>
      <c r="Q1159" s="841"/>
      <c r="R1159" s="918"/>
    </row>
    <row r="1160" spans="2:18" s="395" customFormat="1" ht="15.75" outlineLevel="1" x14ac:dyDescent="0.25">
      <c r="B1160" s="393" t="s">
        <v>203</v>
      </c>
      <c r="E1160" s="429" t="s">
        <v>844</v>
      </c>
      <c r="F1160" s="394"/>
      <c r="G1160" s="179"/>
      <c r="H1160" s="394"/>
      <c r="I1160" s="394"/>
      <c r="J1160" s="394"/>
      <c r="K1160" s="492"/>
      <c r="L1160" s="394"/>
      <c r="M1160" s="394"/>
      <c r="N1160" s="504"/>
      <c r="Q1160" s="833"/>
      <c r="R1160" s="396"/>
    </row>
    <row r="1161" spans="2:18" s="395" customFormat="1" ht="15.75" hidden="1" outlineLevel="1" x14ac:dyDescent="0.25">
      <c r="B1161" s="393" t="s">
        <v>203</v>
      </c>
      <c r="C1161" s="395">
        <v>27</v>
      </c>
      <c r="E1161" s="317" t="s">
        <v>841</v>
      </c>
      <c r="F1161" s="493">
        <v>11</v>
      </c>
      <c r="G1161" s="509">
        <v>660</v>
      </c>
      <c r="H1161" s="493">
        <f t="shared" ref="H1161:H1174" si="297">660+359</f>
        <v>1019</v>
      </c>
      <c r="I1161" s="493">
        <f t="shared" ref="I1161:I1174" si="298">+F1161/G1161*H1161</f>
        <v>16.983333333333334</v>
      </c>
      <c r="J1161" s="493">
        <f t="shared" ref="J1161:J1174" si="299">+F1161+I1161</f>
        <v>27.983333333333334</v>
      </c>
      <c r="K1161" s="692">
        <v>0.3</v>
      </c>
      <c r="L1161" s="493">
        <f t="shared" si="288"/>
        <v>36.37833333333333</v>
      </c>
      <c r="M1161" s="493">
        <v>45</v>
      </c>
      <c r="N1161" s="504"/>
      <c r="P1161" s="395" t="s">
        <v>2810</v>
      </c>
      <c r="Q1161" s="833">
        <v>45456</v>
      </c>
      <c r="R1161" s="396">
        <f>+M1161*14.5</f>
        <v>652.5</v>
      </c>
    </row>
    <row r="1162" spans="2:18" s="395" customFormat="1" ht="15.75" outlineLevel="1" x14ac:dyDescent="0.25">
      <c r="B1162" s="393" t="s">
        <v>203</v>
      </c>
      <c r="C1162" s="395">
        <v>28</v>
      </c>
      <c r="E1162" s="395" t="s">
        <v>841</v>
      </c>
      <c r="F1162" s="394">
        <v>11</v>
      </c>
      <c r="G1162" s="179">
        <v>660</v>
      </c>
      <c r="H1162" s="394">
        <f t="shared" si="297"/>
        <v>1019</v>
      </c>
      <c r="I1162" s="394">
        <f t="shared" si="298"/>
        <v>16.983333333333334</v>
      </c>
      <c r="J1162" s="394">
        <f t="shared" si="299"/>
        <v>27.983333333333334</v>
      </c>
      <c r="K1162" s="492">
        <v>0.3</v>
      </c>
      <c r="L1162" s="394">
        <f t="shared" si="288"/>
        <v>36.37833333333333</v>
      </c>
      <c r="M1162" s="394">
        <v>45</v>
      </c>
      <c r="N1162" s="504"/>
      <c r="P1162" s="395" t="s">
        <v>1629</v>
      </c>
      <c r="Q1162" s="833"/>
      <c r="R1162" s="396"/>
    </row>
    <row r="1163" spans="2:18" s="395" customFormat="1" ht="15.75" outlineLevel="1" x14ac:dyDescent="0.25">
      <c r="B1163" s="393" t="s">
        <v>203</v>
      </c>
      <c r="C1163" s="395">
        <v>32</v>
      </c>
      <c r="E1163" s="395" t="s">
        <v>843</v>
      </c>
      <c r="F1163" s="394">
        <v>11</v>
      </c>
      <c r="G1163" s="179">
        <v>660</v>
      </c>
      <c r="H1163" s="394">
        <f t="shared" si="297"/>
        <v>1019</v>
      </c>
      <c r="I1163" s="394">
        <f t="shared" si="298"/>
        <v>16.983333333333334</v>
      </c>
      <c r="J1163" s="394">
        <f t="shared" si="299"/>
        <v>27.983333333333334</v>
      </c>
      <c r="K1163" s="492">
        <v>0.3</v>
      </c>
      <c r="L1163" s="394">
        <f t="shared" si="288"/>
        <v>36.37833333333333</v>
      </c>
      <c r="M1163" s="394">
        <v>45</v>
      </c>
      <c r="N1163" s="504"/>
      <c r="P1163" s="395" t="s">
        <v>1629</v>
      </c>
      <c r="Q1163" s="833"/>
      <c r="R1163" s="396"/>
    </row>
    <row r="1164" spans="2:18" s="395" customFormat="1" ht="15.75" outlineLevel="1" x14ac:dyDescent="0.25">
      <c r="B1164" s="393" t="s">
        <v>203</v>
      </c>
      <c r="C1164" s="395">
        <v>33</v>
      </c>
      <c r="E1164" s="395" t="s">
        <v>843</v>
      </c>
      <c r="F1164" s="394">
        <v>11</v>
      </c>
      <c r="G1164" s="179">
        <v>660</v>
      </c>
      <c r="H1164" s="394">
        <f t="shared" si="297"/>
        <v>1019</v>
      </c>
      <c r="I1164" s="394">
        <f t="shared" si="298"/>
        <v>16.983333333333334</v>
      </c>
      <c r="J1164" s="394">
        <f t="shared" si="299"/>
        <v>27.983333333333334</v>
      </c>
      <c r="K1164" s="492">
        <v>0.3</v>
      </c>
      <c r="L1164" s="394">
        <f t="shared" si="288"/>
        <v>36.37833333333333</v>
      </c>
      <c r="M1164" s="394">
        <v>45</v>
      </c>
      <c r="N1164" s="504"/>
      <c r="P1164" s="395" t="s">
        <v>1833</v>
      </c>
      <c r="Q1164" s="833"/>
      <c r="R1164" s="396"/>
    </row>
    <row r="1165" spans="2:18" s="395" customFormat="1" ht="15.75" hidden="1" outlineLevel="1" x14ac:dyDescent="0.25">
      <c r="B1165" s="393" t="s">
        <v>203</v>
      </c>
      <c r="C1165" s="395">
        <v>34</v>
      </c>
      <c r="E1165" s="317" t="s">
        <v>842</v>
      </c>
      <c r="F1165" s="493">
        <v>11</v>
      </c>
      <c r="G1165" s="509">
        <v>660</v>
      </c>
      <c r="H1165" s="493">
        <f t="shared" si="297"/>
        <v>1019</v>
      </c>
      <c r="I1165" s="493">
        <f t="shared" si="298"/>
        <v>16.983333333333334</v>
      </c>
      <c r="J1165" s="493">
        <f t="shared" si="299"/>
        <v>27.983333333333334</v>
      </c>
      <c r="K1165" s="692">
        <v>0.3</v>
      </c>
      <c r="L1165" s="493">
        <f t="shared" si="288"/>
        <v>36.37833333333333</v>
      </c>
      <c r="M1165" s="493">
        <v>45</v>
      </c>
      <c r="N1165" s="504"/>
      <c r="P1165" s="395" t="s">
        <v>2932</v>
      </c>
      <c r="Q1165" s="833">
        <v>45473</v>
      </c>
      <c r="R1165" s="396"/>
    </row>
    <row r="1166" spans="2:18" s="395" customFormat="1" ht="15.75" outlineLevel="1" x14ac:dyDescent="0.25">
      <c r="B1166" s="393" t="s">
        <v>203</v>
      </c>
      <c r="C1166" s="395">
        <v>35</v>
      </c>
      <c r="E1166" s="395" t="s">
        <v>842</v>
      </c>
      <c r="F1166" s="394">
        <v>11</v>
      </c>
      <c r="G1166" s="179">
        <v>660</v>
      </c>
      <c r="H1166" s="394">
        <f t="shared" si="297"/>
        <v>1019</v>
      </c>
      <c r="I1166" s="394">
        <f t="shared" si="298"/>
        <v>16.983333333333334</v>
      </c>
      <c r="J1166" s="394">
        <f t="shared" si="299"/>
        <v>27.983333333333334</v>
      </c>
      <c r="K1166" s="492">
        <v>0.3</v>
      </c>
      <c r="L1166" s="394">
        <f t="shared" si="288"/>
        <v>36.37833333333333</v>
      </c>
      <c r="M1166" s="394">
        <v>45</v>
      </c>
      <c r="N1166" s="504"/>
      <c r="P1166" s="395" t="s">
        <v>1629</v>
      </c>
      <c r="Q1166" s="833"/>
      <c r="R1166" s="396"/>
    </row>
    <row r="1167" spans="2:18" s="395" customFormat="1" ht="15.75" outlineLevel="1" x14ac:dyDescent="0.25">
      <c r="B1167" s="393" t="s">
        <v>203</v>
      </c>
      <c r="C1167" s="395">
        <v>36</v>
      </c>
      <c r="E1167" s="395" t="s">
        <v>842</v>
      </c>
      <c r="F1167" s="394">
        <v>11</v>
      </c>
      <c r="G1167" s="179">
        <v>660</v>
      </c>
      <c r="H1167" s="394">
        <f t="shared" si="297"/>
        <v>1019</v>
      </c>
      <c r="I1167" s="394">
        <f t="shared" si="298"/>
        <v>16.983333333333334</v>
      </c>
      <c r="J1167" s="394">
        <f t="shared" si="299"/>
        <v>27.983333333333334</v>
      </c>
      <c r="K1167" s="492">
        <v>0.3</v>
      </c>
      <c r="L1167" s="394">
        <f t="shared" si="288"/>
        <v>36.37833333333333</v>
      </c>
      <c r="M1167" s="394">
        <v>45</v>
      </c>
      <c r="N1167" s="504"/>
      <c r="P1167" s="395" t="s">
        <v>1629</v>
      </c>
      <c r="Q1167" s="833"/>
      <c r="R1167" s="396"/>
    </row>
    <row r="1168" spans="2:18" s="395" customFormat="1" ht="15.75" outlineLevel="1" x14ac:dyDescent="0.25">
      <c r="B1168" s="393" t="s">
        <v>203</v>
      </c>
      <c r="C1168" s="395">
        <v>37</v>
      </c>
      <c r="E1168" s="395" t="s">
        <v>842</v>
      </c>
      <c r="F1168" s="394">
        <v>11</v>
      </c>
      <c r="G1168" s="179">
        <v>660</v>
      </c>
      <c r="H1168" s="394">
        <f t="shared" si="297"/>
        <v>1019</v>
      </c>
      <c r="I1168" s="394">
        <f t="shared" si="298"/>
        <v>16.983333333333334</v>
      </c>
      <c r="J1168" s="394">
        <f t="shared" si="299"/>
        <v>27.983333333333334</v>
      </c>
      <c r="K1168" s="492">
        <v>0.3</v>
      </c>
      <c r="L1168" s="394">
        <f t="shared" si="288"/>
        <v>36.37833333333333</v>
      </c>
      <c r="M1168" s="394">
        <v>45</v>
      </c>
      <c r="N1168" s="504"/>
      <c r="P1168" s="395" t="s">
        <v>1629</v>
      </c>
      <c r="Q1168" s="833"/>
      <c r="R1168" s="396"/>
    </row>
    <row r="1169" spans="1:20" s="395" customFormat="1" ht="15.75" outlineLevel="1" x14ac:dyDescent="0.25">
      <c r="B1169" s="393" t="s">
        <v>203</v>
      </c>
      <c r="C1169" s="395">
        <v>38</v>
      </c>
      <c r="E1169" s="395" t="s">
        <v>835</v>
      </c>
      <c r="F1169" s="394">
        <v>11</v>
      </c>
      <c r="G1169" s="179">
        <v>660</v>
      </c>
      <c r="H1169" s="394">
        <f t="shared" si="297"/>
        <v>1019</v>
      </c>
      <c r="I1169" s="394">
        <f t="shared" si="298"/>
        <v>16.983333333333334</v>
      </c>
      <c r="J1169" s="394">
        <f t="shared" si="299"/>
        <v>27.983333333333334</v>
      </c>
      <c r="K1169" s="492">
        <v>0.3</v>
      </c>
      <c r="L1169" s="394">
        <f t="shared" si="288"/>
        <v>36.37833333333333</v>
      </c>
      <c r="M1169" s="394">
        <v>45</v>
      </c>
      <c r="N1169" s="504"/>
      <c r="P1169" s="395" t="s">
        <v>1629</v>
      </c>
      <c r="Q1169" s="833"/>
      <c r="R1169" s="396"/>
    </row>
    <row r="1170" spans="1:20" s="395" customFormat="1" ht="15.75" outlineLevel="1" x14ac:dyDescent="0.25">
      <c r="B1170" s="393" t="s">
        <v>203</v>
      </c>
      <c r="C1170" s="395">
        <v>39</v>
      </c>
      <c r="E1170" s="395" t="s">
        <v>835</v>
      </c>
      <c r="F1170" s="394">
        <v>11</v>
      </c>
      <c r="G1170" s="179">
        <v>660</v>
      </c>
      <c r="H1170" s="394">
        <f t="shared" si="297"/>
        <v>1019</v>
      </c>
      <c r="I1170" s="394">
        <f t="shared" si="298"/>
        <v>16.983333333333334</v>
      </c>
      <c r="J1170" s="394">
        <f t="shared" si="299"/>
        <v>27.983333333333334</v>
      </c>
      <c r="K1170" s="492">
        <v>0.3</v>
      </c>
      <c r="L1170" s="394">
        <f t="shared" si="288"/>
        <v>36.37833333333333</v>
      </c>
      <c r="M1170" s="394">
        <v>45</v>
      </c>
      <c r="N1170" s="504"/>
      <c r="P1170" s="395" t="s">
        <v>1629</v>
      </c>
      <c r="Q1170" s="833"/>
      <c r="R1170" s="396"/>
    </row>
    <row r="1171" spans="1:20" s="395" customFormat="1" ht="15.75" outlineLevel="1" x14ac:dyDescent="0.25">
      <c r="A1171" s="377"/>
      <c r="B1171" s="393" t="s">
        <v>203</v>
      </c>
      <c r="C1171" s="395">
        <v>40</v>
      </c>
      <c r="D1171" s="519"/>
      <c r="E1171" s="395" t="s">
        <v>835</v>
      </c>
      <c r="F1171" s="394">
        <v>11</v>
      </c>
      <c r="G1171" s="179">
        <v>660</v>
      </c>
      <c r="H1171" s="394">
        <f t="shared" si="297"/>
        <v>1019</v>
      </c>
      <c r="I1171" s="394">
        <f t="shared" si="298"/>
        <v>16.983333333333334</v>
      </c>
      <c r="J1171" s="394">
        <f t="shared" si="299"/>
        <v>27.983333333333334</v>
      </c>
      <c r="K1171" s="492">
        <v>0.3</v>
      </c>
      <c r="L1171" s="394">
        <f t="shared" si="288"/>
        <v>36.37833333333333</v>
      </c>
      <c r="M1171" s="394">
        <v>45</v>
      </c>
      <c r="N1171" s="504"/>
      <c r="O1171" s="378"/>
      <c r="P1171" s="395" t="s">
        <v>1834</v>
      </c>
      <c r="Q1171" s="851"/>
      <c r="R1171" s="928"/>
      <c r="S1171" s="378"/>
      <c r="T1171" s="730"/>
    </row>
    <row r="1172" spans="1:20" s="395" customFormat="1" ht="15.75" outlineLevel="1" x14ac:dyDescent="0.25">
      <c r="B1172" s="393" t="s">
        <v>203</v>
      </c>
      <c r="C1172" s="395">
        <v>41</v>
      </c>
      <c r="E1172" s="395" t="s">
        <v>835</v>
      </c>
      <c r="F1172" s="394">
        <v>11</v>
      </c>
      <c r="G1172" s="179">
        <v>660</v>
      </c>
      <c r="H1172" s="394">
        <f t="shared" si="297"/>
        <v>1019</v>
      </c>
      <c r="I1172" s="394">
        <f t="shared" si="298"/>
        <v>16.983333333333334</v>
      </c>
      <c r="J1172" s="394">
        <f t="shared" si="299"/>
        <v>27.983333333333334</v>
      </c>
      <c r="K1172" s="492">
        <v>0.3</v>
      </c>
      <c r="L1172" s="394">
        <f t="shared" si="288"/>
        <v>36.37833333333333</v>
      </c>
      <c r="M1172" s="394">
        <v>45</v>
      </c>
      <c r="N1172" s="504"/>
      <c r="P1172" s="395" t="s">
        <v>1835</v>
      </c>
      <c r="Q1172" s="833"/>
      <c r="R1172" s="396"/>
    </row>
    <row r="1173" spans="1:20" s="149" customFormat="1" ht="15" customHeight="1" x14ac:dyDescent="0.25">
      <c r="A1173" s="395"/>
      <c r="B1173" s="393" t="s">
        <v>203</v>
      </c>
      <c r="C1173" s="395">
        <v>42</v>
      </c>
      <c r="D1173" s="395"/>
      <c r="E1173" s="395" t="s">
        <v>843</v>
      </c>
      <c r="F1173" s="394">
        <v>11</v>
      </c>
      <c r="G1173" s="179">
        <v>660</v>
      </c>
      <c r="H1173" s="394">
        <f t="shared" si="297"/>
        <v>1019</v>
      </c>
      <c r="I1173" s="394">
        <f t="shared" si="298"/>
        <v>16.983333333333334</v>
      </c>
      <c r="J1173" s="394">
        <f t="shared" si="299"/>
        <v>27.983333333333334</v>
      </c>
      <c r="K1173" s="492">
        <v>0.3</v>
      </c>
      <c r="L1173" s="394">
        <f t="shared" si="288"/>
        <v>36.37833333333333</v>
      </c>
      <c r="M1173" s="394">
        <v>45</v>
      </c>
      <c r="N1173" s="504"/>
      <c r="O1173" s="395"/>
      <c r="Q1173" s="833"/>
      <c r="R1173" s="396"/>
      <c r="S1173" s="395"/>
      <c r="T1173" s="395"/>
    </row>
    <row r="1174" spans="1:20" s="149" customFormat="1" ht="15" customHeight="1" x14ac:dyDescent="0.25">
      <c r="A1174" s="395"/>
      <c r="B1174" s="393" t="s">
        <v>203</v>
      </c>
      <c r="C1174" s="395">
        <v>43</v>
      </c>
      <c r="D1174" s="395"/>
      <c r="E1174" s="395" t="s">
        <v>843</v>
      </c>
      <c r="F1174" s="394">
        <v>11</v>
      </c>
      <c r="G1174" s="179">
        <v>660</v>
      </c>
      <c r="H1174" s="394">
        <f t="shared" si="297"/>
        <v>1019</v>
      </c>
      <c r="I1174" s="394">
        <f t="shared" si="298"/>
        <v>16.983333333333334</v>
      </c>
      <c r="J1174" s="394">
        <f t="shared" si="299"/>
        <v>27.983333333333334</v>
      </c>
      <c r="K1174" s="492">
        <v>0.3</v>
      </c>
      <c r="L1174" s="394">
        <f t="shared" si="288"/>
        <v>36.37833333333333</v>
      </c>
      <c r="M1174" s="394">
        <v>45</v>
      </c>
      <c r="N1174" s="504"/>
      <c r="O1174" s="395"/>
      <c r="P1174" s="395" t="s">
        <v>1629</v>
      </c>
      <c r="Q1174" s="833"/>
      <c r="R1174" s="396"/>
      <c r="S1174" s="395"/>
      <c r="T1174" s="395"/>
    </row>
    <row r="1175" spans="1:20" s="178" customFormat="1" ht="15.75" collapsed="1" x14ac:dyDescent="0.25">
      <c r="A1175" s="319"/>
      <c r="B1175" s="319"/>
      <c r="C1175" s="319"/>
      <c r="E1175" s="393" t="s">
        <v>1364</v>
      </c>
      <c r="F1175" s="549"/>
      <c r="G1175" s="226"/>
      <c r="H1175" s="227"/>
      <c r="I1175" s="226"/>
      <c r="J1175" s="174"/>
      <c r="K1175" s="174"/>
      <c r="L1175" s="316"/>
      <c r="M1175" s="174"/>
      <c r="N1175" s="663"/>
      <c r="P1175" s="395"/>
      <c r="Q1175" s="833"/>
      <c r="R1175" s="914"/>
    </row>
    <row r="1176" spans="1:20" s="178" customFormat="1" ht="15.75" hidden="1" x14ac:dyDescent="0.25">
      <c r="A1176" s="225" t="s">
        <v>203</v>
      </c>
      <c r="B1176" s="319"/>
      <c r="C1176" s="178">
        <v>44</v>
      </c>
      <c r="E1176" s="704" t="s">
        <v>1308</v>
      </c>
      <c r="F1176" s="232">
        <v>12</v>
      </c>
      <c r="G1176" s="305">
        <v>9682</v>
      </c>
      <c r="H1176" s="232">
        <v>7766</v>
      </c>
      <c r="I1176" s="611">
        <f t="shared" ref="I1176:I1220" si="300">+F1176/G1176*H1176</f>
        <v>9.6252840322247462</v>
      </c>
      <c r="J1176" s="611">
        <f t="shared" ref="J1176:J1220" si="301">+F1176+I1176</f>
        <v>21.625284032224748</v>
      </c>
      <c r="K1176" s="612">
        <v>0.4</v>
      </c>
      <c r="L1176" s="611">
        <f t="shared" ref="L1176:L1220" si="302">+J1176*1.4</f>
        <v>30.275397645114644</v>
      </c>
      <c r="M1176" s="698">
        <v>45</v>
      </c>
      <c r="N1176" s="633"/>
      <c r="P1176" s="395" t="s">
        <v>644</v>
      </c>
      <c r="Q1176" s="833">
        <v>45437</v>
      </c>
      <c r="R1176" s="914">
        <f>+M1176*14.5</f>
        <v>652.5</v>
      </c>
    </row>
    <row r="1177" spans="1:20" s="178" customFormat="1" ht="15.75" x14ac:dyDescent="0.25">
      <c r="A1177" s="225" t="s">
        <v>203</v>
      </c>
      <c r="B1177" s="319"/>
      <c r="C1177" s="178">
        <v>45</v>
      </c>
      <c r="E1177" s="337" t="s">
        <v>1308</v>
      </c>
      <c r="F1177" s="226">
        <v>12</v>
      </c>
      <c r="G1177" s="227">
        <v>9682</v>
      </c>
      <c r="H1177" s="226">
        <v>7766</v>
      </c>
      <c r="I1177" s="174">
        <f t="shared" si="300"/>
        <v>9.6252840322247462</v>
      </c>
      <c r="J1177" s="174">
        <f t="shared" si="301"/>
        <v>21.625284032224748</v>
      </c>
      <c r="K1177" s="316">
        <v>0.4</v>
      </c>
      <c r="L1177" s="174">
        <f t="shared" si="302"/>
        <v>30.275397645114644</v>
      </c>
      <c r="M1177" s="175">
        <v>45</v>
      </c>
      <c r="N1177" s="633"/>
      <c r="P1177" s="395" t="s">
        <v>1832</v>
      </c>
      <c r="Q1177" s="833"/>
      <c r="R1177" s="914"/>
    </row>
    <row r="1178" spans="1:20" s="178" customFormat="1" ht="15.75" x14ac:dyDescent="0.25">
      <c r="A1178" s="225" t="s">
        <v>203</v>
      </c>
      <c r="B1178" s="319"/>
      <c r="C1178" s="178">
        <v>46</v>
      </c>
      <c r="E1178" s="337" t="s">
        <v>1309</v>
      </c>
      <c r="F1178" s="226">
        <v>12</v>
      </c>
      <c r="G1178" s="227">
        <v>9682</v>
      </c>
      <c r="H1178" s="226">
        <v>7766</v>
      </c>
      <c r="I1178" s="174">
        <f t="shared" si="300"/>
        <v>9.6252840322247462</v>
      </c>
      <c r="J1178" s="174">
        <f t="shared" si="301"/>
        <v>21.625284032224748</v>
      </c>
      <c r="K1178" s="316">
        <v>0.4</v>
      </c>
      <c r="L1178" s="174">
        <f t="shared" si="302"/>
        <v>30.275397645114644</v>
      </c>
      <c r="M1178" s="175">
        <v>45</v>
      </c>
      <c r="N1178" s="633"/>
      <c r="P1178" s="395" t="s">
        <v>1832</v>
      </c>
      <c r="Q1178" s="833"/>
      <c r="R1178" s="914"/>
    </row>
    <row r="1179" spans="1:20" s="178" customFormat="1" ht="15.75" x14ac:dyDescent="0.25">
      <c r="A1179" s="225" t="s">
        <v>203</v>
      </c>
      <c r="B1179" s="319"/>
      <c r="C1179" s="178">
        <v>47</v>
      </c>
      <c r="E1179" s="337" t="s">
        <v>1309</v>
      </c>
      <c r="F1179" s="226">
        <v>12</v>
      </c>
      <c r="G1179" s="227">
        <v>9682</v>
      </c>
      <c r="H1179" s="226">
        <v>7766</v>
      </c>
      <c r="I1179" s="174">
        <f t="shared" si="300"/>
        <v>9.6252840322247462</v>
      </c>
      <c r="J1179" s="174">
        <f t="shared" si="301"/>
        <v>21.625284032224748</v>
      </c>
      <c r="K1179" s="316">
        <v>0.4</v>
      </c>
      <c r="L1179" s="174">
        <f t="shared" si="302"/>
        <v>30.275397645114644</v>
      </c>
      <c r="M1179" s="175">
        <v>45</v>
      </c>
      <c r="N1179" s="633"/>
      <c r="P1179" s="395" t="s">
        <v>1832</v>
      </c>
      <c r="Q1179" s="833"/>
      <c r="R1179" s="914"/>
    </row>
    <row r="1180" spans="1:20" s="178" customFormat="1" ht="15.75" x14ac:dyDescent="0.25">
      <c r="A1180" s="225" t="s">
        <v>203</v>
      </c>
      <c r="B1180" s="319"/>
      <c r="C1180" s="178">
        <v>48</v>
      </c>
      <c r="E1180" s="337" t="s">
        <v>1309</v>
      </c>
      <c r="F1180" s="226">
        <v>12</v>
      </c>
      <c r="G1180" s="227">
        <v>9682</v>
      </c>
      <c r="H1180" s="226">
        <v>7766</v>
      </c>
      <c r="I1180" s="174">
        <f t="shared" si="300"/>
        <v>9.6252840322247462</v>
      </c>
      <c r="J1180" s="174">
        <f t="shared" si="301"/>
        <v>21.625284032224748</v>
      </c>
      <c r="K1180" s="316">
        <v>0.4</v>
      </c>
      <c r="L1180" s="174">
        <f t="shared" si="302"/>
        <v>30.275397645114644</v>
      </c>
      <c r="M1180" s="175">
        <v>45</v>
      </c>
      <c r="N1180" s="633"/>
      <c r="P1180" s="395" t="s">
        <v>1832</v>
      </c>
      <c r="Q1180" s="833"/>
      <c r="R1180" s="914"/>
    </row>
    <row r="1181" spans="1:20" s="178" customFormat="1" ht="15.75" x14ac:dyDescent="0.25">
      <c r="A1181" s="225" t="s">
        <v>203</v>
      </c>
      <c r="B1181" s="319"/>
      <c r="C1181" s="178">
        <v>51</v>
      </c>
      <c r="E1181" s="337" t="s">
        <v>1310</v>
      </c>
      <c r="F1181" s="226">
        <v>12</v>
      </c>
      <c r="G1181" s="227">
        <v>9682</v>
      </c>
      <c r="H1181" s="226">
        <v>7766</v>
      </c>
      <c r="I1181" s="174">
        <f t="shared" si="300"/>
        <v>9.6252840322247462</v>
      </c>
      <c r="J1181" s="174">
        <f t="shared" si="301"/>
        <v>21.625284032224748</v>
      </c>
      <c r="K1181" s="316">
        <v>0.4</v>
      </c>
      <c r="L1181" s="174">
        <f t="shared" si="302"/>
        <v>30.275397645114644</v>
      </c>
      <c r="M1181" s="175">
        <v>45</v>
      </c>
      <c r="N1181" s="633"/>
      <c r="P1181" s="395" t="s">
        <v>1832</v>
      </c>
      <c r="Q1181" s="833"/>
      <c r="R1181" s="914"/>
    </row>
    <row r="1182" spans="1:20" s="178" customFormat="1" ht="15.75" x14ac:dyDescent="0.25">
      <c r="A1182" s="225" t="s">
        <v>203</v>
      </c>
      <c r="B1182" s="319"/>
      <c r="C1182" s="178">
        <v>52</v>
      </c>
      <c r="E1182" s="337" t="s">
        <v>1310</v>
      </c>
      <c r="F1182" s="226">
        <v>12</v>
      </c>
      <c r="G1182" s="227">
        <v>9682</v>
      </c>
      <c r="H1182" s="226">
        <v>7766</v>
      </c>
      <c r="I1182" s="174">
        <f t="shared" si="300"/>
        <v>9.6252840322247462</v>
      </c>
      <c r="J1182" s="174">
        <f t="shared" si="301"/>
        <v>21.625284032224748</v>
      </c>
      <c r="K1182" s="316">
        <v>0.4</v>
      </c>
      <c r="L1182" s="174">
        <f t="shared" si="302"/>
        <v>30.275397645114644</v>
      </c>
      <c r="M1182" s="175">
        <v>45</v>
      </c>
      <c r="N1182" s="633"/>
      <c r="P1182" s="395" t="s">
        <v>1832</v>
      </c>
      <c r="Q1182" s="833"/>
      <c r="R1182" s="914"/>
    </row>
    <row r="1183" spans="1:20" s="178" customFormat="1" ht="15.75" x14ac:dyDescent="0.25">
      <c r="A1183" s="225" t="s">
        <v>203</v>
      </c>
      <c r="B1183" s="319"/>
      <c r="C1183" s="178">
        <v>53</v>
      </c>
      <c r="E1183" s="337" t="s">
        <v>1310</v>
      </c>
      <c r="F1183" s="226">
        <v>12</v>
      </c>
      <c r="G1183" s="227">
        <v>9682</v>
      </c>
      <c r="H1183" s="226">
        <v>7766</v>
      </c>
      <c r="I1183" s="174">
        <f t="shared" si="300"/>
        <v>9.6252840322247462</v>
      </c>
      <c r="J1183" s="174">
        <f t="shared" si="301"/>
        <v>21.625284032224748</v>
      </c>
      <c r="K1183" s="316">
        <v>0.4</v>
      </c>
      <c r="L1183" s="174">
        <f t="shared" si="302"/>
        <v>30.275397645114644</v>
      </c>
      <c r="M1183" s="175">
        <v>45</v>
      </c>
      <c r="N1183" s="633"/>
      <c r="P1183" s="395" t="s">
        <v>1832</v>
      </c>
      <c r="Q1183" s="833"/>
      <c r="R1183" s="914"/>
    </row>
    <row r="1184" spans="1:20" s="178" customFormat="1" ht="15.75" x14ac:dyDescent="0.25">
      <c r="A1184" s="225" t="s">
        <v>203</v>
      </c>
      <c r="B1184" s="319"/>
      <c r="C1184" s="178">
        <v>54</v>
      </c>
      <c r="E1184" s="337" t="s">
        <v>1310</v>
      </c>
      <c r="F1184" s="226">
        <v>12</v>
      </c>
      <c r="G1184" s="227">
        <v>9682</v>
      </c>
      <c r="H1184" s="226">
        <v>7766</v>
      </c>
      <c r="I1184" s="174">
        <f t="shared" si="300"/>
        <v>9.6252840322247462</v>
      </c>
      <c r="J1184" s="174">
        <f t="shared" si="301"/>
        <v>21.625284032224748</v>
      </c>
      <c r="K1184" s="316">
        <v>0.4</v>
      </c>
      <c r="L1184" s="174">
        <f t="shared" si="302"/>
        <v>30.275397645114644</v>
      </c>
      <c r="M1184" s="175">
        <v>45</v>
      </c>
      <c r="N1184" s="633"/>
      <c r="P1184" s="395" t="s">
        <v>1832</v>
      </c>
      <c r="Q1184" s="833"/>
      <c r="R1184" s="914"/>
    </row>
    <row r="1185" spans="1:18" s="178" customFormat="1" ht="15.75" x14ac:dyDescent="0.25">
      <c r="A1185" s="225" t="s">
        <v>203</v>
      </c>
      <c r="B1185" s="319"/>
      <c r="C1185" s="178">
        <v>56</v>
      </c>
      <c r="E1185" s="337" t="s">
        <v>1311</v>
      </c>
      <c r="F1185" s="226">
        <v>12</v>
      </c>
      <c r="G1185" s="227">
        <v>9682</v>
      </c>
      <c r="H1185" s="226">
        <v>7766</v>
      </c>
      <c r="I1185" s="174">
        <f t="shared" si="300"/>
        <v>9.6252840322247462</v>
      </c>
      <c r="J1185" s="174">
        <f t="shared" si="301"/>
        <v>21.625284032224748</v>
      </c>
      <c r="K1185" s="316">
        <v>0.4</v>
      </c>
      <c r="L1185" s="174">
        <f t="shared" si="302"/>
        <v>30.275397645114644</v>
      </c>
      <c r="M1185" s="175">
        <v>45</v>
      </c>
      <c r="N1185" s="633"/>
      <c r="P1185" s="395" t="s">
        <v>1832</v>
      </c>
      <c r="Q1185" s="833"/>
      <c r="R1185" s="914"/>
    </row>
    <row r="1186" spans="1:18" s="178" customFormat="1" ht="15.75" x14ac:dyDescent="0.25">
      <c r="A1186" s="225" t="s">
        <v>203</v>
      </c>
      <c r="B1186" s="319"/>
      <c r="C1186" s="178">
        <v>57</v>
      </c>
      <c r="E1186" s="337" t="s">
        <v>1311</v>
      </c>
      <c r="F1186" s="226">
        <v>12</v>
      </c>
      <c r="G1186" s="227">
        <v>9682</v>
      </c>
      <c r="H1186" s="226">
        <v>7766</v>
      </c>
      <c r="I1186" s="174">
        <f t="shared" si="300"/>
        <v>9.6252840322247462</v>
      </c>
      <c r="J1186" s="174">
        <f t="shared" si="301"/>
        <v>21.625284032224748</v>
      </c>
      <c r="K1186" s="316">
        <v>0.4</v>
      </c>
      <c r="L1186" s="174">
        <f t="shared" si="302"/>
        <v>30.275397645114644</v>
      </c>
      <c r="M1186" s="175">
        <v>45</v>
      </c>
      <c r="N1186" s="633"/>
      <c r="P1186" s="395" t="s">
        <v>1832</v>
      </c>
      <c r="Q1186" s="833"/>
      <c r="R1186" s="914"/>
    </row>
    <row r="1187" spans="1:18" s="178" customFormat="1" ht="15.75" hidden="1" x14ac:dyDescent="0.25">
      <c r="A1187" s="225" t="s">
        <v>203</v>
      </c>
      <c r="B1187" s="319"/>
      <c r="C1187" s="178">
        <v>60</v>
      </c>
      <c r="E1187" s="704" t="s">
        <v>1312</v>
      </c>
      <c r="F1187" s="232">
        <v>12</v>
      </c>
      <c r="G1187" s="305">
        <v>9682</v>
      </c>
      <c r="H1187" s="232">
        <v>7766</v>
      </c>
      <c r="I1187" s="611">
        <f t="shared" si="300"/>
        <v>9.6252840322247462</v>
      </c>
      <c r="J1187" s="611">
        <f t="shared" si="301"/>
        <v>21.625284032224748</v>
      </c>
      <c r="K1187" s="612">
        <v>0.4</v>
      </c>
      <c r="L1187" s="611">
        <f t="shared" si="302"/>
        <v>30.275397645114644</v>
      </c>
      <c r="M1187" s="698">
        <v>45</v>
      </c>
      <c r="N1187" s="633"/>
      <c r="P1187" s="395" t="s">
        <v>2604</v>
      </c>
      <c r="Q1187" s="836">
        <v>45428</v>
      </c>
      <c r="R1187" s="914">
        <f>+M1187*14.5</f>
        <v>652.5</v>
      </c>
    </row>
    <row r="1188" spans="1:18" s="178" customFormat="1" ht="15.75" x14ac:dyDescent="0.25">
      <c r="A1188" s="225" t="s">
        <v>203</v>
      </c>
      <c r="B1188" s="319"/>
      <c r="C1188" s="178">
        <v>62</v>
      </c>
      <c r="E1188" s="337" t="s">
        <v>1314</v>
      </c>
      <c r="F1188" s="226">
        <v>12</v>
      </c>
      <c r="G1188" s="227">
        <v>9682</v>
      </c>
      <c r="H1188" s="226">
        <v>7766</v>
      </c>
      <c r="I1188" s="174">
        <f t="shared" si="300"/>
        <v>9.6252840322247462</v>
      </c>
      <c r="J1188" s="174">
        <f t="shared" si="301"/>
        <v>21.625284032224748</v>
      </c>
      <c r="K1188" s="316">
        <v>0.4</v>
      </c>
      <c r="L1188" s="174">
        <f t="shared" si="302"/>
        <v>30.275397645114644</v>
      </c>
      <c r="M1188" s="175">
        <v>45</v>
      </c>
      <c r="N1188" s="633"/>
      <c r="P1188" s="395" t="s">
        <v>1832</v>
      </c>
      <c r="Q1188" s="836"/>
      <c r="R1188" s="914"/>
    </row>
    <row r="1189" spans="1:18" s="178" customFormat="1" ht="15.75" x14ac:dyDescent="0.25">
      <c r="A1189" s="225" t="s">
        <v>203</v>
      </c>
      <c r="B1189" s="319"/>
      <c r="C1189" s="178">
        <v>63</v>
      </c>
      <c r="E1189" s="337" t="s">
        <v>1314</v>
      </c>
      <c r="F1189" s="226">
        <v>12</v>
      </c>
      <c r="G1189" s="227">
        <v>9682</v>
      </c>
      <c r="H1189" s="226">
        <v>7766</v>
      </c>
      <c r="I1189" s="174">
        <f t="shared" si="300"/>
        <v>9.6252840322247462</v>
      </c>
      <c r="J1189" s="174">
        <f t="shared" si="301"/>
        <v>21.625284032224748</v>
      </c>
      <c r="K1189" s="316">
        <v>0.4</v>
      </c>
      <c r="L1189" s="174">
        <f t="shared" si="302"/>
        <v>30.275397645114644</v>
      </c>
      <c r="M1189" s="175">
        <v>45</v>
      </c>
      <c r="N1189" s="633"/>
      <c r="P1189" s="395" t="s">
        <v>1832</v>
      </c>
      <c r="Q1189" s="836"/>
      <c r="R1189" s="914"/>
    </row>
    <row r="1190" spans="1:18" s="178" customFormat="1" ht="15.75" x14ac:dyDescent="0.25">
      <c r="A1190" s="225" t="s">
        <v>203</v>
      </c>
      <c r="B1190" s="319"/>
      <c r="C1190" s="178">
        <v>65</v>
      </c>
      <c r="E1190" s="337" t="s">
        <v>1315</v>
      </c>
      <c r="F1190" s="226">
        <v>12</v>
      </c>
      <c r="G1190" s="227">
        <v>9682</v>
      </c>
      <c r="H1190" s="226">
        <v>7766</v>
      </c>
      <c r="I1190" s="174">
        <f t="shared" si="300"/>
        <v>9.6252840322247462</v>
      </c>
      <c r="J1190" s="174">
        <f t="shared" si="301"/>
        <v>21.625284032224748</v>
      </c>
      <c r="K1190" s="316">
        <v>0.4</v>
      </c>
      <c r="L1190" s="174">
        <f t="shared" si="302"/>
        <v>30.275397645114644</v>
      </c>
      <c r="M1190" s="175">
        <v>45</v>
      </c>
      <c r="N1190" s="633"/>
      <c r="P1190" s="395" t="s">
        <v>1832</v>
      </c>
      <c r="Q1190" s="833"/>
      <c r="R1190" s="914"/>
    </row>
    <row r="1191" spans="1:18" s="178" customFormat="1" ht="15.75" x14ac:dyDescent="0.25">
      <c r="A1191" s="225" t="s">
        <v>203</v>
      </c>
      <c r="B1191" s="319"/>
      <c r="C1191" s="178">
        <v>66</v>
      </c>
      <c r="E1191" s="337" t="s">
        <v>1315</v>
      </c>
      <c r="F1191" s="226">
        <v>12</v>
      </c>
      <c r="G1191" s="227">
        <v>9682</v>
      </c>
      <c r="H1191" s="226">
        <v>7766</v>
      </c>
      <c r="I1191" s="174">
        <f t="shared" si="300"/>
        <v>9.6252840322247462</v>
      </c>
      <c r="J1191" s="174">
        <f t="shared" si="301"/>
        <v>21.625284032224748</v>
      </c>
      <c r="K1191" s="316">
        <v>0.4</v>
      </c>
      <c r="L1191" s="174">
        <f t="shared" si="302"/>
        <v>30.275397645114644</v>
      </c>
      <c r="M1191" s="175">
        <v>45</v>
      </c>
      <c r="N1191" s="633"/>
      <c r="P1191" s="395" t="s">
        <v>1832</v>
      </c>
      <c r="Q1191" s="833"/>
      <c r="R1191" s="914"/>
    </row>
    <row r="1192" spans="1:18" s="178" customFormat="1" ht="15.75" x14ac:dyDescent="0.25">
      <c r="A1192" s="225" t="s">
        <v>203</v>
      </c>
      <c r="B1192" s="319"/>
      <c r="C1192" s="178">
        <v>69</v>
      </c>
      <c r="E1192" s="337" t="s">
        <v>1316</v>
      </c>
      <c r="F1192" s="226">
        <v>12</v>
      </c>
      <c r="G1192" s="227">
        <v>9682</v>
      </c>
      <c r="H1192" s="226">
        <v>7766</v>
      </c>
      <c r="I1192" s="174">
        <f t="shared" si="300"/>
        <v>9.6252840322247462</v>
      </c>
      <c r="J1192" s="174">
        <f t="shared" si="301"/>
        <v>21.625284032224748</v>
      </c>
      <c r="K1192" s="316">
        <v>0.4</v>
      </c>
      <c r="L1192" s="174">
        <f t="shared" si="302"/>
        <v>30.275397645114644</v>
      </c>
      <c r="M1192" s="175">
        <v>45</v>
      </c>
      <c r="N1192" s="633"/>
      <c r="P1192" s="395" t="s">
        <v>1832</v>
      </c>
      <c r="Q1192" s="833"/>
      <c r="R1192" s="914"/>
    </row>
    <row r="1193" spans="1:18" s="178" customFormat="1" ht="15.75" hidden="1" x14ac:dyDescent="0.25">
      <c r="A1193" s="225" t="s">
        <v>203</v>
      </c>
      <c r="B1193" s="319"/>
      <c r="C1193" s="178">
        <v>70</v>
      </c>
      <c r="E1193" s="704" t="s">
        <v>1312</v>
      </c>
      <c r="F1193" s="232">
        <v>12</v>
      </c>
      <c r="G1193" s="305">
        <v>9682</v>
      </c>
      <c r="H1193" s="232">
        <v>7766</v>
      </c>
      <c r="I1193" s="611">
        <f t="shared" si="300"/>
        <v>9.6252840322247462</v>
      </c>
      <c r="J1193" s="611">
        <f t="shared" si="301"/>
        <v>21.625284032224748</v>
      </c>
      <c r="K1193" s="612">
        <v>0.4</v>
      </c>
      <c r="L1193" s="611">
        <f t="shared" si="302"/>
        <v>30.275397645114644</v>
      </c>
      <c r="M1193" s="698">
        <v>45</v>
      </c>
      <c r="N1193" s="633"/>
      <c r="P1193" s="395" t="s">
        <v>3003</v>
      </c>
      <c r="Q1193" s="833">
        <v>45495</v>
      </c>
      <c r="R1193" s="914"/>
    </row>
    <row r="1194" spans="1:18" s="178" customFormat="1" ht="15.75" hidden="1" x14ac:dyDescent="0.25">
      <c r="A1194" s="225" t="s">
        <v>203</v>
      </c>
      <c r="B1194" s="319"/>
      <c r="C1194" s="178">
        <v>71</v>
      </c>
      <c r="E1194" s="704" t="s">
        <v>1312</v>
      </c>
      <c r="F1194" s="232">
        <v>12</v>
      </c>
      <c r="G1194" s="305">
        <v>9682</v>
      </c>
      <c r="H1194" s="232">
        <v>7766</v>
      </c>
      <c r="I1194" s="611">
        <f t="shared" si="300"/>
        <v>9.6252840322247462</v>
      </c>
      <c r="J1194" s="611">
        <f t="shared" si="301"/>
        <v>21.625284032224748</v>
      </c>
      <c r="K1194" s="612">
        <v>0.4</v>
      </c>
      <c r="L1194" s="611">
        <f t="shared" si="302"/>
        <v>30.275397645114644</v>
      </c>
      <c r="M1194" s="698">
        <v>45</v>
      </c>
      <c r="N1194" s="633"/>
      <c r="P1194" s="395" t="s">
        <v>2811</v>
      </c>
      <c r="Q1194" s="833">
        <v>45456</v>
      </c>
      <c r="R1194" s="914">
        <f>+M1194*14.5</f>
        <v>652.5</v>
      </c>
    </row>
    <row r="1195" spans="1:18" s="178" customFormat="1" ht="15.75" hidden="1" x14ac:dyDescent="0.25">
      <c r="A1195" s="225" t="s">
        <v>203</v>
      </c>
      <c r="B1195" s="319"/>
      <c r="C1195" s="178">
        <v>72</v>
      </c>
      <c r="E1195" s="704" t="s">
        <v>1312</v>
      </c>
      <c r="F1195" s="232">
        <v>12</v>
      </c>
      <c r="G1195" s="305">
        <v>9682</v>
      </c>
      <c r="H1195" s="232">
        <v>7766</v>
      </c>
      <c r="I1195" s="611">
        <f t="shared" si="300"/>
        <v>9.6252840322247462</v>
      </c>
      <c r="J1195" s="611">
        <f t="shared" si="301"/>
        <v>21.625284032224748</v>
      </c>
      <c r="K1195" s="612">
        <v>0.4</v>
      </c>
      <c r="L1195" s="611">
        <f t="shared" si="302"/>
        <v>30.275397645114644</v>
      </c>
      <c r="M1195" s="698">
        <v>45</v>
      </c>
      <c r="N1195" s="633"/>
      <c r="P1195" s="395" t="s">
        <v>2604</v>
      </c>
      <c r="Q1195" s="833">
        <v>45484</v>
      </c>
      <c r="R1195" s="914"/>
    </row>
    <row r="1196" spans="1:18" s="178" customFormat="1" ht="15.75" x14ac:dyDescent="0.25">
      <c r="A1196" s="225" t="s">
        <v>203</v>
      </c>
      <c r="B1196" s="319"/>
      <c r="C1196" s="178">
        <v>73</v>
      </c>
      <c r="E1196" s="337" t="s">
        <v>1297</v>
      </c>
      <c r="F1196" s="226">
        <v>12</v>
      </c>
      <c r="G1196" s="227">
        <v>9682</v>
      </c>
      <c r="H1196" s="226">
        <v>7766</v>
      </c>
      <c r="I1196" s="174">
        <f t="shared" si="300"/>
        <v>9.6252840322247462</v>
      </c>
      <c r="J1196" s="174">
        <f t="shared" si="301"/>
        <v>21.625284032224748</v>
      </c>
      <c r="K1196" s="316">
        <v>0.4</v>
      </c>
      <c r="L1196" s="174">
        <f t="shared" si="302"/>
        <v>30.275397645114644</v>
      </c>
      <c r="M1196" s="175">
        <v>45</v>
      </c>
      <c r="N1196" s="633"/>
      <c r="P1196" s="395" t="s">
        <v>1832</v>
      </c>
      <c r="Q1196" s="833"/>
      <c r="R1196" s="914"/>
    </row>
    <row r="1197" spans="1:18" s="178" customFormat="1" ht="15.75" x14ac:dyDescent="0.25">
      <c r="A1197" s="225" t="s">
        <v>203</v>
      </c>
      <c r="B1197" s="319"/>
      <c r="C1197" s="178">
        <v>74</v>
      </c>
      <c r="E1197" s="337" t="s">
        <v>1297</v>
      </c>
      <c r="F1197" s="226">
        <v>12</v>
      </c>
      <c r="G1197" s="227">
        <v>9682</v>
      </c>
      <c r="H1197" s="226">
        <v>7766</v>
      </c>
      <c r="I1197" s="174">
        <f t="shared" si="300"/>
        <v>9.6252840322247462</v>
      </c>
      <c r="J1197" s="174">
        <f t="shared" si="301"/>
        <v>21.625284032224748</v>
      </c>
      <c r="K1197" s="316">
        <v>0.4</v>
      </c>
      <c r="L1197" s="174">
        <f t="shared" si="302"/>
        <v>30.275397645114644</v>
      </c>
      <c r="M1197" s="175">
        <v>45</v>
      </c>
      <c r="N1197" s="633"/>
      <c r="P1197" s="395" t="s">
        <v>1832</v>
      </c>
      <c r="Q1197" s="833"/>
      <c r="R1197" s="914"/>
    </row>
    <row r="1198" spans="1:18" s="178" customFormat="1" ht="15.75" x14ac:dyDescent="0.25">
      <c r="A1198" s="225" t="s">
        <v>203</v>
      </c>
      <c r="B1198" s="319"/>
      <c r="C1198" s="178">
        <v>75</v>
      </c>
      <c r="E1198" s="337" t="s">
        <v>1297</v>
      </c>
      <c r="F1198" s="226">
        <v>12</v>
      </c>
      <c r="G1198" s="227">
        <v>9682</v>
      </c>
      <c r="H1198" s="226">
        <v>7766</v>
      </c>
      <c r="I1198" s="174">
        <f t="shared" si="300"/>
        <v>9.6252840322247462</v>
      </c>
      <c r="J1198" s="174">
        <f t="shared" si="301"/>
        <v>21.625284032224748</v>
      </c>
      <c r="K1198" s="316">
        <v>0.4</v>
      </c>
      <c r="L1198" s="174">
        <f t="shared" si="302"/>
        <v>30.275397645114644</v>
      </c>
      <c r="M1198" s="175">
        <v>45</v>
      </c>
      <c r="N1198" s="633"/>
      <c r="P1198" s="395" t="s">
        <v>1832</v>
      </c>
      <c r="Q1198" s="833"/>
      <c r="R1198" s="914"/>
    </row>
    <row r="1199" spans="1:18" s="178" customFormat="1" ht="15.75" x14ac:dyDescent="0.25">
      <c r="A1199" s="225" t="s">
        <v>203</v>
      </c>
      <c r="B1199" s="319"/>
      <c r="C1199" s="178">
        <v>76</v>
      </c>
      <c r="E1199" s="337" t="s">
        <v>1297</v>
      </c>
      <c r="F1199" s="226">
        <v>12</v>
      </c>
      <c r="G1199" s="227">
        <v>9682</v>
      </c>
      <c r="H1199" s="226">
        <v>7766</v>
      </c>
      <c r="I1199" s="174">
        <f t="shared" si="300"/>
        <v>9.6252840322247462</v>
      </c>
      <c r="J1199" s="174">
        <f t="shared" si="301"/>
        <v>21.625284032224748</v>
      </c>
      <c r="K1199" s="316">
        <v>0.4</v>
      </c>
      <c r="L1199" s="174">
        <f t="shared" si="302"/>
        <v>30.275397645114644</v>
      </c>
      <c r="M1199" s="175">
        <v>45</v>
      </c>
      <c r="N1199" s="633"/>
      <c r="P1199" s="395" t="s">
        <v>1832</v>
      </c>
      <c r="Q1199" s="833"/>
      <c r="R1199" s="914"/>
    </row>
    <row r="1200" spans="1:18" s="178" customFormat="1" ht="15.75" hidden="1" x14ac:dyDescent="0.25">
      <c r="A1200" s="225" t="s">
        <v>203</v>
      </c>
      <c r="B1200" s="319"/>
      <c r="C1200" s="178">
        <v>81</v>
      </c>
      <c r="E1200" s="704" t="s">
        <v>1298</v>
      </c>
      <c r="F1200" s="232">
        <v>12</v>
      </c>
      <c r="G1200" s="305">
        <v>9682</v>
      </c>
      <c r="H1200" s="232">
        <v>7766</v>
      </c>
      <c r="I1200" s="611">
        <f t="shared" si="300"/>
        <v>9.6252840322247462</v>
      </c>
      <c r="J1200" s="611">
        <f t="shared" si="301"/>
        <v>21.625284032224748</v>
      </c>
      <c r="K1200" s="612">
        <v>0.4</v>
      </c>
      <c r="L1200" s="611">
        <f t="shared" si="302"/>
        <v>30.275397645114644</v>
      </c>
      <c r="M1200" s="698">
        <v>45</v>
      </c>
      <c r="N1200" s="633"/>
      <c r="P1200" s="395" t="s">
        <v>2604</v>
      </c>
      <c r="Q1200" s="833">
        <v>45457</v>
      </c>
      <c r="R1200" s="914">
        <f>M1200*14.5</f>
        <v>652.5</v>
      </c>
    </row>
    <row r="1201" spans="1:18" s="178" customFormat="1" ht="15.75" x14ac:dyDescent="0.25">
      <c r="A1201" s="225" t="s">
        <v>203</v>
      </c>
      <c r="B1201" s="319"/>
      <c r="C1201" s="178">
        <v>82</v>
      </c>
      <c r="E1201" s="337" t="s">
        <v>1299</v>
      </c>
      <c r="F1201" s="226">
        <v>12</v>
      </c>
      <c r="G1201" s="227">
        <v>9682</v>
      </c>
      <c r="H1201" s="226">
        <v>7766</v>
      </c>
      <c r="I1201" s="174">
        <f t="shared" si="300"/>
        <v>9.6252840322247462</v>
      </c>
      <c r="J1201" s="174">
        <f t="shared" si="301"/>
        <v>21.625284032224748</v>
      </c>
      <c r="K1201" s="316">
        <v>0.4</v>
      </c>
      <c r="L1201" s="174">
        <f t="shared" si="302"/>
        <v>30.275397645114644</v>
      </c>
      <c r="M1201" s="175">
        <v>45</v>
      </c>
      <c r="N1201" s="633"/>
      <c r="P1201" s="395" t="s">
        <v>1832</v>
      </c>
      <c r="Q1201" s="833"/>
      <c r="R1201" s="914"/>
    </row>
    <row r="1202" spans="1:18" s="178" customFormat="1" ht="15.75" x14ac:dyDescent="0.25">
      <c r="A1202" s="225" t="s">
        <v>203</v>
      </c>
      <c r="B1202" s="319"/>
      <c r="C1202" s="178">
        <v>83</v>
      </c>
      <c r="E1202" s="337" t="s">
        <v>1299</v>
      </c>
      <c r="F1202" s="226">
        <v>12</v>
      </c>
      <c r="G1202" s="227">
        <v>9682</v>
      </c>
      <c r="H1202" s="226">
        <v>7766</v>
      </c>
      <c r="I1202" s="174">
        <f t="shared" si="300"/>
        <v>9.6252840322247462</v>
      </c>
      <c r="J1202" s="174">
        <f t="shared" si="301"/>
        <v>21.625284032224748</v>
      </c>
      <c r="K1202" s="316">
        <v>0.4</v>
      </c>
      <c r="L1202" s="174">
        <f t="shared" si="302"/>
        <v>30.275397645114644</v>
      </c>
      <c r="M1202" s="175">
        <v>45</v>
      </c>
      <c r="N1202" s="633"/>
      <c r="P1202" s="395" t="s">
        <v>1832</v>
      </c>
      <c r="Q1202" s="833"/>
      <c r="R1202" s="914"/>
    </row>
    <row r="1203" spans="1:18" s="178" customFormat="1" ht="15.75" x14ac:dyDescent="0.25">
      <c r="A1203" s="225" t="s">
        <v>203</v>
      </c>
      <c r="B1203" s="319"/>
      <c r="C1203" s="178">
        <v>84</v>
      </c>
      <c r="E1203" s="337" t="s">
        <v>1299</v>
      </c>
      <c r="F1203" s="226">
        <v>12</v>
      </c>
      <c r="G1203" s="227">
        <v>9682</v>
      </c>
      <c r="H1203" s="226">
        <v>7766</v>
      </c>
      <c r="I1203" s="174">
        <f t="shared" si="300"/>
        <v>9.6252840322247462</v>
      </c>
      <c r="J1203" s="174">
        <f t="shared" si="301"/>
        <v>21.625284032224748</v>
      </c>
      <c r="K1203" s="316">
        <v>0.4</v>
      </c>
      <c r="L1203" s="174">
        <f t="shared" si="302"/>
        <v>30.275397645114644</v>
      </c>
      <c r="M1203" s="175">
        <v>45</v>
      </c>
      <c r="N1203" s="633"/>
      <c r="O1203" s="175"/>
      <c r="P1203" s="395" t="s">
        <v>1832</v>
      </c>
      <c r="Q1203" s="852"/>
      <c r="R1203" s="929"/>
    </row>
    <row r="1204" spans="1:18" s="178" customFormat="1" ht="15.75" x14ac:dyDescent="0.25">
      <c r="A1204" s="225" t="s">
        <v>203</v>
      </c>
      <c r="B1204" s="319"/>
      <c r="C1204" s="178">
        <v>85</v>
      </c>
      <c r="E1204" s="337" t="s">
        <v>1299</v>
      </c>
      <c r="F1204" s="226">
        <v>12</v>
      </c>
      <c r="G1204" s="227">
        <v>9682</v>
      </c>
      <c r="H1204" s="226">
        <v>7766</v>
      </c>
      <c r="I1204" s="174">
        <f t="shared" si="300"/>
        <v>9.6252840322247462</v>
      </c>
      <c r="J1204" s="174">
        <f t="shared" si="301"/>
        <v>21.625284032224748</v>
      </c>
      <c r="K1204" s="316">
        <v>0.4</v>
      </c>
      <c r="L1204" s="174">
        <f t="shared" si="302"/>
        <v>30.275397645114644</v>
      </c>
      <c r="M1204" s="175">
        <v>45</v>
      </c>
      <c r="N1204" s="633"/>
      <c r="P1204" s="395" t="s">
        <v>1832</v>
      </c>
      <c r="Q1204" s="833"/>
      <c r="R1204" s="914"/>
    </row>
    <row r="1205" spans="1:18" s="178" customFormat="1" ht="15.75" x14ac:dyDescent="0.25">
      <c r="A1205" s="225" t="s">
        <v>203</v>
      </c>
      <c r="B1205" s="319"/>
      <c r="C1205" s="178">
        <v>86</v>
      </c>
      <c r="E1205" s="337" t="s">
        <v>1299</v>
      </c>
      <c r="F1205" s="226">
        <v>12</v>
      </c>
      <c r="G1205" s="227">
        <v>9682</v>
      </c>
      <c r="H1205" s="226">
        <v>7766</v>
      </c>
      <c r="I1205" s="174">
        <f t="shared" si="300"/>
        <v>9.6252840322247462</v>
      </c>
      <c r="J1205" s="174">
        <f t="shared" si="301"/>
        <v>21.625284032224748</v>
      </c>
      <c r="K1205" s="316">
        <v>0.4</v>
      </c>
      <c r="L1205" s="174">
        <f t="shared" si="302"/>
        <v>30.275397645114644</v>
      </c>
      <c r="M1205" s="175">
        <v>45</v>
      </c>
      <c r="N1205" s="633"/>
      <c r="P1205" s="395" t="s">
        <v>1832</v>
      </c>
      <c r="Q1205" s="833"/>
      <c r="R1205" s="914"/>
    </row>
    <row r="1206" spans="1:18" s="178" customFormat="1" ht="15.75" x14ac:dyDescent="0.25">
      <c r="A1206" s="225" t="s">
        <v>203</v>
      </c>
      <c r="B1206" s="319"/>
      <c r="C1206" s="178">
        <v>87</v>
      </c>
      <c r="E1206" s="337" t="s">
        <v>1299</v>
      </c>
      <c r="F1206" s="226">
        <v>12</v>
      </c>
      <c r="G1206" s="227">
        <v>9682</v>
      </c>
      <c r="H1206" s="226">
        <v>7766</v>
      </c>
      <c r="I1206" s="174">
        <f t="shared" si="300"/>
        <v>9.6252840322247462</v>
      </c>
      <c r="J1206" s="174">
        <f t="shared" si="301"/>
        <v>21.625284032224748</v>
      </c>
      <c r="K1206" s="316">
        <v>0.4</v>
      </c>
      <c r="L1206" s="174">
        <f t="shared" si="302"/>
        <v>30.275397645114644</v>
      </c>
      <c r="M1206" s="175">
        <v>45</v>
      </c>
      <c r="N1206" s="633"/>
      <c r="P1206" s="395" t="s">
        <v>1832</v>
      </c>
      <c r="Q1206" s="833"/>
      <c r="R1206" s="914"/>
    </row>
    <row r="1207" spans="1:18" s="178" customFormat="1" ht="15.75" x14ac:dyDescent="0.25">
      <c r="A1207" s="225" t="s">
        <v>203</v>
      </c>
      <c r="B1207" s="319"/>
      <c r="C1207" s="178">
        <v>91</v>
      </c>
      <c r="E1207" s="337" t="s">
        <v>1300</v>
      </c>
      <c r="F1207" s="226">
        <v>12</v>
      </c>
      <c r="G1207" s="227">
        <v>9682</v>
      </c>
      <c r="H1207" s="226">
        <v>7766</v>
      </c>
      <c r="I1207" s="174">
        <f t="shared" si="300"/>
        <v>9.6252840322247462</v>
      </c>
      <c r="J1207" s="174">
        <f t="shared" si="301"/>
        <v>21.625284032224748</v>
      </c>
      <c r="K1207" s="316">
        <v>0.4</v>
      </c>
      <c r="L1207" s="174">
        <f t="shared" si="302"/>
        <v>30.275397645114644</v>
      </c>
      <c r="M1207" s="175">
        <v>45</v>
      </c>
      <c r="N1207" s="633"/>
      <c r="P1207" s="395" t="s">
        <v>1832</v>
      </c>
      <c r="Q1207" s="833"/>
      <c r="R1207" s="914"/>
    </row>
    <row r="1208" spans="1:18" s="178" customFormat="1" ht="15.75" x14ac:dyDescent="0.25">
      <c r="A1208" s="225" t="s">
        <v>203</v>
      </c>
      <c r="B1208" s="319"/>
      <c r="C1208" s="178">
        <v>92</v>
      </c>
      <c r="E1208" s="337" t="s">
        <v>1300</v>
      </c>
      <c r="F1208" s="226">
        <v>12</v>
      </c>
      <c r="G1208" s="227">
        <v>9682</v>
      </c>
      <c r="H1208" s="226">
        <v>7766</v>
      </c>
      <c r="I1208" s="174">
        <f t="shared" si="300"/>
        <v>9.6252840322247462</v>
      </c>
      <c r="J1208" s="174">
        <f t="shared" si="301"/>
        <v>21.625284032224748</v>
      </c>
      <c r="K1208" s="316">
        <v>0.4</v>
      </c>
      <c r="L1208" s="174">
        <f t="shared" si="302"/>
        <v>30.275397645114644</v>
      </c>
      <c r="M1208" s="175">
        <v>45</v>
      </c>
      <c r="N1208" s="633"/>
      <c r="P1208" s="395" t="s">
        <v>1832</v>
      </c>
      <c r="Q1208" s="833"/>
      <c r="R1208" s="914"/>
    </row>
    <row r="1209" spans="1:18" s="178" customFormat="1" ht="15.75" x14ac:dyDescent="0.25">
      <c r="A1209" s="225" t="s">
        <v>203</v>
      </c>
      <c r="B1209" s="319"/>
      <c r="C1209" s="178">
        <v>93</v>
      </c>
      <c r="E1209" s="337" t="s">
        <v>1300</v>
      </c>
      <c r="F1209" s="226">
        <v>12</v>
      </c>
      <c r="G1209" s="227">
        <v>9682</v>
      </c>
      <c r="H1209" s="226">
        <v>7766</v>
      </c>
      <c r="I1209" s="174">
        <f t="shared" si="300"/>
        <v>9.6252840322247462</v>
      </c>
      <c r="J1209" s="174">
        <f t="shared" si="301"/>
        <v>21.625284032224748</v>
      </c>
      <c r="K1209" s="316">
        <v>0.4</v>
      </c>
      <c r="L1209" s="174">
        <f t="shared" si="302"/>
        <v>30.275397645114644</v>
      </c>
      <c r="M1209" s="175">
        <v>45</v>
      </c>
      <c r="N1209" s="633"/>
      <c r="P1209" s="395" t="s">
        <v>1832</v>
      </c>
      <c r="Q1209" s="833"/>
      <c r="R1209" s="914"/>
    </row>
    <row r="1210" spans="1:18" s="178" customFormat="1" ht="15.75" hidden="1" x14ac:dyDescent="0.25">
      <c r="A1210" s="225" t="s">
        <v>203</v>
      </c>
      <c r="B1210" s="319"/>
      <c r="C1210" s="178">
        <v>94</v>
      </c>
      <c r="E1210" s="704" t="s">
        <v>1301</v>
      </c>
      <c r="F1210" s="232">
        <v>12</v>
      </c>
      <c r="G1210" s="305">
        <v>9682</v>
      </c>
      <c r="H1210" s="232">
        <v>7766</v>
      </c>
      <c r="I1210" s="611">
        <f t="shared" si="300"/>
        <v>9.6252840322247462</v>
      </c>
      <c r="J1210" s="611">
        <f t="shared" si="301"/>
        <v>21.625284032224748</v>
      </c>
      <c r="K1210" s="612">
        <v>0.4</v>
      </c>
      <c r="L1210" s="611">
        <f t="shared" si="302"/>
        <v>30.275397645114644</v>
      </c>
      <c r="M1210" s="698">
        <v>45</v>
      </c>
      <c r="N1210" s="633"/>
      <c r="P1210" s="395" t="s">
        <v>2604</v>
      </c>
      <c r="Q1210" s="833">
        <v>45455</v>
      </c>
      <c r="R1210" s="914">
        <f>+M1210*14.5</f>
        <v>652.5</v>
      </c>
    </row>
    <row r="1211" spans="1:18" s="178" customFormat="1" ht="15.75" x14ac:dyDescent="0.25">
      <c r="A1211" s="225" t="s">
        <v>203</v>
      </c>
      <c r="B1211" s="319"/>
      <c r="C1211" s="178">
        <v>95</v>
      </c>
      <c r="E1211" s="337" t="s">
        <v>1301</v>
      </c>
      <c r="F1211" s="226">
        <v>12</v>
      </c>
      <c r="G1211" s="227">
        <v>9682</v>
      </c>
      <c r="H1211" s="226">
        <v>7766</v>
      </c>
      <c r="I1211" s="174">
        <f t="shared" si="300"/>
        <v>9.6252840322247462</v>
      </c>
      <c r="J1211" s="174">
        <f t="shared" si="301"/>
        <v>21.625284032224748</v>
      </c>
      <c r="K1211" s="316">
        <v>0.4</v>
      </c>
      <c r="L1211" s="174">
        <f t="shared" si="302"/>
        <v>30.275397645114644</v>
      </c>
      <c r="M1211" s="175">
        <v>45</v>
      </c>
      <c r="N1211" s="633"/>
      <c r="P1211" s="395" t="s">
        <v>1832</v>
      </c>
      <c r="Q1211" s="833"/>
      <c r="R1211" s="914"/>
    </row>
    <row r="1212" spans="1:18" s="178" customFormat="1" ht="15.75" x14ac:dyDescent="0.25">
      <c r="A1212" s="225" t="s">
        <v>203</v>
      </c>
      <c r="B1212" s="319"/>
      <c r="C1212" s="178">
        <v>96</v>
      </c>
      <c r="E1212" s="337" t="s">
        <v>1301</v>
      </c>
      <c r="F1212" s="226">
        <v>12</v>
      </c>
      <c r="G1212" s="227">
        <v>9682</v>
      </c>
      <c r="H1212" s="226">
        <v>7766</v>
      </c>
      <c r="I1212" s="174">
        <f t="shared" si="300"/>
        <v>9.6252840322247462</v>
      </c>
      <c r="J1212" s="174">
        <f t="shared" si="301"/>
        <v>21.625284032224748</v>
      </c>
      <c r="K1212" s="316">
        <v>0.4</v>
      </c>
      <c r="L1212" s="174">
        <f t="shared" si="302"/>
        <v>30.275397645114644</v>
      </c>
      <c r="M1212" s="175">
        <v>45</v>
      </c>
      <c r="N1212" s="633"/>
      <c r="P1212" s="395" t="s">
        <v>1832</v>
      </c>
      <c r="Q1212" s="833"/>
      <c r="R1212" s="914"/>
    </row>
    <row r="1213" spans="1:18" s="178" customFormat="1" ht="15.75" x14ac:dyDescent="0.25">
      <c r="A1213" s="225" t="s">
        <v>203</v>
      </c>
      <c r="B1213" s="319"/>
      <c r="C1213" s="178">
        <v>97</v>
      </c>
      <c r="E1213" s="337" t="s">
        <v>1301</v>
      </c>
      <c r="F1213" s="226">
        <v>12</v>
      </c>
      <c r="G1213" s="227">
        <v>9682</v>
      </c>
      <c r="H1213" s="226">
        <v>7766</v>
      </c>
      <c r="I1213" s="174">
        <f t="shared" si="300"/>
        <v>9.6252840322247462</v>
      </c>
      <c r="J1213" s="174">
        <f t="shared" si="301"/>
        <v>21.625284032224748</v>
      </c>
      <c r="K1213" s="316">
        <v>0.4</v>
      </c>
      <c r="L1213" s="174">
        <f t="shared" si="302"/>
        <v>30.275397645114644</v>
      </c>
      <c r="M1213" s="175">
        <v>45</v>
      </c>
      <c r="N1213" s="633"/>
      <c r="P1213" s="395" t="s">
        <v>1832</v>
      </c>
      <c r="Q1213" s="833"/>
      <c r="R1213" s="914"/>
    </row>
    <row r="1214" spans="1:18" s="178" customFormat="1" ht="15.75" x14ac:dyDescent="0.25">
      <c r="A1214" s="225" t="s">
        <v>203</v>
      </c>
      <c r="B1214" s="319"/>
      <c r="C1214" s="178">
        <v>98</v>
      </c>
      <c r="E1214" s="337" t="s">
        <v>1301</v>
      </c>
      <c r="F1214" s="226">
        <v>12</v>
      </c>
      <c r="G1214" s="227">
        <v>9682</v>
      </c>
      <c r="H1214" s="226">
        <v>7766</v>
      </c>
      <c r="I1214" s="174">
        <f t="shared" si="300"/>
        <v>9.6252840322247462</v>
      </c>
      <c r="J1214" s="174">
        <f t="shared" si="301"/>
        <v>21.625284032224748</v>
      </c>
      <c r="K1214" s="316">
        <v>0.4</v>
      </c>
      <c r="L1214" s="174">
        <f t="shared" si="302"/>
        <v>30.275397645114644</v>
      </c>
      <c r="M1214" s="175">
        <v>45</v>
      </c>
      <c r="N1214" s="633"/>
      <c r="P1214" s="395" t="s">
        <v>1832</v>
      </c>
      <c r="Q1214" s="836"/>
      <c r="R1214" s="914"/>
    </row>
    <row r="1215" spans="1:18" s="178" customFormat="1" ht="15.75" x14ac:dyDescent="0.25">
      <c r="A1215" s="225" t="s">
        <v>203</v>
      </c>
      <c r="B1215" s="319"/>
      <c r="C1215" s="178">
        <v>99</v>
      </c>
      <c r="E1215" s="337" t="s">
        <v>1301</v>
      </c>
      <c r="F1215" s="226">
        <v>12</v>
      </c>
      <c r="G1215" s="227">
        <v>9682</v>
      </c>
      <c r="H1215" s="226">
        <v>7766</v>
      </c>
      <c r="I1215" s="174">
        <f t="shared" si="300"/>
        <v>9.6252840322247462</v>
      </c>
      <c r="J1215" s="174">
        <f t="shared" si="301"/>
        <v>21.625284032224748</v>
      </c>
      <c r="K1215" s="316">
        <v>0.4</v>
      </c>
      <c r="L1215" s="174">
        <f t="shared" si="302"/>
        <v>30.275397645114644</v>
      </c>
      <c r="M1215" s="175">
        <v>45</v>
      </c>
      <c r="N1215" s="633"/>
      <c r="P1215" s="395" t="s">
        <v>1832</v>
      </c>
      <c r="Q1215" s="836"/>
      <c r="R1215" s="914"/>
    </row>
    <row r="1216" spans="1:18" s="178" customFormat="1" ht="15.75" hidden="1" x14ac:dyDescent="0.25">
      <c r="A1216" s="225" t="s">
        <v>203</v>
      </c>
      <c r="B1216" s="319"/>
      <c r="C1216" s="178">
        <v>101</v>
      </c>
      <c r="E1216" s="704" t="s">
        <v>1302</v>
      </c>
      <c r="F1216" s="232">
        <v>12</v>
      </c>
      <c r="G1216" s="305">
        <v>9682</v>
      </c>
      <c r="H1216" s="232">
        <v>7766</v>
      </c>
      <c r="I1216" s="611">
        <f t="shared" si="300"/>
        <v>9.6252840322247462</v>
      </c>
      <c r="J1216" s="611">
        <f t="shared" si="301"/>
        <v>21.625284032224748</v>
      </c>
      <c r="K1216" s="612">
        <v>0.4</v>
      </c>
      <c r="L1216" s="611">
        <f t="shared" si="302"/>
        <v>30.275397645114644</v>
      </c>
      <c r="M1216" s="698">
        <v>45</v>
      </c>
      <c r="N1216" s="633"/>
      <c r="P1216" s="395" t="s">
        <v>2049</v>
      </c>
      <c r="Q1216" s="836">
        <v>45347</v>
      </c>
      <c r="R1216" s="914">
        <f>+M1216*10000</f>
        <v>450000</v>
      </c>
    </row>
    <row r="1217" spans="1:18" s="178" customFormat="1" ht="15.75" hidden="1" x14ac:dyDescent="0.25">
      <c r="A1217" s="225" t="s">
        <v>203</v>
      </c>
      <c r="B1217" s="319"/>
      <c r="C1217" s="178">
        <v>102</v>
      </c>
      <c r="E1217" s="704" t="s">
        <v>1302</v>
      </c>
      <c r="F1217" s="232">
        <v>12</v>
      </c>
      <c r="G1217" s="305">
        <v>9682</v>
      </c>
      <c r="H1217" s="232">
        <v>7766</v>
      </c>
      <c r="I1217" s="611">
        <f t="shared" si="300"/>
        <v>9.6252840322247462</v>
      </c>
      <c r="J1217" s="611">
        <f t="shared" si="301"/>
        <v>21.625284032224748</v>
      </c>
      <c r="K1217" s="612">
        <v>0.4</v>
      </c>
      <c r="L1217" s="611">
        <f t="shared" si="302"/>
        <v>30.275397645114644</v>
      </c>
      <c r="M1217" s="698">
        <v>45</v>
      </c>
      <c r="N1217" s="633"/>
      <c r="P1217" s="395" t="s">
        <v>644</v>
      </c>
      <c r="Q1217" s="836">
        <v>45437</v>
      </c>
      <c r="R1217" s="914">
        <f>+M1217*14.5</f>
        <v>652.5</v>
      </c>
    </row>
    <row r="1218" spans="1:18" s="178" customFormat="1" ht="15.75" hidden="1" x14ac:dyDescent="0.25">
      <c r="A1218" s="225" t="s">
        <v>203</v>
      </c>
      <c r="B1218" s="319"/>
      <c r="C1218" s="178">
        <v>103</v>
      </c>
      <c r="E1218" s="971" t="s">
        <v>1302</v>
      </c>
      <c r="F1218" s="713">
        <v>12</v>
      </c>
      <c r="G1218" s="801">
        <v>9682</v>
      </c>
      <c r="H1218" s="713">
        <v>7766</v>
      </c>
      <c r="I1218" s="712">
        <f t="shared" si="300"/>
        <v>9.6252840322247462</v>
      </c>
      <c r="J1218" s="712">
        <f t="shared" si="301"/>
        <v>21.625284032224748</v>
      </c>
      <c r="K1218" s="714">
        <v>0.4</v>
      </c>
      <c r="L1218" s="712">
        <f t="shared" si="302"/>
        <v>30.275397645114644</v>
      </c>
      <c r="M1218" s="880">
        <v>45</v>
      </c>
      <c r="N1218" s="633"/>
      <c r="P1218" s="395" t="s">
        <v>2828</v>
      </c>
      <c r="Q1218" s="836">
        <v>45458</v>
      </c>
      <c r="R1218" s="914"/>
    </row>
    <row r="1219" spans="1:18" s="178" customFormat="1" ht="15.75" x14ac:dyDescent="0.25">
      <c r="A1219" s="225" t="s">
        <v>203</v>
      </c>
      <c r="B1219" s="319"/>
      <c r="C1219" s="178">
        <v>104</v>
      </c>
      <c r="E1219" s="337" t="s">
        <v>1302</v>
      </c>
      <c r="F1219" s="226">
        <v>12</v>
      </c>
      <c r="G1219" s="227">
        <v>9682</v>
      </c>
      <c r="H1219" s="226">
        <v>7766</v>
      </c>
      <c r="I1219" s="174">
        <f t="shared" si="300"/>
        <v>9.6252840322247462</v>
      </c>
      <c r="J1219" s="174">
        <f t="shared" si="301"/>
        <v>21.625284032224748</v>
      </c>
      <c r="K1219" s="316">
        <v>0.4</v>
      </c>
      <c r="L1219" s="174">
        <f t="shared" si="302"/>
        <v>30.275397645114644</v>
      </c>
      <c r="M1219" s="175">
        <v>45</v>
      </c>
      <c r="N1219" s="633"/>
      <c r="P1219" s="395" t="s">
        <v>1832</v>
      </c>
      <c r="Q1219" s="836"/>
      <c r="R1219" s="914"/>
    </row>
    <row r="1220" spans="1:18" s="178" customFormat="1" ht="15.75" x14ac:dyDescent="0.25">
      <c r="A1220" s="225" t="s">
        <v>203</v>
      </c>
      <c r="B1220" s="319"/>
      <c r="C1220" s="178">
        <v>105</v>
      </c>
      <c r="E1220" s="337" t="s">
        <v>1302</v>
      </c>
      <c r="F1220" s="226">
        <v>12</v>
      </c>
      <c r="G1220" s="227">
        <v>9682</v>
      </c>
      <c r="H1220" s="226">
        <v>7766</v>
      </c>
      <c r="I1220" s="174">
        <f t="shared" si="300"/>
        <v>9.6252840322247462</v>
      </c>
      <c r="J1220" s="174">
        <f t="shared" si="301"/>
        <v>21.625284032224748</v>
      </c>
      <c r="K1220" s="316">
        <v>0.4</v>
      </c>
      <c r="L1220" s="174">
        <f t="shared" si="302"/>
        <v>30.275397645114644</v>
      </c>
      <c r="M1220" s="175">
        <v>45</v>
      </c>
      <c r="N1220" s="633"/>
      <c r="P1220" s="395" t="s">
        <v>1832</v>
      </c>
      <c r="Q1220" s="836"/>
      <c r="R1220" s="914"/>
    </row>
    <row r="1221" spans="1:18" s="178" customFormat="1" ht="15.75" x14ac:dyDescent="0.25">
      <c r="A1221" s="225"/>
      <c r="B1221" s="974" t="s">
        <v>2965</v>
      </c>
      <c r="E1221" s="337"/>
      <c r="F1221" s="226"/>
      <c r="G1221" s="227"/>
      <c r="H1221" s="226"/>
      <c r="I1221" s="174"/>
      <c r="J1221" s="174"/>
      <c r="K1221" s="316"/>
      <c r="L1221" s="174"/>
      <c r="M1221" s="175"/>
      <c r="N1221" s="633"/>
      <c r="P1221" s="395"/>
      <c r="Q1221" s="836"/>
      <c r="R1221" s="914"/>
    </row>
    <row r="1222" spans="1:18" s="178" customFormat="1" x14ac:dyDescent="0.25">
      <c r="B1222" s="319" t="s">
        <v>213</v>
      </c>
      <c r="D1222" s="656" t="s">
        <v>503</v>
      </c>
      <c r="E1222" s="628" t="s">
        <v>2685</v>
      </c>
      <c r="F1222" s="226">
        <v>12</v>
      </c>
      <c r="G1222" s="178">
        <v>1120</v>
      </c>
      <c r="H1222" s="226">
        <f t="shared" ref="H1222:H1233" si="303">16*40</f>
        <v>640</v>
      </c>
      <c r="I1222" s="820">
        <f t="shared" ref="I1222:I1233" si="304">+F1222/G1222*H1222</f>
        <v>6.8571428571428577</v>
      </c>
      <c r="J1222" s="820">
        <f t="shared" ref="J1222:J1233" si="305">+F1222+I1222</f>
        <v>18.857142857142858</v>
      </c>
      <c r="K1222" s="228"/>
      <c r="L1222" s="226">
        <f t="shared" ref="L1222:L1233" si="306">+J1222*1.4</f>
        <v>26.4</v>
      </c>
      <c r="M1222" s="226">
        <v>45</v>
      </c>
      <c r="R1222" s="914"/>
    </row>
    <row r="1223" spans="1:18" s="178" customFormat="1" x14ac:dyDescent="0.25">
      <c r="B1223" s="319" t="s">
        <v>213</v>
      </c>
      <c r="D1223" s="656" t="s">
        <v>501</v>
      </c>
      <c r="E1223" s="628" t="s">
        <v>2685</v>
      </c>
      <c r="F1223" s="226">
        <v>12</v>
      </c>
      <c r="G1223" s="178">
        <v>1120</v>
      </c>
      <c r="H1223" s="226">
        <f t="shared" si="303"/>
        <v>640</v>
      </c>
      <c r="I1223" s="820">
        <f t="shared" si="304"/>
        <v>6.8571428571428577</v>
      </c>
      <c r="J1223" s="820">
        <f t="shared" si="305"/>
        <v>18.857142857142858</v>
      </c>
      <c r="K1223" s="228"/>
      <c r="L1223" s="226">
        <f t="shared" si="306"/>
        <v>26.4</v>
      </c>
      <c r="M1223" s="226">
        <v>45</v>
      </c>
      <c r="R1223" s="914"/>
    </row>
    <row r="1224" spans="1:18" s="178" customFormat="1" x14ac:dyDescent="0.25">
      <c r="B1224" s="319" t="s">
        <v>213</v>
      </c>
      <c r="D1224" s="656" t="s">
        <v>504</v>
      </c>
      <c r="E1224" s="628" t="s">
        <v>2685</v>
      </c>
      <c r="F1224" s="226">
        <v>12</v>
      </c>
      <c r="G1224" s="178">
        <v>1120</v>
      </c>
      <c r="H1224" s="226">
        <f t="shared" si="303"/>
        <v>640</v>
      </c>
      <c r="I1224" s="820">
        <f t="shared" si="304"/>
        <v>6.8571428571428577</v>
      </c>
      <c r="J1224" s="820">
        <f t="shared" si="305"/>
        <v>18.857142857142858</v>
      </c>
      <c r="K1224" s="228"/>
      <c r="L1224" s="226">
        <f t="shared" si="306"/>
        <v>26.4</v>
      </c>
      <c r="M1224" s="226">
        <v>45</v>
      </c>
      <c r="R1224" s="914"/>
    </row>
    <row r="1225" spans="1:18" s="178" customFormat="1" x14ac:dyDescent="0.25">
      <c r="B1225" s="319" t="s">
        <v>213</v>
      </c>
      <c r="D1225" s="656" t="s">
        <v>503</v>
      </c>
      <c r="E1225" s="628" t="s">
        <v>2685</v>
      </c>
      <c r="F1225" s="226">
        <v>12</v>
      </c>
      <c r="G1225" s="178">
        <v>1120</v>
      </c>
      <c r="H1225" s="226">
        <f t="shared" si="303"/>
        <v>640</v>
      </c>
      <c r="I1225" s="820">
        <f t="shared" si="304"/>
        <v>6.8571428571428577</v>
      </c>
      <c r="J1225" s="820">
        <f t="shared" si="305"/>
        <v>18.857142857142858</v>
      </c>
      <c r="K1225" s="228"/>
      <c r="L1225" s="226">
        <f t="shared" si="306"/>
        <v>26.4</v>
      </c>
      <c r="M1225" s="226">
        <v>45</v>
      </c>
      <c r="R1225" s="914"/>
    </row>
    <row r="1226" spans="1:18" s="178" customFormat="1" x14ac:dyDescent="0.25">
      <c r="B1226" s="319" t="s">
        <v>213</v>
      </c>
      <c r="D1226" s="656" t="s">
        <v>501</v>
      </c>
      <c r="E1226" s="628" t="s">
        <v>2685</v>
      </c>
      <c r="F1226" s="226">
        <v>12</v>
      </c>
      <c r="G1226" s="178">
        <v>1120</v>
      </c>
      <c r="H1226" s="226">
        <f t="shared" si="303"/>
        <v>640</v>
      </c>
      <c r="I1226" s="820">
        <f t="shared" si="304"/>
        <v>6.8571428571428577</v>
      </c>
      <c r="J1226" s="820">
        <f t="shared" si="305"/>
        <v>18.857142857142858</v>
      </c>
      <c r="K1226" s="228"/>
      <c r="L1226" s="226">
        <f t="shared" si="306"/>
        <v>26.4</v>
      </c>
      <c r="M1226" s="226">
        <v>45</v>
      </c>
      <c r="R1226" s="914"/>
    </row>
    <row r="1227" spans="1:18" s="178" customFormat="1" x14ac:dyDescent="0.25">
      <c r="B1227" s="319" t="s">
        <v>213</v>
      </c>
      <c r="D1227" s="656" t="s">
        <v>504</v>
      </c>
      <c r="E1227" s="628" t="s">
        <v>2685</v>
      </c>
      <c r="F1227" s="226">
        <v>12</v>
      </c>
      <c r="G1227" s="178">
        <v>1120</v>
      </c>
      <c r="H1227" s="226">
        <f t="shared" si="303"/>
        <v>640</v>
      </c>
      <c r="I1227" s="820">
        <f t="shared" si="304"/>
        <v>6.8571428571428577</v>
      </c>
      <c r="J1227" s="820">
        <f t="shared" si="305"/>
        <v>18.857142857142858</v>
      </c>
      <c r="K1227" s="228"/>
      <c r="L1227" s="226">
        <f t="shared" si="306"/>
        <v>26.4</v>
      </c>
      <c r="M1227" s="226">
        <v>45</v>
      </c>
      <c r="R1227" s="914"/>
    </row>
    <row r="1228" spans="1:18" s="178" customFormat="1" x14ac:dyDescent="0.25">
      <c r="B1228" s="319" t="s">
        <v>213</v>
      </c>
      <c r="D1228" s="656" t="s">
        <v>503</v>
      </c>
      <c r="E1228" s="628" t="s">
        <v>841</v>
      </c>
      <c r="F1228" s="226">
        <v>12</v>
      </c>
      <c r="G1228" s="178">
        <v>1120</v>
      </c>
      <c r="H1228" s="226">
        <f t="shared" si="303"/>
        <v>640</v>
      </c>
      <c r="I1228" s="820">
        <f t="shared" si="304"/>
        <v>6.8571428571428577</v>
      </c>
      <c r="J1228" s="820">
        <f t="shared" si="305"/>
        <v>18.857142857142858</v>
      </c>
      <c r="K1228" s="228"/>
      <c r="L1228" s="226">
        <f t="shared" si="306"/>
        <v>26.4</v>
      </c>
      <c r="M1228" s="226">
        <v>45</v>
      </c>
      <c r="R1228" s="914"/>
    </row>
    <row r="1229" spans="1:18" s="178" customFormat="1" x14ac:dyDescent="0.25">
      <c r="B1229" s="319" t="s">
        <v>213</v>
      </c>
      <c r="D1229" s="656" t="s">
        <v>501</v>
      </c>
      <c r="E1229" s="628" t="s">
        <v>841</v>
      </c>
      <c r="F1229" s="226">
        <v>12</v>
      </c>
      <c r="G1229" s="178">
        <v>1120</v>
      </c>
      <c r="H1229" s="226">
        <f t="shared" si="303"/>
        <v>640</v>
      </c>
      <c r="I1229" s="820">
        <f t="shared" si="304"/>
        <v>6.8571428571428577</v>
      </c>
      <c r="J1229" s="820">
        <f t="shared" si="305"/>
        <v>18.857142857142858</v>
      </c>
      <c r="K1229" s="228"/>
      <c r="L1229" s="226">
        <f t="shared" si="306"/>
        <v>26.4</v>
      </c>
      <c r="M1229" s="226">
        <v>45</v>
      </c>
      <c r="R1229" s="914"/>
    </row>
    <row r="1230" spans="1:18" s="178" customFormat="1" x14ac:dyDescent="0.25">
      <c r="B1230" s="319" t="s">
        <v>213</v>
      </c>
      <c r="D1230" s="656" t="s">
        <v>504</v>
      </c>
      <c r="E1230" s="628" t="s">
        <v>841</v>
      </c>
      <c r="F1230" s="226">
        <v>12</v>
      </c>
      <c r="G1230" s="178">
        <v>1120</v>
      </c>
      <c r="H1230" s="226">
        <f t="shared" si="303"/>
        <v>640</v>
      </c>
      <c r="I1230" s="820">
        <f t="shared" si="304"/>
        <v>6.8571428571428577</v>
      </c>
      <c r="J1230" s="820">
        <f t="shared" si="305"/>
        <v>18.857142857142858</v>
      </c>
      <c r="K1230" s="228"/>
      <c r="L1230" s="226">
        <f t="shared" si="306"/>
        <v>26.4</v>
      </c>
      <c r="M1230" s="226">
        <v>45</v>
      </c>
      <c r="R1230" s="914"/>
    </row>
    <row r="1231" spans="1:18" s="178" customFormat="1" x14ac:dyDescent="0.25">
      <c r="B1231" s="319" t="s">
        <v>213</v>
      </c>
      <c r="D1231" s="656" t="s">
        <v>503</v>
      </c>
      <c r="E1231" s="628" t="s">
        <v>841</v>
      </c>
      <c r="F1231" s="226">
        <v>12</v>
      </c>
      <c r="G1231" s="178">
        <v>1120</v>
      </c>
      <c r="H1231" s="226">
        <f t="shared" si="303"/>
        <v>640</v>
      </c>
      <c r="I1231" s="820">
        <f t="shared" si="304"/>
        <v>6.8571428571428577</v>
      </c>
      <c r="J1231" s="820">
        <f t="shared" si="305"/>
        <v>18.857142857142858</v>
      </c>
      <c r="K1231" s="228"/>
      <c r="L1231" s="226">
        <f t="shared" si="306"/>
        <v>26.4</v>
      </c>
      <c r="M1231" s="226">
        <v>45</v>
      </c>
      <c r="R1231" s="914"/>
    </row>
    <row r="1232" spans="1:18" s="178" customFormat="1" x14ac:dyDescent="0.25">
      <c r="B1232" s="319" t="s">
        <v>213</v>
      </c>
      <c r="D1232" s="656" t="s">
        <v>501</v>
      </c>
      <c r="E1232" s="628" t="s">
        <v>841</v>
      </c>
      <c r="F1232" s="226">
        <v>12</v>
      </c>
      <c r="G1232" s="178">
        <v>1120</v>
      </c>
      <c r="H1232" s="226">
        <f t="shared" si="303"/>
        <v>640</v>
      </c>
      <c r="I1232" s="820">
        <f t="shared" si="304"/>
        <v>6.8571428571428577</v>
      </c>
      <c r="J1232" s="820">
        <f t="shared" si="305"/>
        <v>18.857142857142858</v>
      </c>
      <c r="K1232" s="228"/>
      <c r="L1232" s="226">
        <f t="shared" si="306"/>
        <v>26.4</v>
      </c>
      <c r="M1232" s="226">
        <v>45</v>
      </c>
      <c r="R1232" s="914"/>
    </row>
    <row r="1233" spans="1:20" s="178" customFormat="1" x14ac:dyDescent="0.25">
      <c r="B1233" s="319" t="s">
        <v>213</v>
      </c>
      <c r="D1233" s="656" t="s">
        <v>504</v>
      </c>
      <c r="E1233" s="628" t="s">
        <v>841</v>
      </c>
      <c r="F1233" s="226">
        <v>12</v>
      </c>
      <c r="G1233" s="178">
        <v>1120</v>
      </c>
      <c r="H1233" s="226">
        <f t="shared" si="303"/>
        <v>640</v>
      </c>
      <c r="I1233" s="820">
        <f t="shared" si="304"/>
        <v>6.8571428571428577</v>
      </c>
      <c r="J1233" s="820">
        <f t="shared" si="305"/>
        <v>18.857142857142858</v>
      </c>
      <c r="K1233" s="228"/>
      <c r="L1233" s="226">
        <f t="shared" si="306"/>
        <v>26.4</v>
      </c>
      <c r="M1233" s="226">
        <v>45</v>
      </c>
      <c r="R1233" s="914"/>
    </row>
    <row r="1234" spans="1:20" s="149" customFormat="1" ht="15" customHeight="1" outlineLevel="1" x14ac:dyDescent="0.25">
      <c r="A1234" s="154"/>
      <c r="B1234" s="395"/>
      <c r="C1234" s="500"/>
      <c r="D1234" s="500"/>
      <c r="E1234" s="393" t="s">
        <v>232</v>
      </c>
      <c r="F1234" s="167">
        <f t="shared" ref="F1234:M1234" si="307">SUM(F1118:F1174)</f>
        <v>593</v>
      </c>
      <c r="G1234" s="167">
        <f t="shared" si="307"/>
        <v>175050</v>
      </c>
      <c r="H1234" s="167">
        <f t="shared" si="307"/>
        <v>299000.8</v>
      </c>
      <c r="I1234" s="167">
        <f t="shared" si="307"/>
        <v>979.52543836352356</v>
      </c>
      <c r="J1234" s="167">
        <f t="shared" si="307"/>
        <v>1558.5254383635231</v>
      </c>
      <c r="K1234" s="167">
        <f t="shared" si="307"/>
        <v>13.20000000000001</v>
      </c>
      <c r="L1234" s="167">
        <f t="shared" si="307"/>
        <v>2026.0830698725797</v>
      </c>
      <c r="M1234" s="167">
        <f t="shared" si="307"/>
        <v>2412</v>
      </c>
      <c r="N1234" s="404"/>
      <c r="O1234" s="395"/>
      <c r="P1234" s="395"/>
      <c r="Q1234" s="833"/>
      <c r="R1234" s="912"/>
    </row>
    <row r="1235" spans="1:20" s="149" customFormat="1" ht="15" customHeight="1" outlineLevel="1" x14ac:dyDescent="0.25">
      <c r="A1235" s="154"/>
      <c r="B1235" s="395">
        <v>2022</v>
      </c>
      <c r="C1235" s="500">
        <v>123</v>
      </c>
      <c r="D1235" s="500">
        <v>-45</v>
      </c>
      <c r="E1235" s="395">
        <f>+C1235+D1235</f>
        <v>78</v>
      </c>
      <c r="F1235" s="394"/>
      <c r="G1235" s="395"/>
      <c r="H1235" s="395"/>
      <c r="I1235" s="394"/>
      <c r="J1235" s="394"/>
      <c r="K1235" s="491"/>
      <c r="L1235" s="394">
        <f t="shared" si="288"/>
        <v>0</v>
      </c>
      <c r="M1235" s="395"/>
      <c r="N1235" s="494"/>
      <c r="O1235" s="395"/>
      <c r="P1235" s="395"/>
      <c r="Q1235" s="833"/>
      <c r="R1235" s="912"/>
    </row>
    <row r="1236" spans="1:20" s="149" customFormat="1" ht="15" customHeight="1" outlineLevel="1" x14ac:dyDescent="0.25">
      <c r="A1236" s="154"/>
      <c r="B1236" s="494">
        <v>2023</v>
      </c>
      <c r="C1236" s="686">
        <v>73</v>
      </c>
      <c r="D1236" s="686"/>
      <c r="E1236" s="494"/>
      <c r="F1236" s="394"/>
      <c r="G1236" s="395"/>
      <c r="H1236" s="395"/>
      <c r="I1236" s="394"/>
      <c r="J1236" s="394"/>
      <c r="K1236" s="491"/>
      <c r="L1236" s="394"/>
      <c r="M1236" s="395"/>
      <c r="N1236" s="494"/>
      <c r="O1236" s="395"/>
      <c r="P1236" s="395"/>
      <c r="Q1236" s="833"/>
      <c r="R1236" s="912"/>
    </row>
    <row r="1237" spans="1:20" s="149" customFormat="1" ht="15" customHeight="1" outlineLevel="1" x14ac:dyDescent="0.25">
      <c r="A1237" s="154"/>
      <c r="B1237" s="395"/>
      <c r="C1237" s="500"/>
      <c r="D1237" s="500"/>
      <c r="E1237" s="395"/>
      <c r="F1237" s="394"/>
      <c r="G1237" s="395"/>
      <c r="H1237" s="395"/>
      <c r="I1237" s="394"/>
      <c r="J1237" s="394"/>
      <c r="K1237" s="491"/>
      <c r="L1237" s="394"/>
      <c r="M1237" s="395"/>
      <c r="N1237" s="494"/>
      <c r="O1237" s="395"/>
      <c r="P1237" s="395"/>
      <c r="Q1237" s="833"/>
      <c r="R1237" s="912"/>
    </row>
    <row r="1238" spans="1:20" s="149" customFormat="1" ht="20.25" customHeight="1" outlineLevel="1" x14ac:dyDescent="0.35">
      <c r="A1238" s="154"/>
      <c r="B1238" s="395"/>
      <c r="C1238" s="500"/>
      <c r="D1238" s="500"/>
      <c r="E1238" s="670" t="s">
        <v>276</v>
      </c>
      <c r="F1238" s="394"/>
      <c r="G1238" s="395"/>
      <c r="H1238" s="395"/>
      <c r="I1238" s="394"/>
      <c r="J1238" s="394"/>
      <c r="K1238" s="491"/>
      <c r="L1238" s="394">
        <f t="shared" si="288"/>
        <v>0</v>
      </c>
      <c r="M1238" s="395"/>
      <c r="N1238" s="494"/>
      <c r="O1238" s="395"/>
      <c r="P1238" s="395"/>
      <c r="Q1238" s="833"/>
      <c r="R1238" s="912"/>
    </row>
    <row r="1239" spans="1:20" s="395" customFormat="1" ht="15.75" outlineLevel="1" x14ac:dyDescent="0.25">
      <c r="A1239" s="154"/>
      <c r="B1239" s="395" t="s">
        <v>202</v>
      </c>
      <c r="C1239" s="395">
        <v>1</v>
      </c>
      <c r="D1239" s="395">
        <v>2</v>
      </c>
      <c r="E1239" s="395" t="s">
        <v>210</v>
      </c>
      <c r="F1239" s="394">
        <v>10</v>
      </c>
      <c r="G1239" s="395">
        <v>5500</v>
      </c>
      <c r="H1239" s="395">
        <v>11950</v>
      </c>
      <c r="I1239" s="394" t="e">
        <f>+#REF!/G1239*H1239</f>
        <v>#REF!</v>
      </c>
      <c r="J1239" s="394" t="e">
        <f>+#REF!+I1239</f>
        <v>#REF!</v>
      </c>
      <c r="K1239" s="492">
        <v>0.3</v>
      </c>
      <c r="L1239" s="394"/>
      <c r="M1239" s="395">
        <v>65</v>
      </c>
      <c r="N1239" s="494"/>
      <c r="O1239" s="362"/>
      <c r="P1239" s="625" t="s">
        <v>1523</v>
      </c>
      <c r="Q1239" s="833"/>
      <c r="R1239" s="912"/>
      <c r="S1239" s="149"/>
      <c r="T1239" s="149"/>
    </row>
    <row r="1240" spans="1:20" s="395" customFormat="1" ht="15.75" outlineLevel="1" x14ac:dyDescent="0.25">
      <c r="A1240" s="154"/>
      <c r="B1240" s="395" t="s">
        <v>202</v>
      </c>
      <c r="C1240" s="395">
        <v>2</v>
      </c>
      <c r="D1240" s="395" t="s">
        <v>506</v>
      </c>
      <c r="E1240" s="395" t="s">
        <v>211</v>
      </c>
      <c r="F1240" s="394">
        <v>10</v>
      </c>
      <c r="G1240" s="395">
        <v>5500</v>
      </c>
      <c r="H1240" s="395">
        <v>11950</v>
      </c>
      <c r="I1240" s="394" t="e">
        <f>+#REF!/G1240*H1240</f>
        <v>#REF!</v>
      </c>
      <c r="J1240" s="394" t="e">
        <f>+#REF!+I1240</f>
        <v>#REF!</v>
      </c>
      <c r="K1240" s="492">
        <v>0.3</v>
      </c>
      <c r="L1240" s="394"/>
      <c r="M1240" s="395">
        <v>65</v>
      </c>
      <c r="N1240" s="494"/>
      <c r="O1240" s="362"/>
      <c r="P1240" s="625" t="s">
        <v>1523</v>
      </c>
      <c r="Q1240" s="833"/>
      <c r="R1240" s="912"/>
      <c r="S1240" s="149"/>
      <c r="T1240" s="149"/>
    </row>
    <row r="1241" spans="1:20" s="393" customFormat="1" ht="15.75" outlineLevel="1" x14ac:dyDescent="0.25">
      <c r="A1241" s="154"/>
      <c r="B1241" s="393" t="s">
        <v>273</v>
      </c>
      <c r="C1241" s="500"/>
      <c r="D1241" s="500"/>
      <c r="E1241" s="395"/>
      <c r="F1241" s="167"/>
      <c r="G1241" s="395"/>
      <c r="H1241" s="395"/>
      <c r="I1241" s="394"/>
      <c r="J1241" s="394"/>
      <c r="K1241" s="491"/>
      <c r="L1241" s="394">
        <f t="shared" si="288"/>
        <v>0</v>
      </c>
      <c r="M1241" s="167"/>
      <c r="N1241" s="404"/>
      <c r="O1241" s="395"/>
      <c r="P1241" s="395"/>
      <c r="Q1241" s="833"/>
      <c r="R1241" s="912"/>
      <c r="S1241" s="149"/>
      <c r="T1241" s="149"/>
    </row>
    <row r="1242" spans="1:20" s="395" customFormat="1" ht="15.75" outlineLevel="1" x14ac:dyDescent="0.25">
      <c r="A1242" s="154"/>
      <c r="B1242" s="395" t="s">
        <v>291</v>
      </c>
      <c r="C1242" s="395">
        <v>3</v>
      </c>
      <c r="D1242" s="395">
        <v>40</v>
      </c>
      <c r="E1242" s="395" t="s">
        <v>277</v>
      </c>
      <c r="F1242" s="394">
        <v>12</v>
      </c>
      <c r="G1242" s="395">
        <v>8277</v>
      </c>
      <c r="H1242" s="395">
        <v>15182</v>
      </c>
      <c r="I1242" s="394">
        <f t="shared" ref="I1242:I1245" si="308">+F1242/G1242*H1242</f>
        <v>22.010873504893077</v>
      </c>
      <c r="J1242" s="394">
        <f t="shared" ref="J1242:J1245" si="309">+F1242+I1242</f>
        <v>34.010873504893077</v>
      </c>
      <c r="K1242" s="492">
        <v>0.3</v>
      </c>
      <c r="L1242" s="394">
        <f t="shared" si="288"/>
        <v>44.214135556361001</v>
      </c>
      <c r="M1242" s="394">
        <v>65</v>
      </c>
      <c r="N1242" s="504"/>
      <c r="O1242" s="362"/>
      <c r="P1242" s="625" t="s">
        <v>1523</v>
      </c>
      <c r="Q1242" s="833"/>
      <c r="R1242" s="396"/>
      <c r="S1242" s="149"/>
      <c r="T1242" s="149"/>
    </row>
    <row r="1243" spans="1:20" s="395" customFormat="1" ht="15.75" hidden="1" outlineLevel="1" x14ac:dyDescent="0.25">
      <c r="A1243" s="154"/>
      <c r="B1243" s="395" t="s">
        <v>291</v>
      </c>
      <c r="C1243" s="395">
        <v>4</v>
      </c>
      <c r="D1243" s="395">
        <v>44</v>
      </c>
      <c r="E1243" s="317" t="s">
        <v>277</v>
      </c>
      <c r="F1243" s="493">
        <v>12</v>
      </c>
      <c r="G1243" s="317">
        <v>8277</v>
      </c>
      <c r="H1243" s="317">
        <v>15182</v>
      </c>
      <c r="I1243" s="493">
        <f t="shared" si="308"/>
        <v>22.010873504893077</v>
      </c>
      <c r="J1243" s="493">
        <f t="shared" si="309"/>
        <v>34.010873504893077</v>
      </c>
      <c r="K1243" s="692">
        <v>0.3</v>
      </c>
      <c r="L1243" s="493">
        <f t="shared" si="288"/>
        <v>44.214135556361001</v>
      </c>
      <c r="M1243" s="493">
        <v>65</v>
      </c>
      <c r="N1243" s="504"/>
      <c r="O1243" s="362"/>
      <c r="P1243" s="625" t="s">
        <v>1822</v>
      </c>
      <c r="Q1243" s="833">
        <v>45300</v>
      </c>
      <c r="R1243" s="396" t="e">
        <f>+#REF!*10000</f>
        <v>#REF!</v>
      </c>
      <c r="S1243" s="149"/>
      <c r="T1243" s="149"/>
    </row>
    <row r="1244" spans="1:20" s="395" customFormat="1" ht="15.75" outlineLevel="1" x14ac:dyDescent="0.25">
      <c r="A1244" s="154"/>
      <c r="B1244" s="395" t="s">
        <v>291</v>
      </c>
      <c r="C1244" s="395">
        <v>5</v>
      </c>
      <c r="D1244" s="395">
        <v>40</v>
      </c>
      <c r="E1244" s="395" t="s">
        <v>278</v>
      </c>
      <c r="F1244" s="394">
        <v>12</v>
      </c>
      <c r="G1244" s="395">
        <v>8277</v>
      </c>
      <c r="H1244" s="395">
        <v>15182</v>
      </c>
      <c r="I1244" s="394">
        <f t="shared" si="308"/>
        <v>22.010873504893077</v>
      </c>
      <c r="J1244" s="394">
        <f t="shared" si="309"/>
        <v>34.010873504893077</v>
      </c>
      <c r="K1244" s="492">
        <v>0.3</v>
      </c>
      <c r="L1244" s="394">
        <f t="shared" si="288"/>
        <v>44.214135556361001</v>
      </c>
      <c r="M1244" s="394">
        <v>65</v>
      </c>
      <c r="N1244" s="504"/>
      <c r="O1244" s="362"/>
      <c r="P1244" s="625" t="s">
        <v>1523</v>
      </c>
      <c r="Q1244" s="833"/>
      <c r="R1244" s="396"/>
      <c r="S1244" s="149"/>
      <c r="T1244" s="149"/>
    </row>
    <row r="1245" spans="1:20" s="395" customFormat="1" ht="15.75" outlineLevel="1" x14ac:dyDescent="0.25">
      <c r="A1245" s="154"/>
      <c r="B1245" s="395" t="s">
        <v>291</v>
      </c>
      <c r="C1245" s="395">
        <v>6</v>
      </c>
      <c r="D1245" s="395">
        <v>46</v>
      </c>
      <c r="E1245" s="395" t="s">
        <v>278</v>
      </c>
      <c r="F1245" s="394">
        <v>12</v>
      </c>
      <c r="G1245" s="395">
        <v>8277</v>
      </c>
      <c r="H1245" s="395">
        <v>15182</v>
      </c>
      <c r="I1245" s="394">
        <f t="shared" si="308"/>
        <v>22.010873504893077</v>
      </c>
      <c r="J1245" s="394">
        <f t="shared" si="309"/>
        <v>34.010873504893077</v>
      </c>
      <c r="K1245" s="492">
        <v>0.3</v>
      </c>
      <c r="L1245" s="394">
        <f t="shared" si="288"/>
        <v>44.214135556361001</v>
      </c>
      <c r="M1245" s="394">
        <v>65</v>
      </c>
      <c r="N1245" s="504"/>
      <c r="O1245" s="362"/>
      <c r="P1245" s="625" t="s">
        <v>1523</v>
      </c>
      <c r="Q1245" s="833"/>
      <c r="R1245" s="396"/>
      <c r="S1245" s="149"/>
      <c r="T1245" s="149"/>
    </row>
    <row r="1246" spans="1:20" s="395" customFormat="1" ht="15.75" outlineLevel="1" x14ac:dyDescent="0.25">
      <c r="A1246" s="393"/>
      <c r="B1246" s="395" t="s">
        <v>721</v>
      </c>
      <c r="C1246" s="395">
        <v>7</v>
      </c>
      <c r="D1246" s="395">
        <v>52</v>
      </c>
      <c r="E1246" s="395" t="s">
        <v>561</v>
      </c>
      <c r="F1246" s="394">
        <v>20</v>
      </c>
      <c r="G1246" s="179">
        <v>787</v>
      </c>
      <c r="H1246" s="394">
        <f>787+388+40+47</f>
        <v>1262</v>
      </c>
      <c r="I1246" s="394">
        <f>+F1246/G1246*H1246</f>
        <v>32.071156289707751</v>
      </c>
      <c r="J1246" s="394">
        <f>+F1246+I1246</f>
        <v>52.071156289707751</v>
      </c>
      <c r="K1246" s="492">
        <v>0.3</v>
      </c>
      <c r="L1246" s="394">
        <f t="shared" si="288"/>
        <v>67.692503176620079</v>
      </c>
      <c r="M1246" s="394">
        <v>65</v>
      </c>
      <c r="N1246" s="504"/>
      <c r="O1246" s="362"/>
      <c r="Q1246" s="833"/>
      <c r="R1246" s="396"/>
    </row>
    <row r="1247" spans="1:20" s="395" customFormat="1" ht="15.75" outlineLevel="1" x14ac:dyDescent="0.25">
      <c r="A1247" s="393"/>
      <c r="B1247" s="395" t="s">
        <v>721</v>
      </c>
      <c r="C1247" s="395">
        <v>8</v>
      </c>
      <c r="D1247" s="395">
        <v>56</v>
      </c>
      <c r="E1247" s="395" t="s">
        <v>561</v>
      </c>
      <c r="F1247" s="394">
        <v>20</v>
      </c>
      <c r="G1247" s="179">
        <v>787</v>
      </c>
      <c r="H1247" s="394">
        <f>787+388+40+47</f>
        <v>1262</v>
      </c>
      <c r="I1247" s="394">
        <f>+F1247/G1247*H1247</f>
        <v>32.071156289707751</v>
      </c>
      <c r="J1247" s="394">
        <f>+F1247+I1247</f>
        <v>52.071156289707751</v>
      </c>
      <c r="K1247" s="492">
        <v>0.3</v>
      </c>
      <c r="L1247" s="394">
        <f t="shared" si="288"/>
        <v>67.692503176620079</v>
      </c>
      <c r="M1247" s="394">
        <v>65</v>
      </c>
      <c r="N1247" s="504"/>
      <c r="O1247" s="362"/>
      <c r="Q1247" s="833"/>
      <c r="R1247" s="396"/>
    </row>
    <row r="1248" spans="1:20" s="395" customFormat="1" ht="15.75" hidden="1" outlineLevel="1" x14ac:dyDescent="0.25">
      <c r="A1248" s="393"/>
      <c r="B1248" s="393"/>
      <c r="D1248" s="393"/>
      <c r="E1248" s="393" t="s">
        <v>629</v>
      </c>
      <c r="F1248" s="167"/>
      <c r="G1248" s="177"/>
      <c r="H1248" s="167"/>
      <c r="I1248" s="167"/>
      <c r="J1248" s="167"/>
      <c r="K1248" s="514"/>
      <c r="L1248" s="394">
        <f t="shared" si="288"/>
        <v>0</v>
      </c>
      <c r="M1248" s="167"/>
      <c r="N1248" s="404"/>
      <c r="O1248" s="393"/>
      <c r="P1248" s="393"/>
      <c r="Q1248" s="850"/>
      <c r="R1248" s="930"/>
      <c r="S1248" s="393"/>
      <c r="T1248" s="393"/>
    </row>
    <row r="1249" spans="1:20" s="149" customFormat="1" ht="15" hidden="1" customHeight="1" x14ac:dyDescent="0.25">
      <c r="A1249" s="395" t="s">
        <v>585</v>
      </c>
      <c r="B1249" s="395" t="s">
        <v>613</v>
      </c>
      <c r="C1249" s="395">
        <v>9</v>
      </c>
      <c r="D1249" s="395">
        <v>48</v>
      </c>
      <c r="E1249" s="317" t="s">
        <v>586</v>
      </c>
      <c r="F1249" s="493">
        <v>22</v>
      </c>
      <c r="G1249" s="509">
        <v>9148</v>
      </c>
      <c r="H1249" s="493">
        <v>14368</v>
      </c>
      <c r="I1249" s="493">
        <f>+F1249/G1249*H1249</f>
        <v>34.553563620463486</v>
      </c>
      <c r="J1249" s="493">
        <f>+F1249+I1249</f>
        <v>56.553563620463486</v>
      </c>
      <c r="K1249" s="692">
        <v>0.3</v>
      </c>
      <c r="L1249" s="493">
        <f t="shared" ref="L1249:L1347" si="310">+J1249*K1249+J1249</f>
        <v>73.519632706602522</v>
      </c>
      <c r="M1249" s="545">
        <v>85</v>
      </c>
      <c r="N1249" s="404"/>
      <c r="O1249" s="362"/>
      <c r="P1249" s="625" t="s">
        <v>1817</v>
      </c>
      <c r="Q1249" s="833">
        <v>45297</v>
      </c>
      <c r="R1249" s="396" t="e">
        <f>+#REF!*10000</f>
        <v>#REF!</v>
      </c>
      <c r="S1249" s="395"/>
      <c r="T1249" s="395"/>
    </row>
    <row r="1250" spans="1:20" ht="15" hidden="1" customHeight="1" x14ac:dyDescent="0.25">
      <c r="A1250" s="393"/>
      <c r="B1250" s="393" t="s">
        <v>800</v>
      </c>
      <c r="C1250" s="395"/>
      <c r="D1250" s="395"/>
      <c r="E1250" s="395"/>
      <c r="F1250" s="394"/>
      <c r="G1250" s="179"/>
      <c r="H1250" s="394"/>
      <c r="I1250" s="394"/>
      <c r="J1250" s="394"/>
      <c r="K1250" s="492"/>
      <c r="M1250" s="394"/>
      <c r="N1250" s="504"/>
      <c r="O1250" s="395"/>
      <c r="P1250" s="395"/>
      <c r="Q1250" s="833"/>
      <c r="R1250" s="396"/>
      <c r="S1250" s="395"/>
      <c r="T1250" s="395"/>
    </row>
    <row r="1251" spans="1:20" s="149" customFormat="1" ht="15" hidden="1" customHeight="1" outlineLevel="1" x14ac:dyDescent="0.25">
      <c r="A1251" s="395" t="s">
        <v>769</v>
      </c>
      <c r="B1251" s="395"/>
      <c r="C1251" s="395">
        <v>10</v>
      </c>
      <c r="D1251" s="395" t="s">
        <v>505</v>
      </c>
      <c r="E1251" s="693" t="s">
        <v>770</v>
      </c>
      <c r="F1251" s="493">
        <v>20</v>
      </c>
      <c r="G1251" s="509">
        <v>8183</v>
      </c>
      <c r="H1251" s="493">
        <v>13183</v>
      </c>
      <c r="I1251" s="493">
        <f t="shared" ref="I1251" si="311">+F1251/G1251*H1251</f>
        <v>32.220457045093482</v>
      </c>
      <c r="J1251" s="493">
        <f t="shared" ref="J1251" si="312">+F1251+I1251</f>
        <v>52.220457045093482</v>
      </c>
      <c r="K1251" s="692">
        <v>0.3</v>
      </c>
      <c r="L1251" s="493">
        <f t="shared" si="310"/>
        <v>67.886594158621534</v>
      </c>
      <c r="M1251" s="493">
        <v>75</v>
      </c>
      <c r="N1251" s="504"/>
      <c r="O1251" s="362"/>
      <c r="P1251" s="395" t="s">
        <v>2827</v>
      </c>
      <c r="Q1251" s="833">
        <v>45458</v>
      </c>
      <c r="R1251" s="396">
        <f>+M1251*14.5</f>
        <v>1087.5</v>
      </c>
      <c r="S1251" s="395"/>
      <c r="T1251" s="395"/>
    </row>
    <row r="1252" spans="1:20" s="395" customFormat="1" ht="15.75" outlineLevel="1" x14ac:dyDescent="0.25">
      <c r="E1252" s="429" t="s">
        <v>1366</v>
      </c>
      <c r="F1252" s="394"/>
      <c r="G1252" s="179"/>
      <c r="H1252" s="394"/>
      <c r="I1252" s="394"/>
      <c r="J1252" s="394"/>
      <c r="K1252" s="492"/>
      <c r="L1252" s="394"/>
      <c r="M1252" s="394"/>
      <c r="N1252" s="504"/>
      <c r="Q1252" s="833"/>
      <c r="R1252" s="396"/>
    </row>
    <row r="1253" spans="1:20" s="178" customFormat="1" ht="15.75" x14ac:dyDescent="0.25">
      <c r="A1253" s="319" t="s">
        <v>587</v>
      </c>
      <c r="B1253" s="319" t="s">
        <v>1317</v>
      </c>
      <c r="C1253" s="178">
        <v>11</v>
      </c>
      <c r="D1253" s="178">
        <v>38</v>
      </c>
      <c r="E1253" s="337" t="s">
        <v>1280</v>
      </c>
      <c r="F1253" s="226">
        <v>25</v>
      </c>
      <c r="G1253" s="227">
        <v>9682</v>
      </c>
      <c r="H1253" s="226">
        <v>7766</v>
      </c>
      <c r="I1253" s="174">
        <f t="shared" ref="I1253:I1271" si="313">+F1253/G1253*H1253</f>
        <v>20.052675067134889</v>
      </c>
      <c r="J1253" s="174">
        <f t="shared" ref="J1253:J1271" si="314">+F1253+I1253</f>
        <v>45.052675067134885</v>
      </c>
      <c r="K1253" s="316">
        <v>0.4</v>
      </c>
      <c r="L1253" s="174">
        <f t="shared" ref="L1253:L1271" si="315">+J1253*1.4</f>
        <v>63.073745093988833</v>
      </c>
      <c r="M1253" s="175">
        <v>100</v>
      </c>
      <c r="N1253" s="633"/>
      <c r="O1253" s="395"/>
      <c r="P1253" s="362" t="s">
        <v>2429</v>
      </c>
      <c r="Q1253" s="836"/>
      <c r="R1253" s="914"/>
    </row>
    <row r="1254" spans="1:20" s="178" customFormat="1" ht="15.75" x14ac:dyDescent="0.25">
      <c r="A1254" s="319" t="s">
        <v>587</v>
      </c>
      <c r="B1254" s="319" t="s">
        <v>1317</v>
      </c>
      <c r="C1254" s="178">
        <v>12</v>
      </c>
      <c r="D1254" s="178">
        <v>40</v>
      </c>
      <c r="E1254" s="337" t="s">
        <v>1280</v>
      </c>
      <c r="F1254" s="226">
        <v>25</v>
      </c>
      <c r="G1254" s="227">
        <v>9682</v>
      </c>
      <c r="H1254" s="226">
        <v>7766</v>
      </c>
      <c r="I1254" s="174">
        <f t="shared" si="313"/>
        <v>20.052675067134889</v>
      </c>
      <c r="J1254" s="174">
        <f t="shared" si="314"/>
        <v>45.052675067134885</v>
      </c>
      <c r="K1254" s="316">
        <v>0.4</v>
      </c>
      <c r="L1254" s="174">
        <f t="shared" si="315"/>
        <v>63.073745093988833</v>
      </c>
      <c r="M1254" s="175">
        <v>100</v>
      </c>
      <c r="N1254" s="633"/>
      <c r="O1254" s="395"/>
      <c r="P1254" s="362" t="s">
        <v>2429</v>
      </c>
      <c r="Q1254" s="836"/>
      <c r="R1254" s="914"/>
    </row>
    <row r="1255" spans="1:20" s="178" customFormat="1" ht="15.75" x14ac:dyDescent="0.25">
      <c r="A1255" s="319" t="s">
        <v>587</v>
      </c>
      <c r="B1255" s="319" t="s">
        <v>1317</v>
      </c>
      <c r="C1255" s="395">
        <v>13</v>
      </c>
      <c r="D1255" s="178">
        <v>42</v>
      </c>
      <c r="E1255" s="337" t="s">
        <v>1280</v>
      </c>
      <c r="F1255" s="226">
        <v>25</v>
      </c>
      <c r="G1255" s="227">
        <v>9682</v>
      </c>
      <c r="H1255" s="226">
        <v>7766</v>
      </c>
      <c r="I1255" s="174">
        <f t="shared" si="313"/>
        <v>20.052675067134889</v>
      </c>
      <c r="J1255" s="174">
        <f t="shared" si="314"/>
        <v>45.052675067134885</v>
      </c>
      <c r="K1255" s="316">
        <v>0.4</v>
      </c>
      <c r="L1255" s="174">
        <f t="shared" si="315"/>
        <v>63.073745093988833</v>
      </c>
      <c r="M1255" s="175">
        <v>100</v>
      </c>
      <c r="N1255" s="633"/>
      <c r="O1255" s="362"/>
      <c r="P1255" s="395"/>
      <c r="Q1255" s="836"/>
      <c r="R1255" s="914"/>
    </row>
    <row r="1256" spans="1:20" s="178" customFormat="1" ht="15.75" x14ac:dyDescent="0.25">
      <c r="A1256" s="319" t="s">
        <v>587</v>
      </c>
      <c r="B1256" s="319" t="s">
        <v>1317</v>
      </c>
      <c r="C1256" s="178">
        <v>14</v>
      </c>
      <c r="D1256" s="178">
        <v>44</v>
      </c>
      <c r="E1256" s="337" t="s">
        <v>1280</v>
      </c>
      <c r="F1256" s="226">
        <v>25</v>
      </c>
      <c r="G1256" s="227">
        <v>9682</v>
      </c>
      <c r="H1256" s="226">
        <v>7766</v>
      </c>
      <c r="I1256" s="174">
        <f t="shared" si="313"/>
        <v>20.052675067134889</v>
      </c>
      <c r="J1256" s="174">
        <f t="shared" si="314"/>
        <v>45.052675067134885</v>
      </c>
      <c r="K1256" s="316">
        <v>0.4</v>
      </c>
      <c r="L1256" s="174">
        <f t="shared" si="315"/>
        <v>63.073745093988833</v>
      </c>
      <c r="M1256" s="175">
        <v>100</v>
      </c>
      <c r="N1256" s="633"/>
      <c r="O1256" s="395"/>
      <c r="P1256" s="887" t="s">
        <v>2422</v>
      </c>
      <c r="Q1256" s="836"/>
      <c r="R1256" s="914"/>
    </row>
    <row r="1257" spans="1:20" s="178" customFormat="1" ht="15.75" x14ac:dyDescent="0.25">
      <c r="A1257" s="319" t="s">
        <v>587</v>
      </c>
      <c r="B1257" s="319" t="s">
        <v>1317</v>
      </c>
      <c r="C1257" s="178">
        <v>15</v>
      </c>
      <c r="D1257" s="178">
        <v>38</v>
      </c>
      <c r="E1257" s="337" t="s">
        <v>1348</v>
      </c>
      <c r="F1257" s="226">
        <v>25</v>
      </c>
      <c r="G1257" s="227">
        <v>9682</v>
      </c>
      <c r="H1257" s="226">
        <v>7766</v>
      </c>
      <c r="I1257" s="174">
        <f t="shared" si="313"/>
        <v>20.052675067134889</v>
      </c>
      <c r="J1257" s="174">
        <f t="shared" si="314"/>
        <v>45.052675067134885</v>
      </c>
      <c r="K1257" s="316">
        <v>0.4</v>
      </c>
      <c r="L1257" s="174">
        <f t="shared" si="315"/>
        <v>63.073745093988833</v>
      </c>
      <c r="M1257" s="175">
        <v>100</v>
      </c>
      <c r="N1257" s="633"/>
      <c r="O1257" s="395"/>
      <c r="P1257" s="887" t="s">
        <v>2422</v>
      </c>
      <c r="Q1257" s="836"/>
      <c r="R1257" s="914"/>
    </row>
    <row r="1258" spans="1:20" s="178" customFormat="1" ht="15.75" x14ac:dyDescent="0.25">
      <c r="A1258" s="319" t="s">
        <v>587</v>
      </c>
      <c r="B1258" s="319" t="s">
        <v>1317</v>
      </c>
      <c r="C1258" s="178">
        <v>16</v>
      </c>
      <c r="D1258" s="178">
        <v>42</v>
      </c>
      <c r="E1258" s="337" t="s">
        <v>1348</v>
      </c>
      <c r="F1258" s="226">
        <v>25</v>
      </c>
      <c r="G1258" s="227">
        <v>9682</v>
      </c>
      <c r="H1258" s="226">
        <v>7766</v>
      </c>
      <c r="I1258" s="174">
        <f t="shared" si="313"/>
        <v>20.052675067134889</v>
      </c>
      <c r="J1258" s="174">
        <f t="shared" si="314"/>
        <v>45.052675067134885</v>
      </c>
      <c r="K1258" s="316">
        <v>0.4</v>
      </c>
      <c r="L1258" s="174">
        <f t="shared" si="315"/>
        <v>63.073745093988833</v>
      </c>
      <c r="M1258" s="175">
        <v>100</v>
      </c>
      <c r="N1258" s="633"/>
      <c r="O1258" s="362"/>
      <c r="P1258" s="293"/>
      <c r="Q1258" s="836"/>
      <c r="R1258" s="914"/>
    </row>
    <row r="1259" spans="1:20" s="178" customFormat="1" ht="15.75" x14ac:dyDescent="0.25">
      <c r="A1259" s="319" t="s">
        <v>587</v>
      </c>
      <c r="B1259" s="319" t="s">
        <v>1317</v>
      </c>
      <c r="C1259" s="178">
        <v>17</v>
      </c>
      <c r="D1259" s="178">
        <v>44</v>
      </c>
      <c r="E1259" s="337" t="s">
        <v>1348</v>
      </c>
      <c r="F1259" s="226">
        <v>25</v>
      </c>
      <c r="G1259" s="227">
        <v>9682</v>
      </c>
      <c r="H1259" s="226">
        <v>7766</v>
      </c>
      <c r="I1259" s="174">
        <f t="shared" si="313"/>
        <v>20.052675067134889</v>
      </c>
      <c r="J1259" s="174">
        <f t="shared" si="314"/>
        <v>45.052675067134885</v>
      </c>
      <c r="K1259" s="316">
        <v>0.4</v>
      </c>
      <c r="L1259" s="174">
        <f t="shared" si="315"/>
        <v>63.073745093988833</v>
      </c>
      <c r="M1259" s="175">
        <v>100</v>
      </c>
      <c r="N1259" s="633"/>
      <c r="O1259" s="395"/>
      <c r="P1259" s="887" t="s">
        <v>2430</v>
      </c>
      <c r="Q1259" s="836"/>
      <c r="R1259" s="914"/>
    </row>
    <row r="1260" spans="1:20" s="178" customFormat="1" ht="15.75" hidden="1" x14ac:dyDescent="0.25">
      <c r="A1260" s="319" t="s">
        <v>827</v>
      </c>
      <c r="B1260" s="319" t="s">
        <v>1307</v>
      </c>
      <c r="C1260" s="178">
        <v>18</v>
      </c>
      <c r="D1260" s="178">
        <v>54</v>
      </c>
      <c r="E1260" s="704" t="s">
        <v>1281</v>
      </c>
      <c r="F1260" s="232">
        <v>35</v>
      </c>
      <c r="G1260" s="305">
        <v>9682</v>
      </c>
      <c r="H1260" s="232">
        <v>7766</v>
      </c>
      <c r="I1260" s="611">
        <f t="shared" si="313"/>
        <v>28.073745093988848</v>
      </c>
      <c r="J1260" s="611">
        <f t="shared" si="314"/>
        <v>63.073745093988848</v>
      </c>
      <c r="K1260" s="612">
        <v>0.4</v>
      </c>
      <c r="L1260" s="611">
        <f t="shared" si="315"/>
        <v>88.303243131584381</v>
      </c>
      <c r="M1260" s="698">
        <v>125</v>
      </c>
      <c r="N1260" s="633"/>
      <c r="O1260" s="395"/>
      <c r="P1260" s="887" t="s">
        <v>2780</v>
      </c>
      <c r="Q1260" s="836">
        <v>45454</v>
      </c>
      <c r="R1260" s="914">
        <f>+M1260*14.5</f>
        <v>1812.5</v>
      </c>
    </row>
    <row r="1261" spans="1:20" s="178" customFormat="1" ht="15.75" x14ac:dyDescent="0.25">
      <c r="A1261" s="319" t="s">
        <v>827</v>
      </c>
      <c r="B1261" s="319" t="s">
        <v>1307</v>
      </c>
      <c r="C1261" s="178">
        <v>19</v>
      </c>
      <c r="D1261" s="178">
        <v>48</v>
      </c>
      <c r="E1261" s="337" t="s">
        <v>1282</v>
      </c>
      <c r="F1261" s="226">
        <v>35</v>
      </c>
      <c r="G1261" s="227">
        <v>9682</v>
      </c>
      <c r="H1261" s="226">
        <v>7766</v>
      </c>
      <c r="I1261" s="174">
        <f t="shared" si="313"/>
        <v>28.073745093988848</v>
      </c>
      <c r="J1261" s="174">
        <f t="shared" si="314"/>
        <v>63.073745093988848</v>
      </c>
      <c r="K1261" s="316">
        <v>0.4</v>
      </c>
      <c r="L1261" s="174">
        <f t="shared" si="315"/>
        <v>88.303243131584381</v>
      </c>
      <c r="M1261" s="175">
        <v>125</v>
      </c>
      <c r="N1261" s="633"/>
      <c r="O1261" s="395"/>
      <c r="P1261" s="887" t="s">
        <v>2422</v>
      </c>
      <c r="Q1261" s="836"/>
      <c r="R1261" s="914"/>
    </row>
    <row r="1262" spans="1:20" s="178" customFormat="1" ht="15.75" x14ac:dyDescent="0.25">
      <c r="A1262" s="319" t="s">
        <v>827</v>
      </c>
      <c r="B1262" s="319" t="s">
        <v>1307</v>
      </c>
      <c r="C1262" s="178">
        <v>20</v>
      </c>
      <c r="D1262" s="178">
        <v>50</v>
      </c>
      <c r="E1262" s="337" t="s">
        <v>1282</v>
      </c>
      <c r="F1262" s="226">
        <v>35</v>
      </c>
      <c r="G1262" s="227">
        <v>9682</v>
      </c>
      <c r="H1262" s="226">
        <v>7766</v>
      </c>
      <c r="I1262" s="174">
        <f t="shared" si="313"/>
        <v>28.073745093988848</v>
      </c>
      <c r="J1262" s="174">
        <f t="shared" si="314"/>
        <v>63.073745093988848</v>
      </c>
      <c r="K1262" s="316">
        <v>0.4</v>
      </c>
      <c r="L1262" s="174">
        <f t="shared" si="315"/>
        <v>88.303243131584381</v>
      </c>
      <c r="M1262" s="175">
        <v>125</v>
      </c>
      <c r="N1262" s="633"/>
      <c r="O1262" s="395"/>
      <c r="P1262" s="293"/>
      <c r="Q1262" s="836"/>
      <c r="R1262" s="914"/>
    </row>
    <row r="1263" spans="1:20" s="178" customFormat="1" ht="15.75" hidden="1" x14ac:dyDescent="0.25">
      <c r="A1263" s="319" t="s">
        <v>827</v>
      </c>
      <c r="B1263" s="319" t="s">
        <v>1307</v>
      </c>
      <c r="C1263" s="178">
        <v>21</v>
      </c>
      <c r="D1263" s="178">
        <v>54</v>
      </c>
      <c r="E1263" s="704" t="s">
        <v>1282</v>
      </c>
      <c r="F1263" s="232">
        <v>35</v>
      </c>
      <c r="G1263" s="305">
        <v>9682</v>
      </c>
      <c r="H1263" s="232">
        <v>7766</v>
      </c>
      <c r="I1263" s="611">
        <f t="shared" si="313"/>
        <v>28.073745093988848</v>
      </c>
      <c r="J1263" s="611">
        <f t="shared" si="314"/>
        <v>63.073745093988848</v>
      </c>
      <c r="K1263" s="612">
        <v>0.4</v>
      </c>
      <c r="L1263" s="611">
        <f t="shared" si="315"/>
        <v>88.303243131584381</v>
      </c>
      <c r="M1263" s="698">
        <v>125</v>
      </c>
      <c r="N1263" s="633"/>
      <c r="O1263" s="395"/>
      <c r="P1263" s="293" t="s">
        <v>2567</v>
      </c>
      <c r="Q1263" s="836">
        <v>45423</v>
      </c>
      <c r="R1263" s="914">
        <f>+M1263*14.5</f>
        <v>1812.5</v>
      </c>
    </row>
    <row r="1264" spans="1:20" s="178" customFormat="1" ht="15.75" x14ac:dyDescent="0.25">
      <c r="A1264" s="319" t="s">
        <v>827</v>
      </c>
      <c r="B1264" s="319" t="s">
        <v>1307</v>
      </c>
      <c r="C1264" s="178">
        <v>22</v>
      </c>
      <c r="D1264" s="178">
        <v>56</v>
      </c>
      <c r="E1264" s="337" t="s">
        <v>1282</v>
      </c>
      <c r="F1264" s="226">
        <v>35</v>
      </c>
      <c r="G1264" s="227">
        <v>9682</v>
      </c>
      <c r="H1264" s="226">
        <v>7766</v>
      </c>
      <c r="I1264" s="174">
        <f t="shared" si="313"/>
        <v>28.073745093988848</v>
      </c>
      <c r="J1264" s="174">
        <f t="shared" si="314"/>
        <v>63.073745093988848</v>
      </c>
      <c r="K1264" s="316">
        <v>0.4</v>
      </c>
      <c r="L1264" s="174">
        <f t="shared" si="315"/>
        <v>88.303243131584381</v>
      </c>
      <c r="M1264" s="175">
        <v>125</v>
      </c>
      <c r="N1264" s="633"/>
      <c r="O1264" s="395"/>
      <c r="P1264" s="293" t="s">
        <v>1774</v>
      </c>
      <c r="Q1264" s="836">
        <v>45119</v>
      </c>
      <c r="R1264" s="914"/>
    </row>
    <row r="1265" spans="1:18" s="178" customFormat="1" ht="15.75" x14ac:dyDescent="0.25">
      <c r="A1265" s="319" t="s">
        <v>827</v>
      </c>
      <c r="B1265" s="319" t="s">
        <v>827</v>
      </c>
      <c r="C1265" s="178">
        <v>23</v>
      </c>
      <c r="D1265" s="178">
        <v>42</v>
      </c>
      <c r="E1265" s="337" t="s">
        <v>1283</v>
      </c>
      <c r="F1265" s="226">
        <v>35</v>
      </c>
      <c r="G1265" s="227">
        <v>9682</v>
      </c>
      <c r="H1265" s="226">
        <v>7766</v>
      </c>
      <c r="I1265" s="174">
        <f t="shared" si="313"/>
        <v>28.073745093988848</v>
      </c>
      <c r="J1265" s="174">
        <f t="shared" si="314"/>
        <v>63.073745093988848</v>
      </c>
      <c r="K1265" s="316">
        <v>0.4</v>
      </c>
      <c r="L1265" s="174">
        <f t="shared" si="315"/>
        <v>88.303243131584381</v>
      </c>
      <c r="M1265" s="175">
        <v>125</v>
      </c>
      <c r="N1265" s="633"/>
      <c r="O1265" s="395"/>
      <c r="P1265" s="887" t="s">
        <v>2422</v>
      </c>
      <c r="Q1265" s="836"/>
      <c r="R1265" s="914"/>
    </row>
    <row r="1266" spans="1:18" s="178" customFormat="1" ht="15.75" x14ac:dyDescent="0.25">
      <c r="A1266" s="319" t="s">
        <v>827</v>
      </c>
      <c r="B1266" s="319" t="s">
        <v>827</v>
      </c>
      <c r="C1266" s="178">
        <v>24</v>
      </c>
      <c r="D1266" s="178">
        <v>44</v>
      </c>
      <c r="E1266" s="337" t="s">
        <v>1283</v>
      </c>
      <c r="F1266" s="226">
        <v>35</v>
      </c>
      <c r="G1266" s="227">
        <v>9682</v>
      </c>
      <c r="H1266" s="226">
        <v>7766</v>
      </c>
      <c r="I1266" s="174">
        <f t="shared" si="313"/>
        <v>28.073745093988848</v>
      </c>
      <c r="J1266" s="174">
        <f t="shared" si="314"/>
        <v>63.073745093988848</v>
      </c>
      <c r="K1266" s="316">
        <v>0.4</v>
      </c>
      <c r="L1266" s="174">
        <f t="shared" si="315"/>
        <v>88.303243131584381</v>
      </c>
      <c r="M1266" s="175">
        <v>125</v>
      </c>
      <c r="N1266" s="633"/>
      <c r="O1266" s="395"/>
      <c r="P1266" s="887" t="s">
        <v>2422</v>
      </c>
      <c r="Q1266" s="836"/>
      <c r="R1266" s="914"/>
    </row>
    <row r="1267" spans="1:18" s="178" customFormat="1" ht="15.75" x14ac:dyDescent="0.25">
      <c r="A1267" s="319" t="s">
        <v>827</v>
      </c>
      <c r="B1267" s="319" t="s">
        <v>827</v>
      </c>
      <c r="C1267" s="178">
        <v>25</v>
      </c>
      <c r="D1267" s="178">
        <v>46</v>
      </c>
      <c r="E1267" s="704" t="s">
        <v>1283</v>
      </c>
      <c r="F1267" s="232">
        <v>35</v>
      </c>
      <c r="G1267" s="305">
        <v>9682</v>
      </c>
      <c r="H1267" s="232">
        <v>7766</v>
      </c>
      <c r="I1267" s="611">
        <f t="shared" si="313"/>
        <v>28.073745093988848</v>
      </c>
      <c r="J1267" s="611">
        <f t="shared" si="314"/>
        <v>63.073745093988848</v>
      </c>
      <c r="K1267" s="612">
        <v>0.4</v>
      </c>
      <c r="L1267" s="611">
        <f t="shared" si="315"/>
        <v>88.303243131584381</v>
      </c>
      <c r="M1267" s="698">
        <v>125</v>
      </c>
      <c r="N1267" s="633"/>
      <c r="O1267" s="395"/>
      <c r="P1267" s="887" t="s">
        <v>2997</v>
      </c>
      <c r="Q1267" s="836">
        <v>45489</v>
      </c>
      <c r="R1267" s="914"/>
    </row>
    <row r="1268" spans="1:18" s="178" customFormat="1" ht="15.75" x14ac:dyDescent="0.25">
      <c r="A1268" s="319" t="s">
        <v>827</v>
      </c>
      <c r="B1268" s="319" t="s">
        <v>827</v>
      </c>
      <c r="C1268" s="178">
        <v>26</v>
      </c>
      <c r="D1268" s="178">
        <v>50</v>
      </c>
      <c r="E1268" s="337" t="s">
        <v>1283</v>
      </c>
      <c r="F1268" s="226">
        <v>35</v>
      </c>
      <c r="G1268" s="227">
        <v>9682</v>
      </c>
      <c r="H1268" s="226">
        <v>7766</v>
      </c>
      <c r="I1268" s="174">
        <f t="shared" si="313"/>
        <v>28.073745093988848</v>
      </c>
      <c r="J1268" s="174">
        <f t="shared" si="314"/>
        <v>63.073745093988848</v>
      </c>
      <c r="K1268" s="316">
        <v>0.4</v>
      </c>
      <c r="L1268" s="174">
        <f t="shared" si="315"/>
        <v>88.303243131584381</v>
      </c>
      <c r="M1268" s="175">
        <v>125</v>
      </c>
      <c r="N1268" s="633"/>
      <c r="O1268" s="395"/>
      <c r="P1268" s="887" t="s">
        <v>2422</v>
      </c>
      <c r="Q1268" s="836"/>
      <c r="R1268" s="914"/>
    </row>
    <row r="1269" spans="1:18" s="178" customFormat="1" ht="15.75" x14ac:dyDescent="0.25">
      <c r="A1269" s="319" t="s">
        <v>827</v>
      </c>
      <c r="B1269" s="319" t="s">
        <v>827</v>
      </c>
      <c r="C1269" s="178">
        <v>27</v>
      </c>
      <c r="D1269" s="178">
        <v>44</v>
      </c>
      <c r="E1269" s="337" t="s">
        <v>1284</v>
      </c>
      <c r="F1269" s="226">
        <v>40</v>
      </c>
      <c r="G1269" s="227">
        <v>9682</v>
      </c>
      <c r="H1269" s="226">
        <v>7766</v>
      </c>
      <c r="I1269" s="174">
        <f t="shared" si="313"/>
        <v>32.084280107415822</v>
      </c>
      <c r="J1269" s="174">
        <f t="shared" si="314"/>
        <v>72.084280107415822</v>
      </c>
      <c r="K1269" s="316">
        <v>0.4</v>
      </c>
      <c r="L1269" s="174">
        <f t="shared" si="315"/>
        <v>100.91799215038215</v>
      </c>
      <c r="M1269" s="175">
        <v>125</v>
      </c>
      <c r="N1269" s="633"/>
      <c r="O1269" s="395"/>
      <c r="P1269" s="887" t="s">
        <v>2422</v>
      </c>
      <c r="Q1269" s="836"/>
      <c r="R1269" s="914"/>
    </row>
    <row r="1270" spans="1:18" s="178" customFormat="1" ht="15.75" x14ac:dyDescent="0.25">
      <c r="A1270" s="319" t="s">
        <v>827</v>
      </c>
      <c r="B1270" s="319" t="s">
        <v>827</v>
      </c>
      <c r="C1270" s="178">
        <v>28</v>
      </c>
      <c r="D1270" s="178">
        <v>46</v>
      </c>
      <c r="E1270" s="337" t="s">
        <v>1287</v>
      </c>
      <c r="F1270" s="226">
        <v>40</v>
      </c>
      <c r="G1270" s="227">
        <v>9682</v>
      </c>
      <c r="H1270" s="226">
        <v>7766</v>
      </c>
      <c r="I1270" s="174">
        <f t="shared" si="313"/>
        <v>32.084280107415822</v>
      </c>
      <c r="J1270" s="174">
        <f t="shared" si="314"/>
        <v>72.084280107415822</v>
      </c>
      <c r="K1270" s="316">
        <v>0.4</v>
      </c>
      <c r="L1270" s="174">
        <f t="shared" si="315"/>
        <v>100.91799215038215</v>
      </c>
      <c r="M1270" s="175">
        <v>125</v>
      </c>
      <c r="N1270" s="633"/>
      <c r="O1270" s="395"/>
      <c r="P1270" s="887" t="s">
        <v>2422</v>
      </c>
      <c r="Q1270" s="836"/>
      <c r="R1270" s="914"/>
    </row>
    <row r="1271" spans="1:18" s="178" customFormat="1" ht="15.75" hidden="1" x14ac:dyDescent="0.25">
      <c r="A1271" s="319" t="s">
        <v>827</v>
      </c>
      <c r="B1271" s="319" t="s">
        <v>827</v>
      </c>
      <c r="C1271" s="178">
        <v>29</v>
      </c>
      <c r="D1271" s="178">
        <v>46</v>
      </c>
      <c r="E1271" s="704" t="s">
        <v>1285</v>
      </c>
      <c r="F1271" s="232">
        <v>40</v>
      </c>
      <c r="G1271" s="305">
        <v>9682</v>
      </c>
      <c r="H1271" s="232">
        <v>7766</v>
      </c>
      <c r="I1271" s="611">
        <f t="shared" si="313"/>
        <v>32.084280107415822</v>
      </c>
      <c r="J1271" s="611">
        <f t="shared" si="314"/>
        <v>72.084280107415822</v>
      </c>
      <c r="K1271" s="612">
        <v>0.4</v>
      </c>
      <c r="L1271" s="611">
        <f t="shared" si="315"/>
        <v>100.91799215038215</v>
      </c>
      <c r="M1271" s="698">
        <v>125</v>
      </c>
      <c r="N1271" s="633"/>
      <c r="O1271" s="395"/>
      <c r="P1271" s="887" t="s">
        <v>2608</v>
      </c>
      <c r="Q1271" s="836">
        <v>45428</v>
      </c>
      <c r="R1271" s="914">
        <f>+M1271*14.5</f>
        <v>1812.5</v>
      </c>
    </row>
    <row r="1272" spans="1:18" s="178" customFormat="1" ht="15.75" x14ac:dyDescent="0.25">
      <c r="A1272" s="319"/>
      <c r="B1272" s="318" t="s">
        <v>2573</v>
      </c>
      <c r="E1272" s="337"/>
      <c r="F1272" s="226"/>
      <c r="G1272" s="227"/>
      <c r="H1272" s="226"/>
      <c r="I1272" s="174"/>
      <c r="J1272" s="174"/>
      <c r="K1272" s="316"/>
      <c r="L1272" s="174"/>
      <c r="M1272" s="175"/>
      <c r="N1272" s="633"/>
      <c r="O1272" s="395"/>
      <c r="P1272" s="293"/>
      <c r="Q1272" s="836"/>
      <c r="R1272" s="914"/>
    </row>
    <row r="1273" spans="1:18" s="178" customFormat="1" ht="15.75" hidden="1" thickBot="1" x14ac:dyDescent="0.3">
      <c r="A1273" s="225" t="s">
        <v>2162</v>
      </c>
      <c r="B1273" s="319" t="s">
        <v>2584</v>
      </c>
      <c r="D1273" s="656" t="s">
        <v>1167</v>
      </c>
      <c r="E1273" s="934" t="s">
        <v>2163</v>
      </c>
      <c r="F1273" s="935">
        <v>37</v>
      </c>
      <c r="G1273" s="935">
        <f>432*1.045</f>
        <v>451.43999999999994</v>
      </c>
      <c r="H1273" s="935">
        <v>535</v>
      </c>
      <c r="I1273" s="935">
        <f>+F1273/G1273*H1273</f>
        <v>43.848573453836615</v>
      </c>
      <c r="J1273" s="935">
        <f>+F1273+I1273</f>
        <v>80.848573453836622</v>
      </c>
      <c r="K1273" s="936">
        <v>0.4</v>
      </c>
      <c r="L1273" s="935">
        <f>+J1273*1.4</f>
        <v>113.18800283537126</v>
      </c>
      <c r="M1273" s="937">
        <v>125</v>
      </c>
      <c r="P1273" s="293" t="s">
        <v>2180</v>
      </c>
      <c r="Q1273" s="229">
        <v>45434</v>
      </c>
      <c r="R1273" s="914">
        <f>+M1273*14.5</f>
        <v>1812.5</v>
      </c>
    </row>
    <row r="1274" spans="1:18" s="178" customFormat="1" x14ac:dyDescent="0.25">
      <c r="A1274" s="225" t="s">
        <v>2162</v>
      </c>
      <c r="B1274" s="319" t="s">
        <v>2584</v>
      </c>
      <c r="D1274" s="656" t="s">
        <v>801</v>
      </c>
      <c r="E1274" s="628" t="s">
        <v>2163</v>
      </c>
      <c r="F1274" s="226">
        <v>37</v>
      </c>
      <c r="G1274" s="226">
        <f t="shared" ref="G1274:G1286" si="316">432*1.045</f>
        <v>451.43999999999994</v>
      </c>
      <c r="H1274" s="226">
        <v>535</v>
      </c>
      <c r="I1274" s="226">
        <f t="shared" ref="I1274:I1286" si="317">+F1274/G1274*H1274</f>
        <v>43.848573453836615</v>
      </c>
      <c r="J1274" s="226">
        <f t="shared" ref="J1274:J1286" si="318">+F1274+I1274</f>
        <v>80.848573453836622</v>
      </c>
      <c r="K1274" s="228">
        <v>0.4</v>
      </c>
      <c r="L1274" s="226">
        <f t="shared" ref="L1274:L1286" si="319">+J1274*1.4</f>
        <v>113.18800283537126</v>
      </c>
      <c r="M1274" s="226">
        <v>125</v>
      </c>
      <c r="R1274" s="914"/>
    </row>
    <row r="1275" spans="1:18" s="178" customFormat="1" hidden="1" x14ac:dyDescent="0.25">
      <c r="A1275" s="225" t="s">
        <v>2162</v>
      </c>
      <c r="B1275" s="319" t="s">
        <v>2584</v>
      </c>
      <c r="D1275" s="656" t="s">
        <v>802</v>
      </c>
      <c r="E1275" s="708" t="s">
        <v>2163</v>
      </c>
      <c r="F1275" s="232">
        <v>37</v>
      </c>
      <c r="G1275" s="232">
        <f t="shared" si="316"/>
        <v>451.43999999999994</v>
      </c>
      <c r="H1275" s="232">
        <v>535</v>
      </c>
      <c r="I1275" s="232">
        <f t="shared" si="317"/>
        <v>43.848573453836615</v>
      </c>
      <c r="J1275" s="232">
        <f t="shared" si="318"/>
        <v>80.848573453836622</v>
      </c>
      <c r="K1275" s="864">
        <v>0.4</v>
      </c>
      <c r="L1275" s="232">
        <f t="shared" si="319"/>
        <v>113.18800283537126</v>
      </c>
      <c r="M1275" s="232">
        <v>125</v>
      </c>
      <c r="P1275" s="178" t="s">
        <v>2215</v>
      </c>
      <c r="Q1275" s="229">
        <v>45458</v>
      </c>
      <c r="R1275" s="914">
        <f>+M1275*14.5</f>
        <v>1812.5</v>
      </c>
    </row>
    <row r="1276" spans="1:18" s="178" customFormat="1" hidden="1" x14ac:dyDescent="0.25">
      <c r="A1276" s="225" t="s">
        <v>2162</v>
      </c>
      <c r="B1276" s="319" t="s">
        <v>2584</v>
      </c>
      <c r="D1276" s="656" t="s">
        <v>802</v>
      </c>
      <c r="E1276" s="708" t="s">
        <v>2163</v>
      </c>
      <c r="F1276" s="232">
        <v>37</v>
      </c>
      <c r="G1276" s="232">
        <f t="shared" si="316"/>
        <v>451.43999999999994</v>
      </c>
      <c r="H1276" s="232">
        <v>535</v>
      </c>
      <c r="I1276" s="232">
        <f t="shared" si="317"/>
        <v>43.848573453836615</v>
      </c>
      <c r="J1276" s="232">
        <f t="shared" si="318"/>
        <v>80.848573453836622</v>
      </c>
      <c r="K1276" s="864">
        <v>0.4</v>
      </c>
      <c r="L1276" s="232">
        <f t="shared" si="319"/>
        <v>113.18800283537126</v>
      </c>
      <c r="M1276" s="232">
        <v>120</v>
      </c>
      <c r="P1276" s="178" t="s">
        <v>2598</v>
      </c>
      <c r="Q1276" s="229">
        <v>45427</v>
      </c>
      <c r="R1276" s="914">
        <f>+M1276*14.5</f>
        <v>1740</v>
      </c>
    </row>
    <row r="1277" spans="1:18" s="178" customFormat="1" x14ac:dyDescent="0.25">
      <c r="A1277" s="225" t="s">
        <v>2162</v>
      </c>
      <c r="B1277" s="319" t="s">
        <v>2584</v>
      </c>
      <c r="D1277" s="656" t="s">
        <v>501</v>
      </c>
      <c r="E1277" s="628" t="s">
        <v>2569</v>
      </c>
      <c r="F1277" s="226">
        <v>26</v>
      </c>
      <c r="G1277" s="226">
        <f t="shared" si="316"/>
        <v>451.43999999999994</v>
      </c>
      <c r="H1277" s="226">
        <v>535</v>
      </c>
      <c r="I1277" s="226">
        <f t="shared" si="317"/>
        <v>30.812511075668972</v>
      </c>
      <c r="J1277" s="226">
        <f t="shared" si="318"/>
        <v>56.812511075668972</v>
      </c>
      <c r="K1277" s="228">
        <v>0.4</v>
      </c>
      <c r="L1277" s="226">
        <f t="shared" si="319"/>
        <v>79.537515505936554</v>
      </c>
      <c r="M1277" s="226">
        <v>125</v>
      </c>
      <c r="R1277" s="914"/>
    </row>
    <row r="1278" spans="1:18" s="178" customFormat="1" hidden="1" x14ac:dyDescent="0.25">
      <c r="A1278" s="225" t="s">
        <v>2162</v>
      </c>
      <c r="B1278" s="319" t="s">
        <v>2584</v>
      </c>
      <c r="D1278" s="656" t="s">
        <v>504</v>
      </c>
      <c r="E1278" s="708" t="s">
        <v>2569</v>
      </c>
      <c r="F1278" s="232">
        <v>26</v>
      </c>
      <c r="G1278" s="232">
        <f t="shared" si="316"/>
        <v>451.43999999999994</v>
      </c>
      <c r="H1278" s="232">
        <v>535</v>
      </c>
      <c r="I1278" s="232">
        <f t="shared" si="317"/>
        <v>30.812511075668972</v>
      </c>
      <c r="J1278" s="232">
        <f t="shared" si="318"/>
        <v>56.812511075668972</v>
      </c>
      <c r="K1278" s="864">
        <v>0.4</v>
      </c>
      <c r="L1278" s="232">
        <f t="shared" si="319"/>
        <v>79.537515505936554</v>
      </c>
      <c r="M1278" s="232">
        <v>125</v>
      </c>
      <c r="P1278" s="178" t="s">
        <v>12</v>
      </c>
      <c r="Q1278" s="229">
        <v>45429</v>
      </c>
      <c r="R1278" s="914">
        <f>+M1278*14.5</f>
        <v>1812.5</v>
      </c>
    </row>
    <row r="1279" spans="1:18" s="178" customFormat="1" x14ac:dyDescent="0.25">
      <c r="A1279" s="225" t="s">
        <v>2162</v>
      </c>
      <c r="B1279" s="319" t="s">
        <v>2584</v>
      </c>
      <c r="D1279" s="656" t="s">
        <v>505</v>
      </c>
      <c r="E1279" s="628" t="s">
        <v>2569</v>
      </c>
      <c r="F1279" s="226">
        <v>26</v>
      </c>
      <c r="G1279" s="226">
        <f t="shared" si="316"/>
        <v>451.43999999999994</v>
      </c>
      <c r="H1279" s="226">
        <v>535</v>
      </c>
      <c r="I1279" s="226">
        <f t="shared" si="317"/>
        <v>30.812511075668972</v>
      </c>
      <c r="J1279" s="226">
        <f t="shared" si="318"/>
        <v>56.812511075668972</v>
      </c>
      <c r="K1279" s="228">
        <v>0.4</v>
      </c>
      <c r="L1279" s="226">
        <f t="shared" si="319"/>
        <v>79.537515505936554</v>
      </c>
      <c r="M1279" s="226">
        <v>125</v>
      </c>
      <c r="R1279" s="914"/>
    </row>
    <row r="1280" spans="1:18" s="178" customFormat="1" x14ac:dyDescent="0.25">
      <c r="A1280" s="225" t="s">
        <v>2162</v>
      </c>
      <c r="B1280" s="319" t="s">
        <v>2584</v>
      </c>
      <c r="D1280" s="656" t="s">
        <v>1167</v>
      </c>
      <c r="E1280" s="628" t="s">
        <v>2569</v>
      </c>
      <c r="F1280" s="226">
        <v>26</v>
      </c>
      <c r="G1280" s="226">
        <f t="shared" si="316"/>
        <v>451.43999999999994</v>
      </c>
      <c r="H1280" s="226">
        <v>535</v>
      </c>
      <c r="I1280" s="226">
        <f t="shared" si="317"/>
        <v>30.812511075668972</v>
      </c>
      <c r="J1280" s="226">
        <f t="shared" si="318"/>
        <v>56.812511075668972</v>
      </c>
      <c r="K1280" s="228">
        <v>0.4</v>
      </c>
      <c r="L1280" s="226">
        <f t="shared" si="319"/>
        <v>79.537515505936554</v>
      </c>
      <c r="M1280" s="226">
        <v>125</v>
      </c>
      <c r="R1280" s="914"/>
    </row>
    <row r="1281" spans="1:18" s="178" customFormat="1" hidden="1" x14ac:dyDescent="0.25">
      <c r="A1281" s="225" t="s">
        <v>2162</v>
      </c>
      <c r="B1281" s="319" t="s">
        <v>2584</v>
      </c>
      <c r="D1281" s="656" t="s">
        <v>801</v>
      </c>
      <c r="E1281" s="708" t="s">
        <v>2569</v>
      </c>
      <c r="F1281" s="232">
        <v>26</v>
      </c>
      <c r="G1281" s="232">
        <f t="shared" si="316"/>
        <v>451.43999999999994</v>
      </c>
      <c r="H1281" s="232">
        <v>535</v>
      </c>
      <c r="I1281" s="232">
        <f t="shared" si="317"/>
        <v>30.812511075668972</v>
      </c>
      <c r="J1281" s="232">
        <f t="shared" si="318"/>
        <v>56.812511075668972</v>
      </c>
      <c r="K1281" s="864">
        <v>0.4</v>
      </c>
      <c r="L1281" s="232">
        <f t="shared" si="319"/>
        <v>79.537515505936554</v>
      </c>
      <c r="M1281" s="232">
        <v>125</v>
      </c>
      <c r="P1281" s="178" t="s">
        <v>12</v>
      </c>
      <c r="Q1281" s="229">
        <v>45475</v>
      </c>
      <c r="R1281" s="914"/>
    </row>
    <row r="1282" spans="1:18" s="178" customFormat="1" x14ac:dyDescent="0.25">
      <c r="A1282" s="225" t="s">
        <v>2162</v>
      </c>
      <c r="B1282" s="319" t="s">
        <v>2584</v>
      </c>
      <c r="D1282" s="656" t="s">
        <v>802</v>
      </c>
      <c r="E1282" s="628" t="s">
        <v>2569</v>
      </c>
      <c r="F1282" s="226">
        <v>26</v>
      </c>
      <c r="G1282" s="226">
        <f t="shared" si="316"/>
        <v>451.43999999999994</v>
      </c>
      <c r="H1282" s="226">
        <v>535</v>
      </c>
      <c r="I1282" s="226">
        <f t="shared" si="317"/>
        <v>30.812511075668972</v>
      </c>
      <c r="J1282" s="226">
        <f t="shared" si="318"/>
        <v>56.812511075668972</v>
      </c>
      <c r="K1282" s="228">
        <v>0.4</v>
      </c>
      <c r="L1282" s="226">
        <f t="shared" si="319"/>
        <v>79.537515505936554</v>
      </c>
      <c r="M1282" s="226">
        <v>125</v>
      </c>
      <c r="R1282" s="914"/>
    </row>
    <row r="1283" spans="1:18" s="178" customFormat="1" hidden="1" x14ac:dyDescent="0.25">
      <c r="A1283" s="225" t="s">
        <v>2162</v>
      </c>
      <c r="B1283" s="319" t="s">
        <v>2584</v>
      </c>
      <c r="D1283" s="656">
        <v>44</v>
      </c>
      <c r="E1283" s="708" t="s">
        <v>2490</v>
      </c>
      <c r="F1283" s="232">
        <v>32</v>
      </c>
      <c r="G1283" s="232">
        <f t="shared" si="316"/>
        <v>451.43999999999994</v>
      </c>
      <c r="H1283" s="232">
        <v>535</v>
      </c>
      <c r="I1283" s="232">
        <f t="shared" si="317"/>
        <v>37.9230905546695</v>
      </c>
      <c r="J1283" s="232">
        <f t="shared" si="318"/>
        <v>69.9230905546695</v>
      </c>
      <c r="K1283" s="864">
        <v>0.4</v>
      </c>
      <c r="L1283" s="232">
        <f t="shared" si="319"/>
        <v>97.892326776537288</v>
      </c>
      <c r="M1283" s="232">
        <v>125</v>
      </c>
      <c r="P1283" s="178" t="s">
        <v>2303</v>
      </c>
      <c r="Q1283" s="229">
        <v>45432</v>
      </c>
      <c r="R1283" s="914">
        <f>+M1283*14</f>
        <v>1750</v>
      </c>
    </row>
    <row r="1284" spans="1:18" s="178" customFormat="1" hidden="1" x14ac:dyDescent="0.25">
      <c r="A1284" s="225" t="s">
        <v>2162</v>
      </c>
      <c r="B1284" s="319" t="s">
        <v>2584</v>
      </c>
      <c r="D1284" s="656">
        <v>46</v>
      </c>
      <c r="E1284" s="708" t="s">
        <v>2490</v>
      </c>
      <c r="F1284" s="232">
        <v>32</v>
      </c>
      <c r="G1284" s="232">
        <f t="shared" si="316"/>
        <v>451.43999999999994</v>
      </c>
      <c r="H1284" s="232">
        <v>535</v>
      </c>
      <c r="I1284" s="232">
        <f t="shared" si="317"/>
        <v>37.9230905546695</v>
      </c>
      <c r="J1284" s="232">
        <f t="shared" si="318"/>
        <v>69.9230905546695</v>
      </c>
      <c r="K1284" s="864">
        <v>0.4</v>
      </c>
      <c r="L1284" s="232">
        <f t="shared" si="319"/>
        <v>97.892326776537288</v>
      </c>
      <c r="M1284" s="232">
        <v>125</v>
      </c>
      <c r="P1284" s="178" t="s">
        <v>2420</v>
      </c>
      <c r="Q1284" s="229">
        <v>45426</v>
      </c>
      <c r="R1284" s="914">
        <f>+M1284*14.5</f>
        <v>1812.5</v>
      </c>
    </row>
    <row r="1285" spans="1:18" s="178" customFormat="1" hidden="1" x14ac:dyDescent="0.25">
      <c r="A1285" s="225" t="s">
        <v>2162</v>
      </c>
      <c r="B1285" s="319" t="s">
        <v>2584</v>
      </c>
      <c r="D1285" s="656">
        <v>48</v>
      </c>
      <c r="E1285" s="708" t="s">
        <v>2490</v>
      </c>
      <c r="F1285" s="232">
        <v>32</v>
      </c>
      <c r="G1285" s="232">
        <f t="shared" si="316"/>
        <v>451.43999999999994</v>
      </c>
      <c r="H1285" s="232">
        <v>535</v>
      </c>
      <c r="I1285" s="232">
        <f t="shared" si="317"/>
        <v>37.9230905546695</v>
      </c>
      <c r="J1285" s="232">
        <f t="shared" si="318"/>
        <v>69.9230905546695</v>
      </c>
      <c r="K1285" s="864">
        <v>0.4</v>
      </c>
      <c r="L1285" s="232">
        <f t="shared" si="319"/>
        <v>97.892326776537288</v>
      </c>
      <c r="M1285" s="232">
        <v>125</v>
      </c>
      <c r="P1285" s="178" t="s">
        <v>2267</v>
      </c>
      <c r="Q1285" s="229">
        <v>45426</v>
      </c>
      <c r="R1285" s="914">
        <f>+M1285*14.5</f>
        <v>1812.5</v>
      </c>
    </row>
    <row r="1286" spans="1:18" s="178" customFormat="1" hidden="1" x14ac:dyDescent="0.25">
      <c r="A1286" s="225" t="s">
        <v>2162</v>
      </c>
      <c r="B1286" s="319" t="s">
        <v>2584</v>
      </c>
      <c r="D1286" s="656">
        <v>50</v>
      </c>
      <c r="E1286" s="708" t="s">
        <v>2490</v>
      </c>
      <c r="F1286" s="232">
        <v>32</v>
      </c>
      <c r="G1286" s="232">
        <f t="shared" si="316"/>
        <v>451.43999999999994</v>
      </c>
      <c r="H1286" s="232">
        <v>535</v>
      </c>
      <c r="I1286" s="232">
        <f t="shared" si="317"/>
        <v>37.9230905546695</v>
      </c>
      <c r="J1286" s="232">
        <f t="shared" si="318"/>
        <v>69.9230905546695</v>
      </c>
      <c r="K1286" s="864">
        <v>0.4</v>
      </c>
      <c r="L1286" s="232">
        <f t="shared" si="319"/>
        <v>97.892326776537288</v>
      </c>
      <c r="M1286" s="232">
        <v>125</v>
      </c>
      <c r="P1286" s="178" t="s">
        <v>2303</v>
      </c>
      <c r="Q1286" s="229">
        <v>45432</v>
      </c>
      <c r="R1286" s="914">
        <f>+M1286*14</f>
        <v>1750</v>
      </c>
    </row>
    <row r="1287" spans="1:18" s="178" customFormat="1" ht="15.75" x14ac:dyDescent="0.25">
      <c r="A1287" s="319"/>
      <c r="B1287" s="318" t="s">
        <v>2701</v>
      </c>
      <c r="E1287" s="337"/>
      <c r="F1287" s="226"/>
      <c r="G1287" s="227"/>
      <c r="H1287" s="226"/>
      <c r="I1287" s="174"/>
      <c r="J1287" s="174"/>
      <c r="K1287" s="316"/>
      <c r="L1287" s="174"/>
      <c r="M1287" s="175"/>
      <c r="N1287" s="633"/>
      <c r="O1287" s="395"/>
      <c r="P1287" s="887"/>
      <c r="Q1287" s="836"/>
      <c r="R1287" s="914"/>
    </row>
    <row r="1288" spans="1:18" s="178" customFormat="1" hidden="1" x14ac:dyDescent="0.25">
      <c r="A1288" s="319" t="s">
        <v>2162</v>
      </c>
      <c r="B1288" s="319" t="s">
        <v>2162</v>
      </c>
      <c r="D1288" s="656">
        <v>46</v>
      </c>
      <c r="E1288" s="708" t="s">
        <v>2686</v>
      </c>
      <c r="F1288" s="232">
        <v>38</v>
      </c>
      <c r="G1288" s="213">
        <v>1120</v>
      </c>
      <c r="H1288" s="232">
        <f t="shared" ref="H1288:H1295" si="320">16*40</f>
        <v>640</v>
      </c>
      <c r="I1288" s="863">
        <f t="shared" ref="I1288:I1295" si="321">+F1288/G1288*H1288</f>
        <v>21.714285714285712</v>
      </c>
      <c r="J1288" s="863">
        <f t="shared" ref="J1288:J1295" si="322">+F1288+I1288</f>
        <v>59.714285714285708</v>
      </c>
      <c r="K1288" s="864"/>
      <c r="L1288" s="232">
        <f t="shared" ref="L1288:L1295" si="323">+J1288*1.4</f>
        <v>83.59999999999998</v>
      </c>
      <c r="M1288" s="232">
        <v>125</v>
      </c>
      <c r="P1288" s="178" t="s">
        <v>2974</v>
      </c>
      <c r="Q1288" s="229">
        <v>45484</v>
      </c>
      <c r="R1288" s="914">
        <f>+M1288*14.5</f>
        <v>1812.5</v>
      </c>
    </row>
    <row r="1289" spans="1:18" s="178" customFormat="1" hidden="1" x14ac:dyDescent="0.25">
      <c r="A1289" s="319" t="s">
        <v>2162</v>
      </c>
      <c r="B1289" s="319" t="s">
        <v>2162</v>
      </c>
      <c r="D1289" s="656">
        <v>48</v>
      </c>
      <c r="E1289" s="708" t="s">
        <v>2686</v>
      </c>
      <c r="F1289" s="232">
        <v>38</v>
      </c>
      <c r="G1289" s="213">
        <v>1120</v>
      </c>
      <c r="H1289" s="232">
        <f t="shared" si="320"/>
        <v>640</v>
      </c>
      <c r="I1289" s="863">
        <f t="shared" si="321"/>
        <v>21.714285714285712</v>
      </c>
      <c r="J1289" s="863">
        <f t="shared" si="322"/>
        <v>59.714285714285708</v>
      </c>
      <c r="K1289" s="864"/>
      <c r="L1289" s="232">
        <f t="shared" si="323"/>
        <v>83.59999999999998</v>
      </c>
      <c r="M1289" s="232">
        <v>125</v>
      </c>
      <c r="P1289" s="178" t="s">
        <v>12</v>
      </c>
      <c r="Q1289" s="229">
        <v>45457</v>
      </c>
      <c r="R1289" s="914">
        <f>+M1289*14.5</f>
        <v>1812.5</v>
      </c>
    </row>
    <row r="1290" spans="1:18" s="178" customFormat="1" hidden="1" x14ac:dyDescent="0.25">
      <c r="A1290" s="319" t="s">
        <v>2162</v>
      </c>
      <c r="B1290" s="319" t="s">
        <v>2162</v>
      </c>
      <c r="D1290" s="656">
        <v>48</v>
      </c>
      <c r="E1290" s="708" t="s">
        <v>2686</v>
      </c>
      <c r="F1290" s="232">
        <v>38</v>
      </c>
      <c r="G1290" s="213">
        <v>1120</v>
      </c>
      <c r="H1290" s="232">
        <f t="shared" si="320"/>
        <v>640</v>
      </c>
      <c r="I1290" s="863">
        <f t="shared" si="321"/>
        <v>21.714285714285712</v>
      </c>
      <c r="J1290" s="863">
        <f t="shared" si="322"/>
        <v>59.714285714285708</v>
      </c>
      <c r="K1290" s="864"/>
      <c r="L1290" s="232">
        <f t="shared" si="323"/>
        <v>83.59999999999998</v>
      </c>
      <c r="M1290" s="232">
        <v>125</v>
      </c>
      <c r="P1290" s="178" t="s">
        <v>2903</v>
      </c>
      <c r="Q1290" s="229">
        <v>45467</v>
      </c>
      <c r="R1290" s="914"/>
    </row>
    <row r="1291" spans="1:18" s="178" customFormat="1" hidden="1" x14ac:dyDescent="0.25">
      <c r="A1291" s="319" t="s">
        <v>2162</v>
      </c>
      <c r="B1291" s="319" t="s">
        <v>2162</v>
      </c>
      <c r="D1291" s="656">
        <v>50</v>
      </c>
      <c r="E1291" s="708" t="s">
        <v>2686</v>
      </c>
      <c r="F1291" s="232">
        <v>38</v>
      </c>
      <c r="G1291" s="213">
        <v>1120</v>
      </c>
      <c r="H1291" s="232">
        <f t="shared" si="320"/>
        <v>640</v>
      </c>
      <c r="I1291" s="863">
        <f t="shared" si="321"/>
        <v>21.714285714285712</v>
      </c>
      <c r="J1291" s="863">
        <f t="shared" si="322"/>
        <v>59.714285714285708</v>
      </c>
      <c r="K1291" s="864"/>
      <c r="L1291" s="232">
        <f t="shared" si="323"/>
        <v>83.59999999999998</v>
      </c>
      <c r="M1291" s="232">
        <v>125</v>
      </c>
      <c r="P1291" s="178" t="s">
        <v>2812</v>
      </c>
      <c r="Q1291" s="229">
        <v>45456</v>
      </c>
      <c r="R1291" s="914">
        <f>+M1291*14.5</f>
        <v>1812.5</v>
      </c>
    </row>
    <row r="1292" spans="1:18" s="178" customFormat="1" x14ac:dyDescent="0.25">
      <c r="A1292" s="319" t="s">
        <v>2162</v>
      </c>
      <c r="B1292" s="319" t="s">
        <v>2162</v>
      </c>
      <c r="D1292" s="656">
        <v>46</v>
      </c>
      <c r="E1292" s="628" t="s">
        <v>2694</v>
      </c>
      <c r="F1292" s="226">
        <v>38</v>
      </c>
      <c r="G1292" s="178">
        <v>1120</v>
      </c>
      <c r="H1292" s="226">
        <f t="shared" si="320"/>
        <v>640</v>
      </c>
      <c r="I1292" s="820">
        <f t="shared" si="321"/>
        <v>21.714285714285712</v>
      </c>
      <c r="J1292" s="820">
        <f t="shared" si="322"/>
        <v>59.714285714285708</v>
      </c>
      <c r="K1292" s="228"/>
      <c r="L1292" s="226">
        <f t="shared" si="323"/>
        <v>83.59999999999998</v>
      </c>
      <c r="M1292" s="226">
        <v>125</v>
      </c>
      <c r="R1292" s="914"/>
    </row>
    <row r="1293" spans="1:18" s="178" customFormat="1" hidden="1" x14ac:dyDescent="0.25">
      <c r="A1293" s="319" t="s">
        <v>2162</v>
      </c>
      <c r="B1293" s="319" t="s">
        <v>2162</v>
      </c>
      <c r="D1293" s="656">
        <v>48</v>
      </c>
      <c r="E1293" s="708" t="s">
        <v>2694</v>
      </c>
      <c r="F1293" s="232">
        <v>38</v>
      </c>
      <c r="G1293" s="213">
        <v>1120</v>
      </c>
      <c r="H1293" s="232">
        <f t="shared" si="320"/>
        <v>640</v>
      </c>
      <c r="I1293" s="863">
        <f t="shared" si="321"/>
        <v>21.714285714285712</v>
      </c>
      <c r="J1293" s="863">
        <f t="shared" si="322"/>
        <v>59.714285714285708</v>
      </c>
      <c r="K1293" s="864"/>
      <c r="L1293" s="232">
        <f t="shared" si="323"/>
        <v>83.59999999999998</v>
      </c>
      <c r="M1293" s="232">
        <v>125</v>
      </c>
      <c r="P1293" s="178" t="s">
        <v>3002</v>
      </c>
      <c r="Q1293" s="229">
        <v>45495</v>
      </c>
      <c r="R1293" s="914"/>
    </row>
    <row r="1294" spans="1:18" s="178" customFormat="1" hidden="1" x14ac:dyDescent="0.25">
      <c r="A1294" s="319" t="s">
        <v>2162</v>
      </c>
      <c r="B1294" s="319" t="s">
        <v>2162</v>
      </c>
      <c r="D1294" s="656">
        <v>48</v>
      </c>
      <c r="E1294" s="708" t="s">
        <v>2694</v>
      </c>
      <c r="F1294" s="232">
        <v>38</v>
      </c>
      <c r="G1294" s="213">
        <v>1120</v>
      </c>
      <c r="H1294" s="232">
        <f t="shared" si="320"/>
        <v>640</v>
      </c>
      <c r="I1294" s="863">
        <f t="shared" si="321"/>
        <v>21.714285714285712</v>
      </c>
      <c r="J1294" s="863">
        <f t="shared" si="322"/>
        <v>59.714285714285708</v>
      </c>
      <c r="K1294" s="864"/>
      <c r="L1294" s="232">
        <f t="shared" si="323"/>
        <v>83.59999999999998</v>
      </c>
      <c r="M1294" s="232">
        <v>125</v>
      </c>
      <c r="P1294" s="178" t="s">
        <v>2916</v>
      </c>
      <c r="Q1294" s="229">
        <v>45468</v>
      </c>
      <c r="R1294" s="914"/>
    </row>
    <row r="1295" spans="1:18" s="178" customFormat="1" hidden="1" x14ac:dyDescent="0.25">
      <c r="A1295" s="319" t="s">
        <v>2162</v>
      </c>
      <c r="B1295" s="319" t="s">
        <v>2162</v>
      </c>
      <c r="D1295" s="656">
        <v>50</v>
      </c>
      <c r="E1295" s="708" t="s">
        <v>2694</v>
      </c>
      <c r="F1295" s="232">
        <v>38</v>
      </c>
      <c r="G1295" s="213">
        <v>1120</v>
      </c>
      <c r="H1295" s="232">
        <f t="shared" si="320"/>
        <v>640</v>
      </c>
      <c r="I1295" s="863">
        <f t="shared" si="321"/>
        <v>21.714285714285712</v>
      </c>
      <c r="J1295" s="863">
        <f t="shared" si="322"/>
        <v>59.714285714285708</v>
      </c>
      <c r="K1295" s="864"/>
      <c r="L1295" s="232">
        <f t="shared" si="323"/>
        <v>83.59999999999998</v>
      </c>
      <c r="M1295" s="232">
        <v>125</v>
      </c>
      <c r="P1295" s="178" t="s">
        <v>2215</v>
      </c>
      <c r="Q1295" s="229">
        <v>45458</v>
      </c>
      <c r="R1295" s="914">
        <f>+M1295*14.5</f>
        <v>1812.5</v>
      </c>
    </row>
    <row r="1296" spans="1:18" s="178" customFormat="1" hidden="1" x14ac:dyDescent="0.25">
      <c r="A1296" s="225" t="s">
        <v>2696</v>
      </c>
      <c r="B1296" s="319" t="s">
        <v>2697</v>
      </c>
      <c r="D1296" s="656">
        <v>42</v>
      </c>
      <c r="E1296" s="708" t="s">
        <v>2698</v>
      </c>
      <c r="F1296" s="232">
        <v>35</v>
      </c>
      <c r="G1296" s="213">
        <v>735</v>
      </c>
      <c r="H1296" s="232">
        <f>20*16</f>
        <v>320</v>
      </c>
      <c r="I1296" s="863">
        <f>+F1296/G1296*H1296</f>
        <v>15.238095238095237</v>
      </c>
      <c r="J1296" s="863">
        <f>+F1296+I1296</f>
        <v>50.238095238095241</v>
      </c>
      <c r="K1296" s="864"/>
      <c r="L1296" s="232">
        <f>+J1296*1.4</f>
        <v>70.333333333333329</v>
      </c>
      <c r="M1296" s="232">
        <v>110</v>
      </c>
      <c r="N1296" s="226"/>
      <c r="P1296" s="178" t="s">
        <v>1100</v>
      </c>
      <c r="Q1296" s="229">
        <v>45469</v>
      </c>
      <c r="R1296" s="914"/>
    </row>
    <row r="1297" spans="1:18" s="178" customFormat="1" x14ac:dyDescent="0.25">
      <c r="A1297" s="225" t="s">
        <v>2696</v>
      </c>
      <c r="B1297" s="319" t="s">
        <v>2697</v>
      </c>
      <c r="D1297" s="656">
        <v>44</v>
      </c>
      <c r="E1297" s="628" t="s">
        <v>2698</v>
      </c>
      <c r="F1297" s="226">
        <v>35</v>
      </c>
      <c r="G1297" s="178">
        <v>735</v>
      </c>
      <c r="H1297" s="226">
        <f t="shared" ref="H1297:H1316" si="324">20*16</f>
        <v>320</v>
      </c>
      <c r="I1297" s="820">
        <f t="shared" ref="I1297:I1316" si="325">+F1297/G1297*H1297</f>
        <v>15.238095238095237</v>
      </c>
      <c r="J1297" s="820">
        <f t="shared" ref="J1297:J1316" si="326">+F1297+I1297</f>
        <v>50.238095238095241</v>
      </c>
      <c r="K1297" s="228"/>
      <c r="L1297" s="226">
        <f t="shared" ref="L1297:L1316" si="327">+J1297*1.4</f>
        <v>70.333333333333329</v>
      </c>
      <c r="M1297" s="226">
        <v>110</v>
      </c>
      <c r="N1297" s="226"/>
      <c r="R1297" s="914"/>
    </row>
    <row r="1298" spans="1:18" s="178" customFormat="1" hidden="1" x14ac:dyDescent="0.25">
      <c r="A1298" s="225" t="s">
        <v>2696</v>
      </c>
      <c r="B1298" s="319" t="s">
        <v>2697</v>
      </c>
      <c r="D1298" s="656">
        <v>46</v>
      </c>
      <c r="E1298" s="708" t="s">
        <v>2698</v>
      </c>
      <c r="F1298" s="232">
        <v>35</v>
      </c>
      <c r="G1298" s="213">
        <v>735</v>
      </c>
      <c r="H1298" s="232">
        <f t="shared" si="324"/>
        <v>320</v>
      </c>
      <c r="I1298" s="863">
        <f t="shared" si="325"/>
        <v>15.238095238095237</v>
      </c>
      <c r="J1298" s="863">
        <f t="shared" si="326"/>
        <v>50.238095238095241</v>
      </c>
      <c r="K1298" s="864"/>
      <c r="L1298" s="232">
        <f t="shared" si="327"/>
        <v>70.333333333333329</v>
      </c>
      <c r="M1298" s="232">
        <v>110</v>
      </c>
      <c r="N1298" s="226"/>
      <c r="P1298" s="178" t="s">
        <v>12</v>
      </c>
      <c r="Q1298" s="229">
        <v>45457</v>
      </c>
      <c r="R1298" s="914">
        <f>+M1298*14.5</f>
        <v>1595</v>
      </c>
    </row>
    <row r="1299" spans="1:18" s="178" customFormat="1" hidden="1" x14ac:dyDescent="0.25">
      <c r="A1299" s="225" t="s">
        <v>2696</v>
      </c>
      <c r="B1299" s="319" t="s">
        <v>2697</v>
      </c>
      <c r="D1299" s="656">
        <v>48</v>
      </c>
      <c r="E1299" s="708" t="s">
        <v>2698</v>
      </c>
      <c r="F1299" s="232">
        <v>35</v>
      </c>
      <c r="G1299" s="213">
        <v>735</v>
      </c>
      <c r="H1299" s="232">
        <f t="shared" si="324"/>
        <v>320</v>
      </c>
      <c r="I1299" s="863">
        <f t="shared" si="325"/>
        <v>15.238095238095237</v>
      </c>
      <c r="J1299" s="863">
        <f t="shared" si="326"/>
        <v>50.238095238095241</v>
      </c>
      <c r="K1299" s="864"/>
      <c r="L1299" s="232">
        <f t="shared" si="327"/>
        <v>70.333333333333329</v>
      </c>
      <c r="M1299" s="232">
        <v>110</v>
      </c>
      <c r="N1299" s="226"/>
      <c r="P1299" s="178" t="s">
        <v>568</v>
      </c>
      <c r="Q1299" s="229">
        <v>45456</v>
      </c>
      <c r="R1299" s="914">
        <f>+M1299*14.5</f>
        <v>1595</v>
      </c>
    </row>
    <row r="1300" spans="1:18" s="178" customFormat="1" hidden="1" x14ac:dyDescent="0.25">
      <c r="A1300" s="225" t="s">
        <v>2696</v>
      </c>
      <c r="B1300" s="319" t="s">
        <v>2697</v>
      </c>
      <c r="D1300" s="656">
        <v>50</v>
      </c>
      <c r="E1300" s="711" t="s">
        <v>2698</v>
      </c>
      <c r="F1300" s="713">
        <v>35</v>
      </c>
      <c r="G1300" s="804">
        <v>735</v>
      </c>
      <c r="H1300" s="713">
        <f t="shared" si="324"/>
        <v>320</v>
      </c>
      <c r="I1300" s="860">
        <f t="shared" si="325"/>
        <v>15.238095238095237</v>
      </c>
      <c r="J1300" s="860">
        <f t="shared" si="326"/>
        <v>50.238095238095241</v>
      </c>
      <c r="K1300" s="861"/>
      <c r="L1300" s="713">
        <f t="shared" si="327"/>
        <v>70.333333333333329</v>
      </c>
      <c r="M1300" s="713">
        <v>110</v>
      </c>
      <c r="N1300" s="226"/>
      <c r="P1300" s="178" t="s">
        <v>1823</v>
      </c>
      <c r="Q1300" s="229">
        <v>45447</v>
      </c>
      <c r="R1300" s="914"/>
    </row>
    <row r="1301" spans="1:18" s="178" customFormat="1" x14ac:dyDescent="0.25">
      <c r="A1301" s="225" t="s">
        <v>2696</v>
      </c>
      <c r="B1301" s="319" t="s">
        <v>2697</v>
      </c>
      <c r="D1301" s="656">
        <v>52</v>
      </c>
      <c r="E1301" s="628" t="s">
        <v>2698</v>
      </c>
      <c r="F1301" s="226">
        <v>35</v>
      </c>
      <c r="G1301" s="178">
        <v>735</v>
      </c>
      <c r="H1301" s="226">
        <f t="shared" si="324"/>
        <v>320</v>
      </c>
      <c r="I1301" s="820">
        <f t="shared" si="325"/>
        <v>15.238095238095237</v>
      </c>
      <c r="J1301" s="820">
        <f t="shared" si="326"/>
        <v>50.238095238095241</v>
      </c>
      <c r="K1301" s="228"/>
      <c r="L1301" s="226">
        <f t="shared" si="327"/>
        <v>70.333333333333329</v>
      </c>
      <c r="M1301" s="226">
        <v>110</v>
      </c>
      <c r="N1301" s="226"/>
      <c r="R1301" s="914"/>
    </row>
    <row r="1302" spans="1:18" s="178" customFormat="1" hidden="1" x14ac:dyDescent="0.25">
      <c r="A1302" s="225" t="s">
        <v>2696</v>
      </c>
      <c r="B1302" s="319" t="s">
        <v>2697</v>
      </c>
      <c r="D1302" s="656">
        <v>54</v>
      </c>
      <c r="E1302" s="708" t="s">
        <v>2698</v>
      </c>
      <c r="F1302" s="232">
        <v>35</v>
      </c>
      <c r="G1302" s="213">
        <v>735</v>
      </c>
      <c r="H1302" s="232">
        <f t="shared" si="324"/>
        <v>320</v>
      </c>
      <c r="I1302" s="863">
        <f t="shared" si="325"/>
        <v>15.238095238095237</v>
      </c>
      <c r="J1302" s="863">
        <f t="shared" si="326"/>
        <v>50.238095238095241</v>
      </c>
      <c r="K1302" s="864"/>
      <c r="L1302" s="232">
        <f t="shared" si="327"/>
        <v>70.333333333333329</v>
      </c>
      <c r="M1302" s="232">
        <v>110</v>
      </c>
      <c r="N1302" s="226"/>
      <c r="P1302" s="178" t="s">
        <v>2598</v>
      </c>
      <c r="Q1302" s="229">
        <v>45447</v>
      </c>
      <c r="R1302" s="914">
        <f>+M1302*14.5</f>
        <v>1595</v>
      </c>
    </row>
    <row r="1303" spans="1:18" s="178" customFormat="1" x14ac:dyDescent="0.25">
      <c r="A1303" s="225" t="s">
        <v>2696</v>
      </c>
      <c r="B1303" s="319" t="s">
        <v>2697</v>
      </c>
      <c r="D1303" s="656">
        <v>42</v>
      </c>
      <c r="E1303" s="628" t="s">
        <v>2699</v>
      </c>
      <c r="F1303" s="226">
        <v>35</v>
      </c>
      <c r="G1303" s="178">
        <v>735</v>
      </c>
      <c r="H1303" s="226">
        <f t="shared" si="324"/>
        <v>320</v>
      </c>
      <c r="I1303" s="820">
        <f t="shared" si="325"/>
        <v>15.238095238095237</v>
      </c>
      <c r="J1303" s="820">
        <f t="shared" si="326"/>
        <v>50.238095238095241</v>
      </c>
      <c r="K1303" s="228"/>
      <c r="L1303" s="226">
        <f t="shared" si="327"/>
        <v>70.333333333333329</v>
      </c>
      <c r="M1303" s="226">
        <v>110</v>
      </c>
      <c r="N1303" s="226"/>
      <c r="R1303" s="914"/>
    </row>
    <row r="1304" spans="1:18" s="178" customFormat="1" x14ac:dyDescent="0.25">
      <c r="A1304" s="225" t="s">
        <v>2696</v>
      </c>
      <c r="B1304" s="319" t="s">
        <v>2697</v>
      </c>
      <c r="D1304" s="656">
        <v>44</v>
      </c>
      <c r="E1304" s="628" t="s">
        <v>2699</v>
      </c>
      <c r="F1304" s="226">
        <v>35</v>
      </c>
      <c r="G1304" s="178">
        <v>735</v>
      </c>
      <c r="H1304" s="226">
        <f t="shared" si="324"/>
        <v>320</v>
      </c>
      <c r="I1304" s="820">
        <f t="shared" si="325"/>
        <v>15.238095238095237</v>
      </c>
      <c r="J1304" s="820">
        <f t="shared" si="326"/>
        <v>50.238095238095241</v>
      </c>
      <c r="K1304" s="228"/>
      <c r="L1304" s="226">
        <f t="shared" si="327"/>
        <v>70.333333333333329</v>
      </c>
      <c r="M1304" s="226">
        <v>110</v>
      </c>
      <c r="N1304" s="226"/>
      <c r="R1304" s="914"/>
    </row>
    <row r="1305" spans="1:18" s="178" customFormat="1" hidden="1" x14ac:dyDescent="0.25">
      <c r="A1305" s="225" t="s">
        <v>2696</v>
      </c>
      <c r="B1305" s="319" t="s">
        <v>2697</v>
      </c>
      <c r="D1305" s="656">
        <v>46</v>
      </c>
      <c r="E1305" s="708" t="s">
        <v>2699</v>
      </c>
      <c r="F1305" s="232">
        <v>35</v>
      </c>
      <c r="G1305" s="213">
        <v>735</v>
      </c>
      <c r="H1305" s="232">
        <f t="shared" si="324"/>
        <v>320</v>
      </c>
      <c r="I1305" s="863">
        <f t="shared" si="325"/>
        <v>15.238095238095237</v>
      </c>
      <c r="J1305" s="863">
        <f t="shared" si="326"/>
        <v>50.238095238095241</v>
      </c>
      <c r="K1305" s="864"/>
      <c r="L1305" s="232">
        <f t="shared" si="327"/>
        <v>70.333333333333329</v>
      </c>
      <c r="M1305" s="232">
        <v>110</v>
      </c>
      <c r="N1305" s="226"/>
      <c r="P1305" s="178" t="s">
        <v>2809</v>
      </c>
      <c r="Q1305" s="229">
        <v>45456</v>
      </c>
      <c r="R1305" s="914">
        <f>+M1306*14.5</f>
        <v>1595</v>
      </c>
    </row>
    <row r="1306" spans="1:18" s="178" customFormat="1" hidden="1" x14ac:dyDescent="0.25">
      <c r="A1306" s="225" t="s">
        <v>2696</v>
      </c>
      <c r="B1306" s="319" t="s">
        <v>2697</v>
      </c>
      <c r="D1306" s="656">
        <v>48</v>
      </c>
      <c r="E1306" s="708" t="s">
        <v>2699</v>
      </c>
      <c r="F1306" s="232">
        <v>35</v>
      </c>
      <c r="G1306" s="213">
        <v>735</v>
      </c>
      <c r="H1306" s="232">
        <f t="shared" si="324"/>
        <v>320</v>
      </c>
      <c r="I1306" s="863">
        <f t="shared" si="325"/>
        <v>15.238095238095237</v>
      </c>
      <c r="J1306" s="863">
        <f t="shared" si="326"/>
        <v>50.238095238095241</v>
      </c>
      <c r="K1306" s="864"/>
      <c r="L1306" s="232">
        <f t="shared" si="327"/>
        <v>70.333333333333329</v>
      </c>
      <c r="M1306" s="232">
        <v>110</v>
      </c>
      <c r="N1306" s="226"/>
      <c r="P1306" s="178" t="s">
        <v>12</v>
      </c>
      <c r="Q1306" s="229">
        <v>45458</v>
      </c>
      <c r="R1306" s="178">
        <f>+M1306*14.5</f>
        <v>1595</v>
      </c>
    </row>
    <row r="1307" spans="1:18" s="178" customFormat="1" x14ac:dyDescent="0.25">
      <c r="A1307" s="225" t="s">
        <v>2696</v>
      </c>
      <c r="B1307" s="319" t="s">
        <v>2697</v>
      </c>
      <c r="D1307" s="656">
        <v>50</v>
      </c>
      <c r="E1307" s="628" t="s">
        <v>2699</v>
      </c>
      <c r="F1307" s="226">
        <v>35</v>
      </c>
      <c r="G1307" s="178">
        <v>735</v>
      </c>
      <c r="H1307" s="226">
        <f t="shared" si="324"/>
        <v>320</v>
      </c>
      <c r="I1307" s="820">
        <f t="shared" si="325"/>
        <v>15.238095238095237</v>
      </c>
      <c r="J1307" s="820">
        <f t="shared" si="326"/>
        <v>50.238095238095241</v>
      </c>
      <c r="K1307" s="228"/>
      <c r="L1307" s="226">
        <f t="shared" si="327"/>
        <v>70.333333333333329</v>
      </c>
      <c r="M1307" s="226">
        <v>110</v>
      </c>
      <c r="N1307" s="226"/>
      <c r="R1307" s="914"/>
    </row>
    <row r="1308" spans="1:18" s="178" customFormat="1" hidden="1" x14ac:dyDescent="0.25">
      <c r="A1308" s="225" t="s">
        <v>2696</v>
      </c>
      <c r="B1308" s="319" t="s">
        <v>2697</v>
      </c>
      <c r="D1308" s="656">
        <v>52</v>
      </c>
      <c r="E1308" s="708" t="s">
        <v>2699</v>
      </c>
      <c r="F1308" s="232">
        <v>35</v>
      </c>
      <c r="G1308" s="213">
        <v>735</v>
      </c>
      <c r="H1308" s="232">
        <f t="shared" si="324"/>
        <v>320</v>
      </c>
      <c r="I1308" s="863">
        <f t="shared" si="325"/>
        <v>15.238095238095237</v>
      </c>
      <c r="J1308" s="863">
        <f t="shared" si="326"/>
        <v>50.238095238095241</v>
      </c>
      <c r="K1308" s="864"/>
      <c r="L1308" s="232">
        <f t="shared" si="327"/>
        <v>70.333333333333329</v>
      </c>
      <c r="M1308" s="232">
        <v>100</v>
      </c>
      <c r="N1308" s="226"/>
      <c r="P1308" s="178" t="s">
        <v>2069</v>
      </c>
      <c r="Q1308" s="229">
        <v>45456</v>
      </c>
      <c r="R1308" s="914">
        <f>+M1308*14.5</f>
        <v>1450</v>
      </c>
    </row>
    <row r="1309" spans="1:18" s="178" customFormat="1" hidden="1" x14ac:dyDescent="0.25">
      <c r="A1309" s="225" t="s">
        <v>2696</v>
      </c>
      <c r="B1309" s="319" t="s">
        <v>2697</v>
      </c>
      <c r="D1309" s="656">
        <v>54</v>
      </c>
      <c r="E1309" s="708" t="s">
        <v>2699</v>
      </c>
      <c r="F1309" s="232">
        <v>35</v>
      </c>
      <c r="G1309" s="213">
        <v>735</v>
      </c>
      <c r="H1309" s="232">
        <f t="shared" si="324"/>
        <v>320</v>
      </c>
      <c r="I1309" s="863">
        <f t="shared" si="325"/>
        <v>15.238095238095237</v>
      </c>
      <c r="J1309" s="863">
        <f t="shared" si="326"/>
        <v>50.238095238095241</v>
      </c>
      <c r="K1309" s="864"/>
      <c r="L1309" s="232">
        <f t="shared" si="327"/>
        <v>70.333333333333329</v>
      </c>
      <c r="M1309" s="232">
        <v>125</v>
      </c>
      <c r="N1309" s="226"/>
      <c r="P1309" s="178" t="s">
        <v>12</v>
      </c>
      <c r="Q1309" s="229">
        <v>45453</v>
      </c>
      <c r="R1309" s="914">
        <f>+M1309*14.5</f>
        <v>1812.5</v>
      </c>
    </row>
    <row r="1310" spans="1:18" s="178" customFormat="1" hidden="1" x14ac:dyDescent="0.25">
      <c r="A1310" s="225" t="s">
        <v>2696</v>
      </c>
      <c r="B1310" s="319" t="s">
        <v>2697</v>
      </c>
      <c r="D1310" s="656">
        <v>42</v>
      </c>
      <c r="E1310" s="708" t="s">
        <v>2700</v>
      </c>
      <c r="F1310" s="232">
        <v>35</v>
      </c>
      <c r="G1310" s="213">
        <v>735</v>
      </c>
      <c r="H1310" s="232">
        <f t="shared" si="324"/>
        <v>320</v>
      </c>
      <c r="I1310" s="863">
        <f t="shared" si="325"/>
        <v>15.238095238095237</v>
      </c>
      <c r="J1310" s="863">
        <f t="shared" si="326"/>
        <v>50.238095238095241</v>
      </c>
      <c r="K1310" s="864"/>
      <c r="L1310" s="232">
        <f t="shared" si="327"/>
        <v>70.333333333333329</v>
      </c>
      <c r="M1310" s="232">
        <v>110</v>
      </c>
      <c r="N1310" s="226"/>
      <c r="P1310" s="178" t="s">
        <v>1908</v>
      </c>
      <c r="Q1310" s="229">
        <v>45447</v>
      </c>
      <c r="R1310" s="914">
        <f>+M1310*14.5</f>
        <v>1595</v>
      </c>
    </row>
    <row r="1311" spans="1:18" s="178" customFormat="1" hidden="1" x14ac:dyDescent="0.25">
      <c r="A1311" s="225" t="s">
        <v>2696</v>
      </c>
      <c r="B1311" s="319" t="s">
        <v>2697</v>
      </c>
      <c r="D1311" s="656">
        <v>44</v>
      </c>
      <c r="E1311" s="708" t="s">
        <v>2700</v>
      </c>
      <c r="F1311" s="232">
        <v>35</v>
      </c>
      <c r="G1311" s="213">
        <v>735</v>
      </c>
      <c r="H1311" s="232">
        <f t="shared" si="324"/>
        <v>320</v>
      </c>
      <c r="I1311" s="863">
        <f t="shared" si="325"/>
        <v>15.238095238095237</v>
      </c>
      <c r="J1311" s="863">
        <f t="shared" si="326"/>
        <v>50.238095238095241</v>
      </c>
      <c r="K1311" s="864"/>
      <c r="L1311" s="232">
        <f t="shared" si="327"/>
        <v>70.333333333333329</v>
      </c>
      <c r="M1311" s="232">
        <v>110</v>
      </c>
      <c r="N1311" s="226"/>
      <c r="P1311" s="178" t="s">
        <v>12</v>
      </c>
      <c r="Q1311" s="229">
        <v>45469</v>
      </c>
      <c r="R1311" s="914"/>
    </row>
    <row r="1312" spans="1:18" s="178" customFormat="1" hidden="1" x14ac:dyDescent="0.25">
      <c r="A1312" s="225" t="s">
        <v>2696</v>
      </c>
      <c r="B1312" s="319" t="s">
        <v>2697</v>
      </c>
      <c r="D1312" s="656">
        <v>46</v>
      </c>
      <c r="E1312" s="708" t="s">
        <v>2700</v>
      </c>
      <c r="F1312" s="232">
        <v>35</v>
      </c>
      <c r="G1312" s="213">
        <v>735</v>
      </c>
      <c r="H1312" s="232">
        <f t="shared" si="324"/>
        <v>320</v>
      </c>
      <c r="I1312" s="863">
        <f t="shared" si="325"/>
        <v>15.238095238095237</v>
      </c>
      <c r="J1312" s="863">
        <f t="shared" si="326"/>
        <v>50.238095238095241</v>
      </c>
      <c r="K1312" s="864"/>
      <c r="L1312" s="232">
        <f t="shared" si="327"/>
        <v>70.333333333333329</v>
      </c>
      <c r="M1312" s="232">
        <v>110</v>
      </c>
      <c r="N1312" s="226"/>
      <c r="P1312" s="178" t="s">
        <v>2745</v>
      </c>
      <c r="Q1312" s="229">
        <v>45449</v>
      </c>
      <c r="R1312" s="914">
        <f>+M1312*14.5</f>
        <v>1595</v>
      </c>
    </row>
    <row r="1313" spans="1:20" s="178" customFormat="1" hidden="1" x14ac:dyDescent="0.25">
      <c r="A1313" s="225" t="s">
        <v>2696</v>
      </c>
      <c r="B1313" s="319" t="s">
        <v>2697</v>
      </c>
      <c r="D1313" s="656">
        <v>48</v>
      </c>
      <c r="E1313" s="708" t="s">
        <v>2700</v>
      </c>
      <c r="F1313" s="232">
        <v>35</v>
      </c>
      <c r="G1313" s="213">
        <v>735</v>
      </c>
      <c r="H1313" s="232">
        <f t="shared" si="324"/>
        <v>320</v>
      </c>
      <c r="I1313" s="863">
        <f t="shared" si="325"/>
        <v>15.238095238095237</v>
      </c>
      <c r="J1313" s="863">
        <f t="shared" si="326"/>
        <v>50.238095238095241</v>
      </c>
      <c r="K1313" s="864"/>
      <c r="L1313" s="232">
        <f t="shared" si="327"/>
        <v>70.333333333333329</v>
      </c>
      <c r="M1313" s="232">
        <v>110</v>
      </c>
      <c r="N1313" s="226"/>
      <c r="P1313" s="178" t="s">
        <v>732</v>
      </c>
      <c r="Q1313" s="229">
        <v>45453</v>
      </c>
      <c r="R1313" s="914">
        <f>+M1313*14.5</f>
        <v>1595</v>
      </c>
    </row>
    <row r="1314" spans="1:20" s="178" customFormat="1" hidden="1" x14ac:dyDescent="0.25">
      <c r="A1314" s="225" t="s">
        <v>2696</v>
      </c>
      <c r="B1314" s="319" t="s">
        <v>2697</v>
      </c>
      <c r="D1314" s="656">
        <v>50</v>
      </c>
      <c r="E1314" s="708" t="s">
        <v>2700</v>
      </c>
      <c r="F1314" s="232">
        <v>35</v>
      </c>
      <c r="G1314" s="213">
        <v>735</v>
      </c>
      <c r="H1314" s="232">
        <f t="shared" si="324"/>
        <v>320</v>
      </c>
      <c r="I1314" s="863">
        <f t="shared" si="325"/>
        <v>15.238095238095237</v>
      </c>
      <c r="J1314" s="863">
        <f t="shared" si="326"/>
        <v>50.238095238095241</v>
      </c>
      <c r="K1314" s="864"/>
      <c r="L1314" s="232">
        <f t="shared" si="327"/>
        <v>70.333333333333329</v>
      </c>
      <c r="M1314" s="232">
        <v>110</v>
      </c>
      <c r="N1314" s="226"/>
      <c r="P1314" s="178" t="s">
        <v>2955</v>
      </c>
      <c r="Q1314" s="229">
        <v>45477</v>
      </c>
      <c r="R1314" s="914"/>
    </row>
    <row r="1315" spans="1:20" s="178" customFormat="1" hidden="1" x14ac:dyDescent="0.25">
      <c r="A1315" s="225" t="s">
        <v>2696</v>
      </c>
      <c r="B1315" s="319" t="s">
        <v>2697</v>
      </c>
      <c r="D1315" s="656">
        <v>52</v>
      </c>
      <c r="E1315" s="708" t="s">
        <v>2700</v>
      </c>
      <c r="F1315" s="232">
        <v>35</v>
      </c>
      <c r="G1315" s="213">
        <v>735</v>
      </c>
      <c r="H1315" s="232">
        <f t="shared" si="324"/>
        <v>320</v>
      </c>
      <c r="I1315" s="863">
        <f t="shared" si="325"/>
        <v>15.238095238095237</v>
      </c>
      <c r="J1315" s="863">
        <f t="shared" si="326"/>
        <v>50.238095238095241</v>
      </c>
      <c r="K1315" s="864"/>
      <c r="L1315" s="232">
        <f t="shared" si="327"/>
        <v>70.333333333333329</v>
      </c>
      <c r="M1315" s="232">
        <v>110</v>
      </c>
      <c r="N1315" s="226"/>
      <c r="P1315" s="178" t="s">
        <v>2906</v>
      </c>
      <c r="Q1315" s="229">
        <v>45471</v>
      </c>
      <c r="R1315" s="914"/>
    </row>
    <row r="1316" spans="1:20" s="178" customFormat="1" x14ac:dyDescent="0.25">
      <c r="A1316" s="225" t="s">
        <v>2696</v>
      </c>
      <c r="B1316" s="319" t="s">
        <v>2697</v>
      </c>
      <c r="D1316" s="656">
        <v>54</v>
      </c>
      <c r="E1316" s="628" t="s">
        <v>2700</v>
      </c>
      <c r="F1316" s="226">
        <v>35</v>
      </c>
      <c r="G1316" s="178">
        <v>735</v>
      </c>
      <c r="H1316" s="226">
        <f t="shared" si="324"/>
        <v>320</v>
      </c>
      <c r="I1316" s="820">
        <f t="shared" si="325"/>
        <v>15.238095238095237</v>
      </c>
      <c r="J1316" s="820">
        <f t="shared" si="326"/>
        <v>50.238095238095241</v>
      </c>
      <c r="K1316" s="228"/>
      <c r="L1316" s="226">
        <f t="shared" si="327"/>
        <v>70.333333333333329</v>
      </c>
      <c r="M1316" s="226">
        <v>110</v>
      </c>
      <c r="N1316" s="226" t="s">
        <v>2711</v>
      </c>
      <c r="R1316" s="914"/>
    </row>
    <row r="1317" spans="1:20" s="395" customFormat="1" ht="15.75" outlineLevel="1" x14ac:dyDescent="0.25">
      <c r="A1317" s="154"/>
      <c r="C1317" s="500"/>
      <c r="D1317" s="500"/>
      <c r="E1317" s="393" t="s">
        <v>295</v>
      </c>
      <c r="F1317" s="167">
        <f t="shared" ref="F1317:M1317" si="328">SUM(F1239:F1251)</f>
        <v>150</v>
      </c>
      <c r="G1317" s="167">
        <f t="shared" si="328"/>
        <v>63013</v>
      </c>
      <c r="H1317" s="167">
        <f t="shared" si="328"/>
        <v>114703</v>
      </c>
      <c r="I1317" s="167" t="e">
        <f t="shared" si="328"/>
        <v>#REF!</v>
      </c>
      <c r="J1317" s="167" t="e">
        <f t="shared" si="328"/>
        <v>#REF!</v>
      </c>
      <c r="K1317" s="167">
        <f t="shared" si="328"/>
        <v>2.9999999999999996</v>
      </c>
      <c r="L1317" s="167">
        <f>SUM(L1239:L1251)</f>
        <v>453.64777544390824</v>
      </c>
      <c r="M1317" s="167">
        <f t="shared" si="328"/>
        <v>680</v>
      </c>
      <c r="N1317" s="404"/>
      <c r="O1317" s="167"/>
      <c r="P1317" s="167"/>
      <c r="Q1317" s="853"/>
      <c r="R1317" s="926"/>
      <c r="S1317" s="149"/>
      <c r="T1317" s="149"/>
    </row>
    <row r="1318" spans="1:20" s="395" customFormat="1" ht="15.75" outlineLevel="1" x14ac:dyDescent="0.25">
      <c r="A1318" s="154"/>
      <c r="C1318" s="500">
        <v>48</v>
      </c>
      <c r="D1318" s="500">
        <v>-26</v>
      </c>
      <c r="E1318" s="393">
        <f>+C1318+D1318</f>
        <v>22</v>
      </c>
      <c r="F1318" s="167"/>
      <c r="G1318" s="167"/>
      <c r="H1318" s="167"/>
      <c r="I1318" s="167"/>
      <c r="J1318" s="167"/>
      <c r="K1318" s="167"/>
      <c r="L1318" s="394">
        <f t="shared" si="310"/>
        <v>0</v>
      </c>
      <c r="M1318" s="731">
        <f>+M1317/F1317</f>
        <v>4.5333333333333332</v>
      </c>
      <c r="N1318" s="744"/>
      <c r="O1318" s="167"/>
      <c r="P1318" s="167"/>
      <c r="Q1318" s="853"/>
      <c r="R1318" s="926"/>
      <c r="S1318" s="149"/>
      <c r="T1318" s="149"/>
    </row>
    <row r="1319" spans="1:20" s="395" customFormat="1" ht="15.75" outlineLevel="1" x14ac:dyDescent="0.25">
      <c r="A1319" s="154"/>
      <c r="C1319" s="500"/>
      <c r="D1319" s="500"/>
      <c r="E1319" s="393"/>
      <c r="F1319" s="167"/>
      <c r="G1319" s="167"/>
      <c r="H1319" s="167"/>
      <c r="I1319" s="167"/>
      <c r="J1319" s="167"/>
      <c r="K1319" s="167"/>
      <c r="L1319" s="394"/>
      <c r="M1319" s="731"/>
      <c r="N1319" s="744"/>
      <c r="O1319" s="167"/>
      <c r="P1319" s="167"/>
      <c r="Q1319" s="853"/>
      <c r="R1319" s="926"/>
      <c r="S1319" s="149"/>
      <c r="T1319" s="149"/>
    </row>
    <row r="1320" spans="1:20" s="395" customFormat="1" ht="21" outlineLevel="1" x14ac:dyDescent="0.35">
      <c r="A1320" s="154"/>
      <c r="E1320" s="670" t="s">
        <v>261</v>
      </c>
      <c r="F1320" s="167"/>
      <c r="I1320" s="394"/>
      <c r="J1320" s="394"/>
      <c r="L1320" s="394">
        <f t="shared" si="310"/>
        <v>0</v>
      </c>
      <c r="M1320" s="394"/>
      <c r="N1320" s="504"/>
      <c r="O1320" s="179"/>
      <c r="Q1320" s="833"/>
      <c r="R1320" s="396"/>
      <c r="S1320" s="149"/>
      <c r="T1320" s="149"/>
    </row>
    <row r="1321" spans="1:20" s="494" customFormat="1" ht="15.75" outlineLevel="1" x14ac:dyDescent="0.25">
      <c r="A1321" s="682"/>
      <c r="B1321" s="494" t="s">
        <v>203</v>
      </c>
      <c r="C1321" s="494">
        <v>1</v>
      </c>
      <c r="E1321" s="494" t="s">
        <v>635</v>
      </c>
      <c r="F1321" s="404">
        <v>20</v>
      </c>
      <c r="G1321" s="494">
        <v>8277</v>
      </c>
      <c r="H1321" s="494">
        <v>15182</v>
      </c>
      <c r="I1321" s="504">
        <f>+F1321/G1321*H1321</f>
        <v>36.684789174821795</v>
      </c>
      <c r="J1321" s="504">
        <f>+F1321+I1321</f>
        <v>56.684789174821795</v>
      </c>
      <c r="K1321" s="586">
        <v>0.3</v>
      </c>
      <c r="L1321" s="504">
        <f t="shared" si="310"/>
        <v>73.69022592726833</v>
      </c>
      <c r="M1321" s="504">
        <v>80</v>
      </c>
      <c r="N1321" s="504"/>
      <c r="Q1321" s="841"/>
      <c r="R1321" s="927"/>
      <c r="S1321" s="113"/>
      <c r="T1321" s="113"/>
    </row>
    <row r="1322" spans="1:20" s="395" customFormat="1" ht="15.75" outlineLevel="1" x14ac:dyDescent="0.25">
      <c r="A1322" s="154"/>
      <c r="B1322" s="393" t="s">
        <v>392</v>
      </c>
      <c r="F1322" s="394"/>
      <c r="I1322" s="394"/>
      <c r="J1322" s="394"/>
      <c r="K1322" s="492"/>
      <c r="L1322" s="394">
        <f t="shared" si="310"/>
        <v>0</v>
      </c>
      <c r="N1322" s="494"/>
      <c r="Q1322" s="833"/>
      <c r="R1322" s="912"/>
      <c r="S1322" s="149"/>
      <c r="T1322" s="149"/>
    </row>
    <row r="1323" spans="1:20" s="494" customFormat="1" ht="15.75" outlineLevel="1" x14ac:dyDescent="0.25">
      <c r="B1323" s="494" t="s">
        <v>203</v>
      </c>
      <c r="C1323" s="494">
        <v>2</v>
      </c>
      <c r="E1323" s="494" t="s">
        <v>636</v>
      </c>
      <c r="F1323" s="504">
        <v>24</v>
      </c>
      <c r="G1323" s="494">
        <v>1278</v>
      </c>
      <c r="H1323" s="504">
        <f>1278+671</f>
        <v>1949</v>
      </c>
      <c r="I1323" s="504">
        <f>+F1323/G1323*H1323</f>
        <v>36.600938967136152</v>
      </c>
      <c r="J1323" s="504">
        <f>+F1323+I1323</f>
        <v>60.600938967136152</v>
      </c>
      <c r="K1323" s="671">
        <v>0.3</v>
      </c>
      <c r="L1323" s="504">
        <f t="shared" si="310"/>
        <v>78.781220657277004</v>
      </c>
      <c r="M1323" s="504">
        <v>90</v>
      </c>
      <c r="N1323" s="504"/>
      <c r="Q1323" s="841"/>
      <c r="R1323" s="918"/>
    </row>
    <row r="1324" spans="1:20" s="395" customFormat="1" ht="15.75" outlineLevel="1" x14ac:dyDescent="0.25">
      <c r="B1324" s="395" t="s">
        <v>203</v>
      </c>
      <c r="C1324" s="395">
        <v>3</v>
      </c>
      <c r="E1324" s="395" t="s">
        <v>388</v>
      </c>
      <c r="F1324" s="394">
        <v>24</v>
      </c>
      <c r="G1324" s="395">
        <v>1278</v>
      </c>
      <c r="H1324" s="394">
        <f>1278+671</f>
        <v>1949</v>
      </c>
      <c r="I1324" s="394">
        <f>+F1324/G1324*H1324</f>
        <v>36.600938967136152</v>
      </c>
      <c r="J1324" s="394">
        <f>+F1324+I1324</f>
        <v>60.600938967136152</v>
      </c>
      <c r="K1324" s="491">
        <v>0.3</v>
      </c>
      <c r="L1324" s="394">
        <f t="shared" si="310"/>
        <v>78.781220657277004</v>
      </c>
      <c r="M1324" s="394">
        <v>85</v>
      </c>
      <c r="N1324" s="504"/>
      <c r="O1324" s="362"/>
      <c r="P1324" s="362" t="s">
        <v>2422</v>
      </c>
      <c r="Q1324" s="833"/>
      <c r="R1324" s="396"/>
    </row>
    <row r="1325" spans="1:20" s="395" customFormat="1" ht="15.75" outlineLevel="1" x14ac:dyDescent="0.25">
      <c r="B1325" s="395" t="s">
        <v>203</v>
      </c>
      <c r="C1325" s="395">
        <v>4</v>
      </c>
      <c r="E1325" s="395" t="s">
        <v>388</v>
      </c>
      <c r="F1325" s="394">
        <v>22</v>
      </c>
      <c r="G1325" s="395">
        <v>1278</v>
      </c>
      <c r="H1325" s="394">
        <f>1278+671</f>
        <v>1949</v>
      </c>
      <c r="I1325" s="394">
        <f>+F1325/G1325*H1325</f>
        <v>33.550860719874805</v>
      </c>
      <c r="J1325" s="394">
        <f>+F1325+I1325</f>
        <v>55.550860719874805</v>
      </c>
      <c r="K1325" s="491">
        <v>0.3</v>
      </c>
      <c r="L1325" s="394">
        <f t="shared" si="310"/>
        <v>72.216118935837244</v>
      </c>
      <c r="M1325" s="394">
        <v>85</v>
      </c>
      <c r="N1325" s="504"/>
      <c r="O1325" s="362"/>
      <c r="P1325" s="362" t="s">
        <v>2422</v>
      </c>
      <c r="Q1325" s="833"/>
      <c r="R1325" s="396"/>
    </row>
    <row r="1326" spans="1:20" s="395" customFormat="1" ht="15.75" outlineLevel="1" x14ac:dyDescent="0.25">
      <c r="A1326" s="393"/>
      <c r="E1326" s="393" t="s">
        <v>620</v>
      </c>
      <c r="F1326" s="394"/>
      <c r="G1326" s="394"/>
      <c r="H1326" s="394"/>
      <c r="I1326" s="394"/>
      <c r="J1326" s="394"/>
      <c r="K1326" s="491"/>
      <c r="L1326" s="394">
        <f t="shared" si="310"/>
        <v>0</v>
      </c>
      <c r="M1326" s="394"/>
      <c r="N1326" s="504"/>
      <c r="Q1326" s="833"/>
      <c r="R1326" s="396"/>
    </row>
    <row r="1327" spans="1:20" s="395" customFormat="1" ht="15.75" hidden="1" outlineLevel="1" x14ac:dyDescent="0.25">
      <c r="A1327" s="393"/>
      <c r="B1327" s="395" t="s">
        <v>203</v>
      </c>
      <c r="C1327" s="395">
        <v>5</v>
      </c>
      <c r="E1327" s="317" t="s">
        <v>2428</v>
      </c>
      <c r="F1327" s="493">
        <v>25</v>
      </c>
      <c r="G1327" s="317">
        <v>1110</v>
      </c>
      <c r="H1327" s="493">
        <f>1110*1.06+542</f>
        <v>1718.6000000000001</v>
      </c>
      <c r="I1327" s="493">
        <f>+F1327/G1327*H1327</f>
        <v>38.707207207207212</v>
      </c>
      <c r="J1327" s="493">
        <f>+F1327+I1327</f>
        <v>63.707207207207212</v>
      </c>
      <c r="K1327" s="692">
        <v>0.3</v>
      </c>
      <c r="L1327" s="493">
        <f t="shared" si="310"/>
        <v>82.819369369369383</v>
      </c>
      <c r="M1327" s="317">
        <v>85</v>
      </c>
      <c r="N1327" s="494"/>
      <c r="P1327" s="362" t="s">
        <v>2718</v>
      </c>
      <c r="Q1327" s="833">
        <v>45439</v>
      </c>
      <c r="R1327" s="396">
        <f>+M1327*14.5</f>
        <v>1232.5</v>
      </c>
    </row>
    <row r="1328" spans="1:20" s="395" customFormat="1" ht="15.75" hidden="1" outlineLevel="1" x14ac:dyDescent="0.25">
      <c r="A1328" s="393"/>
      <c r="B1328" s="395" t="s">
        <v>203</v>
      </c>
      <c r="C1328" s="395">
        <v>6</v>
      </c>
      <c r="E1328" s="317" t="s">
        <v>579</v>
      </c>
      <c r="F1328" s="493">
        <v>25</v>
      </c>
      <c r="G1328" s="317">
        <v>1110</v>
      </c>
      <c r="H1328" s="493">
        <f>1110*1.06+542</f>
        <v>1718.6000000000001</v>
      </c>
      <c r="I1328" s="493">
        <f>+F1328/G1328*H1328</f>
        <v>38.707207207207212</v>
      </c>
      <c r="J1328" s="493">
        <f>+F1328+I1328</f>
        <v>63.707207207207212</v>
      </c>
      <c r="K1328" s="692">
        <v>0.3</v>
      </c>
      <c r="L1328" s="493">
        <f t="shared" si="310"/>
        <v>82.819369369369383</v>
      </c>
      <c r="M1328" s="317">
        <v>85</v>
      </c>
      <c r="N1328" s="494"/>
      <c r="P1328" s="362" t="s">
        <v>2576</v>
      </c>
      <c r="Q1328" s="833">
        <v>45423</v>
      </c>
      <c r="R1328" s="396">
        <f>+M1328*14.4</f>
        <v>1224</v>
      </c>
    </row>
    <row r="1329" spans="1:20" s="395" customFormat="1" ht="15.75" outlineLevel="1" x14ac:dyDescent="0.25">
      <c r="A1329" s="393"/>
      <c r="B1329" s="395" t="s">
        <v>203</v>
      </c>
      <c r="C1329" s="395">
        <v>7</v>
      </c>
      <c r="E1329" s="395" t="s">
        <v>577</v>
      </c>
      <c r="F1329" s="394">
        <v>20</v>
      </c>
      <c r="G1329" s="395">
        <v>1110</v>
      </c>
      <c r="H1329" s="394">
        <f>1110*1.06+542</f>
        <v>1718.6000000000001</v>
      </c>
      <c r="I1329" s="394">
        <f>+F1329/G1329*H1329</f>
        <v>30.965765765765767</v>
      </c>
      <c r="J1329" s="394">
        <f>+F1329+I1329</f>
        <v>50.965765765765767</v>
      </c>
      <c r="K1329" s="492">
        <v>0.3</v>
      </c>
      <c r="L1329" s="394">
        <f t="shared" si="310"/>
        <v>66.255495495495495</v>
      </c>
      <c r="M1329" s="395">
        <v>75</v>
      </c>
      <c r="N1329" s="494"/>
      <c r="P1329" s="395" t="s">
        <v>1834</v>
      </c>
      <c r="Q1329" s="833"/>
      <c r="R1329" s="396"/>
    </row>
    <row r="1330" spans="1:20" s="149" customFormat="1" ht="15" customHeight="1" outlineLevel="1" x14ac:dyDescent="0.25">
      <c r="A1330" s="393"/>
      <c r="B1330" s="395" t="s">
        <v>203</v>
      </c>
      <c r="C1330" s="395">
        <v>8</v>
      </c>
      <c r="D1330" s="395"/>
      <c r="E1330" s="395" t="s">
        <v>578</v>
      </c>
      <c r="F1330" s="394">
        <v>20</v>
      </c>
      <c r="G1330" s="395">
        <v>1110</v>
      </c>
      <c r="H1330" s="394">
        <f>1110*1.06+542</f>
        <v>1718.6000000000001</v>
      </c>
      <c r="I1330" s="394">
        <f>+F1330/G1330*H1330</f>
        <v>30.965765765765767</v>
      </c>
      <c r="J1330" s="394">
        <f>+F1330+I1330</f>
        <v>50.965765765765767</v>
      </c>
      <c r="K1330" s="492">
        <v>0.3</v>
      </c>
      <c r="L1330" s="394">
        <f t="shared" si="310"/>
        <v>66.255495495495495</v>
      </c>
      <c r="M1330" s="395">
        <v>75</v>
      </c>
      <c r="N1330" s="494"/>
      <c r="O1330" s="395"/>
      <c r="P1330" s="886" t="s">
        <v>2425</v>
      </c>
      <c r="Q1330" s="833"/>
      <c r="R1330" s="396"/>
      <c r="S1330" s="395"/>
      <c r="T1330" s="395"/>
    </row>
    <row r="1331" spans="1:20" s="149" customFormat="1" ht="15" customHeight="1" outlineLevel="1" x14ac:dyDescent="0.25">
      <c r="A1331" s="393"/>
      <c r="B1331" s="395"/>
      <c r="C1331" s="395"/>
      <c r="D1331" s="395"/>
      <c r="E1331" s="393" t="s">
        <v>629</v>
      </c>
      <c r="F1331" s="394"/>
      <c r="G1331" s="395"/>
      <c r="H1331" s="394"/>
      <c r="I1331" s="498"/>
      <c r="J1331" s="394"/>
      <c r="K1331" s="492"/>
      <c r="L1331" s="394">
        <f t="shared" si="310"/>
        <v>0</v>
      </c>
      <c r="M1331" s="394"/>
      <c r="N1331" s="504"/>
      <c r="O1331" s="395"/>
      <c r="P1331" s="395"/>
      <c r="Q1331" s="833"/>
      <c r="R1331" s="396"/>
      <c r="S1331" s="395"/>
      <c r="T1331" s="395"/>
    </row>
    <row r="1332" spans="1:20" s="149" customFormat="1" ht="15" customHeight="1" outlineLevel="1" x14ac:dyDescent="0.25">
      <c r="A1332" s="395" t="s">
        <v>213</v>
      </c>
      <c r="B1332" s="395" t="s">
        <v>213</v>
      </c>
      <c r="C1332" s="395">
        <v>9</v>
      </c>
      <c r="D1332" s="395"/>
      <c r="E1332" s="395" t="s">
        <v>634</v>
      </c>
      <c r="F1332" s="167">
        <v>25</v>
      </c>
      <c r="G1332" s="179">
        <v>9148</v>
      </c>
      <c r="H1332" s="394">
        <v>14368</v>
      </c>
      <c r="I1332" s="394">
        <f t="shared" ref="I1332:I1335" si="329">+F1332/G1332*H1332</f>
        <v>39.26541320507215</v>
      </c>
      <c r="J1332" s="394">
        <f t="shared" ref="J1332:J1335" si="330">+F1332+I1332</f>
        <v>64.26541320507215</v>
      </c>
      <c r="K1332" s="492">
        <v>0.3</v>
      </c>
      <c r="L1332" s="394">
        <f t="shared" si="310"/>
        <v>83.545037166593801</v>
      </c>
      <c r="M1332" s="394">
        <v>85</v>
      </c>
      <c r="N1332" s="504"/>
      <c r="O1332" s="395"/>
      <c r="P1332" s="362" t="s">
        <v>2422</v>
      </c>
      <c r="Q1332" s="833"/>
      <c r="R1332" s="396"/>
      <c r="S1332" s="395"/>
      <c r="T1332" s="395"/>
    </row>
    <row r="1333" spans="1:20" s="395" customFormat="1" ht="15.75" outlineLevel="1" x14ac:dyDescent="0.25">
      <c r="A1333" s="395" t="s">
        <v>213</v>
      </c>
      <c r="B1333" s="395" t="s">
        <v>213</v>
      </c>
      <c r="C1333" s="395">
        <v>11</v>
      </c>
      <c r="E1333" s="395" t="s">
        <v>627</v>
      </c>
      <c r="F1333" s="167">
        <v>25</v>
      </c>
      <c r="G1333" s="179">
        <v>9148</v>
      </c>
      <c r="H1333" s="394">
        <v>14368</v>
      </c>
      <c r="I1333" s="394">
        <f t="shared" si="329"/>
        <v>39.26541320507215</v>
      </c>
      <c r="J1333" s="394">
        <f t="shared" si="330"/>
        <v>64.26541320507215</v>
      </c>
      <c r="K1333" s="492">
        <v>0.3</v>
      </c>
      <c r="L1333" s="394">
        <f t="shared" si="310"/>
        <v>83.545037166593801</v>
      </c>
      <c r="M1333" s="394">
        <v>85</v>
      </c>
      <c r="N1333" s="504"/>
      <c r="P1333" s="796" t="s">
        <v>2424</v>
      </c>
      <c r="Q1333" s="833"/>
      <c r="R1333" s="396"/>
    </row>
    <row r="1334" spans="1:20" s="395" customFormat="1" ht="15.75" outlineLevel="1" x14ac:dyDescent="0.25">
      <c r="A1334" s="395" t="s">
        <v>213</v>
      </c>
      <c r="B1334" s="395" t="s">
        <v>213</v>
      </c>
      <c r="C1334" s="395">
        <v>12</v>
      </c>
      <c r="E1334" s="395" t="s">
        <v>628</v>
      </c>
      <c r="F1334" s="167">
        <v>25</v>
      </c>
      <c r="G1334" s="179">
        <v>9148</v>
      </c>
      <c r="H1334" s="394">
        <v>14368</v>
      </c>
      <c r="I1334" s="394">
        <f t="shared" si="329"/>
        <v>39.26541320507215</v>
      </c>
      <c r="J1334" s="394">
        <f t="shared" si="330"/>
        <v>64.26541320507215</v>
      </c>
      <c r="K1334" s="492">
        <v>0.3</v>
      </c>
      <c r="L1334" s="394">
        <f t="shared" si="310"/>
        <v>83.545037166593801</v>
      </c>
      <c r="M1334" s="394">
        <v>85</v>
      </c>
      <c r="N1334" s="504"/>
      <c r="P1334" s="796" t="s">
        <v>2422</v>
      </c>
      <c r="Q1334" s="833"/>
      <c r="R1334" s="396"/>
    </row>
    <row r="1335" spans="1:20" s="395" customFormat="1" ht="15.75" outlineLevel="1" x14ac:dyDescent="0.25">
      <c r="A1335" s="395" t="s">
        <v>213</v>
      </c>
      <c r="B1335" s="395" t="s">
        <v>213</v>
      </c>
      <c r="C1335" s="395">
        <v>13</v>
      </c>
      <c r="E1335" s="395" t="s">
        <v>628</v>
      </c>
      <c r="F1335" s="167">
        <v>25</v>
      </c>
      <c r="G1335" s="179">
        <v>9148</v>
      </c>
      <c r="H1335" s="394">
        <v>14368</v>
      </c>
      <c r="I1335" s="394">
        <f t="shared" si="329"/>
        <v>39.26541320507215</v>
      </c>
      <c r="J1335" s="394">
        <f t="shared" si="330"/>
        <v>64.26541320507215</v>
      </c>
      <c r="K1335" s="492">
        <v>0.3</v>
      </c>
      <c r="L1335" s="394">
        <f t="shared" si="310"/>
        <v>83.545037166593801</v>
      </c>
      <c r="M1335" s="394">
        <v>85</v>
      </c>
      <c r="N1335" s="504"/>
      <c r="P1335" s="796" t="s">
        <v>2422</v>
      </c>
      <c r="Q1335" s="833"/>
      <c r="R1335" s="396"/>
    </row>
    <row r="1336" spans="1:20" s="395" customFormat="1" ht="15.75" outlineLevel="1" x14ac:dyDescent="0.25">
      <c r="A1336" s="154"/>
      <c r="B1336" s="395" t="s">
        <v>632</v>
      </c>
      <c r="C1336" s="395">
        <v>14</v>
      </c>
      <c r="E1336" s="395" t="s">
        <v>651</v>
      </c>
      <c r="F1336" s="394">
        <v>20</v>
      </c>
      <c r="I1336" s="394"/>
      <c r="J1336" s="394"/>
      <c r="L1336" s="394">
        <f t="shared" si="310"/>
        <v>0</v>
      </c>
      <c r="M1336" s="394">
        <v>45</v>
      </c>
      <c r="N1336" s="504"/>
      <c r="Q1336" s="833"/>
      <c r="R1336" s="396"/>
      <c r="S1336" s="149"/>
      <c r="T1336" s="149"/>
    </row>
    <row r="1337" spans="1:20" s="395" customFormat="1" ht="15.75" outlineLevel="1" x14ac:dyDescent="0.25">
      <c r="A1337" s="154"/>
      <c r="B1337" s="393" t="s">
        <v>800</v>
      </c>
      <c r="C1337" s="500"/>
      <c r="F1337" s="394"/>
      <c r="I1337" s="394"/>
      <c r="J1337" s="394"/>
      <c r="L1337" s="394"/>
      <c r="M1337" s="394"/>
      <c r="N1337" s="504"/>
      <c r="Q1337" s="833"/>
      <c r="R1337" s="396"/>
      <c r="S1337" s="149"/>
      <c r="T1337" s="149"/>
    </row>
    <row r="1338" spans="1:20" s="494" customFormat="1" ht="15.75" outlineLevel="1" x14ac:dyDescent="0.25">
      <c r="E1338" s="599" t="s">
        <v>828</v>
      </c>
      <c r="F1338" s="504">
        <v>26</v>
      </c>
      <c r="G1338" s="585">
        <v>8183</v>
      </c>
      <c r="H1338" s="504">
        <v>13183</v>
      </c>
      <c r="I1338" s="504">
        <f t="shared" ref="I1338:I1347" si="331">+F1338/G1338*H1338</f>
        <v>41.886594158621527</v>
      </c>
      <c r="J1338" s="504">
        <f t="shared" ref="J1338:J1347" si="332">+F1338+I1338</f>
        <v>67.886594158621534</v>
      </c>
      <c r="K1338" s="586">
        <v>0.3</v>
      </c>
      <c r="L1338" s="504">
        <f t="shared" si="310"/>
        <v>88.252572406207989</v>
      </c>
      <c r="M1338" s="504">
        <v>95</v>
      </c>
      <c r="N1338" s="504"/>
      <c r="Q1338" s="841"/>
      <c r="R1338" s="918"/>
    </row>
    <row r="1339" spans="1:20" s="395" customFormat="1" ht="15.75" hidden="1" outlineLevel="1" x14ac:dyDescent="0.25">
      <c r="C1339" s="395">
        <v>15</v>
      </c>
      <c r="E1339" s="693" t="s">
        <v>2427</v>
      </c>
      <c r="F1339" s="493">
        <v>26</v>
      </c>
      <c r="G1339" s="509">
        <v>8183</v>
      </c>
      <c r="H1339" s="493">
        <v>13183</v>
      </c>
      <c r="I1339" s="493">
        <f t="shared" si="331"/>
        <v>41.886594158621527</v>
      </c>
      <c r="J1339" s="493">
        <f t="shared" si="332"/>
        <v>67.886594158621534</v>
      </c>
      <c r="K1339" s="692">
        <v>0.3</v>
      </c>
      <c r="L1339" s="493">
        <f t="shared" si="310"/>
        <v>88.252572406207989</v>
      </c>
      <c r="M1339" s="493">
        <v>95</v>
      </c>
      <c r="N1339" s="504">
        <v>85</v>
      </c>
      <c r="P1339" s="362" t="s">
        <v>2608</v>
      </c>
      <c r="Q1339" s="833">
        <v>45439</v>
      </c>
      <c r="R1339" s="396">
        <f>+N1339*14.5</f>
        <v>1232.5</v>
      </c>
    </row>
    <row r="1340" spans="1:20" s="395" customFormat="1" ht="15.75" outlineLevel="1" x14ac:dyDescent="0.25">
      <c r="C1340" s="395">
        <v>16</v>
      </c>
      <c r="E1340" s="276" t="s">
        <v>829</v>
      </c>
      <c r="F1340" s="394">
        <v>26</v>
      </c>
      <c r="G1340" s="179">
        <v>8183</v>
      </c>
      <c r="H1340" s="394">
        <v>13183</v>
      </c>
      <c r="I1340" s="394">
        <f t="shared" si="331"/>
        <v>41.886594158621527</v>
      </c>
      <c r="J1340" s="394">
        <f t="shared" si="332"/>
        <v>67.886594158621534</v>
      </c>
      <c r="K1340" s="492">
        <v>0.3</v>
      </c>
      <c r="L1340" s="394">
        <f t="shared" si="310"/>
        <v>88.252572406207989</v>
      </c>
      <c r="M1340" s="394">
        <v>95</v>
      </c>
      <c r="N1340" s="504"/>
      <c r="P1340" s="362" t="s">
        <v>2422</v>
      </c>
      <c r="Q1340" s="833"/>
      <c r="R1340" s="396"/>
    </row>
    <row r="1341" spans="1:20" s="494" customFormat="1" ht="15.75" outlineLevel="1" x14ac:dyDescent="0.25">
      <c r="E1341" s="599" t="s">
        <v>829</v>
      </c>
      <c r="F1341" s="504">
        <v>26</v>
      </c>
      <c r="G1341" s="585">
        <v>8183</v>
      </c>
      <c r="H1341" s="504">
        <v>13183</v>
      </c>
      <c r="I1341" s="504">
        <f t="shared" si="331"/>
        <v>41.886594158621527</v>
      </c>
      <c r="J1341" s="504">
        <f t="shared" si="332"/>
        <v>67.886594158621534</v>
      </c>
      <c r="K1341" s="586">
        <v>0.3</v>
      </c>
      <c r="L1341" s="504">
        <f t="shared" si="310"/>
        <v>88.252572406207989</v>
      </c>
      <c r="M1341" s="504">
        <v>95</v>
      </c>
      <c r="N1341" s="504"/>
      <c r="Q1341" s="841"/>
      <c r="R1341" s="918"/>
    </row>
    <row r="1342" spans="1:20" ht="15" hidden="1" customHeight="1" x14ac:dyDescent="0.25">
      <c r="A1342" s="395"/>
      <c r="B1342" s="395"/>
      <c r="C1342" s="395">
        <v>17</v>
      </c>
      <c r="D1342" s="395" t="s">
        <v>501</v>
      </c>
      <c r="E1342" s="693" t="s">
        <v>989</v>
      </c>
      <c r="F1342" s="493">
        <v>26</v>
      </c>
      <c r="G1342" s="509">
        <v>8183</v>
      </c>
      <c r="H1342" s="493">
        <v>13183</v>
      </c>
      <c r="I1342" s="493">
        <f t="shared" si="331"/>
        <v>41.886594158621527</v>
      </c>
      <c r="J1342" s="493">
        <f t="shared" si="332"/>
        <v>67.886594158621534</v>
      </c>
      <c r="K1342" s="692">
        <v>0.3</v>
      </c>
      <c r="L1342" s="493">
        <f t="shared" si="310"/>
        <v>88.252572406207989</v>
      </c>
      <c r="M1342" s="493">
        <v>85</v>
      </c>
      <c r="N1342" s="504"/>
      <c r="O1342" s="362"/>
      <c r="P1342" s="395" t="s">
        <v>2839</v>
      </c>
      <c r="Q1342" s="833">
        <v>45441</v>
      </c>
      <c r="R1342" s="396">
        <f>+M1342*14.5</f>
        <v>1232.5</v>
      </c>
      <c r="S1342" s="395"/>
      <c r="T1342" s="395"/>
    </row>
    <row r="1343" spans="1:20" s="149" customFormat="1" ht="15" customHeight="1" x14ac:dyDescent="0.25">
      <c r="A1343" s="395"/>
      <c r="B1343" s="395"/>
      <c r="C1343" s="395">
        <v>18</v>
      </c>
      <c r="D1343" s="395" t="s">
        <v>506</v>
      </c>
      <c r="E1343" s="276" t="s">
        <v>989</v>
      </c>
      <c r="F1343" s="394">
        <v>26</v>
      </c>
      <c r="G1343" s="179">
        <v>8183</v>
      </c>
      <c r="H1343" s="394">
        <v>13183</v>
      </c>
      <c r="I1343" s="394">
        <f t="shared" si="331"/>
        <v>41.886594158621527</v>
      </c>
      <c r="J1343" s="394">
        <f t="shared" si="332"/>
        <v>67.886594158621534</v>
      </c>
      <c r="K1343" s="492">
        <v>0.3</v>
      </c>
      <c r="L1343" s="394">
        <f t="shared" si="310"/>
        <v>88.252572406207989</v>
      </c>
      <c r="M1343" s="394">
        <v>90</v>
      </c>
      <c r="N1343" s="504"/>
      <c r="O1343" s="395"/>
      <c r="P1343" s="362" t="s">
        <v>2422</v>
      </c>
      <c r="Q1343" s="833"/>
      <c r="R1343" s="396"/>
      <c r="S1343" s="395"/>
      <c r="T1343" s="395"/>
    </row>
    <row r="1344" spans="1:20" s="149" customFormat="1" ht="15" customHeight="1" x14ac:dyDescent="0.25">
      <c r="A1344" s="395"/>
      <c r="B1344" s="395"/>
      <c r="C1344" s="395">
        <v>19</v>
      </c>
      <c r="D1344" s="395" t="s">
        <v>507</v>
      </c>
      <c r="E1344" s="276" t="s">
        <v>989</v>
      </c>
      <c r="F1344" s="394">
        <v>26</v>
      </c>
      <c r="G1344" s="179">
        <v>8183</v>
      </c>
      <c r="H1344" s="394">
        <v>13183</v>
      </c>
      <c r="I1344" s="394">
        <f t="shared" si="331"/>
        <v>41.886594158621527</v>
      </c>
      <c r="J1344" s="394">
        <f t="shared" si="332"/>
        <v>67.886594158621534</v>
      </c>
      <c r="K1344" s="492">
        <v>0.3</v>
      </c>
      <c r="L1344" s="394">
        <f t="shared" si="310"/>
        <v>88.252572406207989</v>
      </c>
      <c r="M1344" s="394">
        <v>90</v>
      </c>
      <c r="N1344" s="504"/>
      <c r="O1344" s="362"/>
      <c r="P1344" s="395" t="s">
        <v>2423</v>
      </c>
      <c r="Q1344" s="833"/>
      <c r="R1344" s="396"/>
      <c r="S1344" s="395"/>
      <c r="T1344" s="395"/>
    </row>
    <row r="1345" spans="1:20" s="149" customFormat="1" ht="15" hidden="1" customHeight="1" x14ac:dyDescent="0.25">
      <c r="A1345" s="395"/>
      <c r="B1345" s="395"/>
      <c r="C1345" s="395">
        <v>20</v>
      </c>
      <c r="D1345" s="395"/>
      <c r="E1345" s="693" t="s">
        <v>990</v>
      </c>
      <c r="F1345" s="493">
        <v>26</v>
      </c>
      <c r="G1345" s="509">
        <v>8183</v>
      </c>
      <c r="H1345" s="493">
        <v>13183</v>
      </c>
      <c r="I1345" s="493">
        <f t="shared" si="331"/>
        <v>41.886594158621527</v>
      </c>
      <c r="J1345" s="493">
        <f t="shared" si="332"/>
        <v>67.886594158621534</v>
      </c>
      <c r="K1345" s="692">
        <v>0.3</v>
      </c>
      <c r="L1345" s="493">
        <f t="shared" si="310"/>
        <v>88.252572406207989</v>
      </c>
      <c r="M1345" s="493">
        <v>90</v>
      </c>
      <c r="N1345" s="504"/>
      <c r="O1345" s="395"/>
      <c r="P1345" s="362" t="s">
        <v>2608</v>
      </c>
      <c r="Q1345" s="833">
        <v>45439</v>
      </c>
      <c r="R1345" s="396">
        <f>+M1345*14.5</f>
        <v>1305</v>
      </c>
      <c r="S1345" s="395"/>
      <c r="T1345" s="395"/>
    </row>
    <row r="1346" spans="1:20" s="395" customFormat="1" ht="15.75" outlineLevel="1" x14ac:dyDescent="0.25">
      <c r="C1346" s="395">
        <v>21</v>
      </c>
      <c r="D1346" s="395" t="s">
        <v>504</v>
      </c>
      <c r="E1346" s="276" t="s">
        <v>990</v>
      </c>
      <c r="F1346" s="394">
        <v>26</v>
      </c>
      <c r="G1346" s="179">
        <v>8183</v>
      </c>
      <c r="H1346" s="394">
        <v>13183</v>
      </c>
      <c r="I1346" s="394">
        <f t="shared" si="331"/>
        <v>41.886594158621527</v>
      </c>
      <c r="J1346" s="394">
        <f t="shared" si="332"/>
        <v>67.886594158621534</v>
      </c>
      <c r="K1346" s="492">
        <v>0.3</v>
      </c>
      <c r="L1346" s="394">
        <f t="shared" si="310"/>
        <v>88.252572406207989</v>
      </c>
      <c r="M1346" s="394">
        <v>90</v>
      </c>
      <c r="N1346" s="504"/>
      <c r="O1346" s="362"/>
      <c r="P1346" s="395" t="s">
        <v>2423</v>
      </c>
      <c r="Q1346" s="833"/>
      <c r="R1346" s="396"/>
    </row>
    <row r="1347" spans="1:20" s="395" customFormat="1" ht="15.75" outlineLevel="1" x14ac:dyDescent="0.25">
      <c r="C1347" s="395">
        <v>22</v>
      </c>
      <c r="D1347" s="395" t="s">
        <v>507</v>
      </c>
      <c r="E1347" s="276" t="s">
        <v>990</v>
      </c>
      <c r="F1347" s="394">
        <v>26</v>
      </c>
      <c r="G1347" s="179">
        <v>8183</v>
      </c>
      <c r="H1347" s="394">
        <v>13183</v>
      </c>
      <c r="I1347" s="394">
        <f t="shared" si="331"/>
        <v>41.886594158621527</v>
      </c>
      <c r="J1347" s="394">
        <f t="shared" si="332"/>
        <v>67.886594158621534</v>
      </c>
      <c r="K1347" s="492">
        <v>0.3</v>
      </c>
      <c r="L1347" s="394">
        <f t="shared" si="310"/>
        <v>88.252572406207989</v>
      </c>
      <c r="M1347" s="394">
        <v>90</v>
      </c>
      <c r="N1347" s="504"/>
      <c r="O1347" s="362"/>
      <c r="Q1347" s="833"/>
      <c r="R1347" s="396"/>
    </row>
    <row r="1348" spans="1:20" s="149" customFormat="1" ht="15" customHeight="1" outlineLevel="1" x14ac:dyDescent="0.25">
      <c r="A1348" s="393"/>
      <c r="B1348" s="393" t="s">
        <v>840</v>
      </c>
      <c r="C1348" s="395"/>
      <c r="D1348" s="395"/>
      <c r="E1348" s="395"/>
      <c r="F1348" s="394"/>
      <c r="G1348" s="179"/>
      <c r="H1348" s="394"/>
      <c r="I1348" s="394"/>
      <c r="J1348" s="394"/>
      <c r="K1348" s="491"/>
      <c r="L1348" s="394"/>
      <c r="M1348" s="394"/>
      <c r="N1348" s="504"/>
      <c r="O1348" s="395"/>
      <c r="P1348" s="395"/>
      <c r="Q1348" s="833"/>
      <c r="R1348" s="396"/>
      <c r="S1348" s="395"/>
      <c r="T1348" s="395"/>
    </row>
    <row r="1349" spans="1:20" s="395" customFormat="1" ht="15.75" outlineLevel="1" x14ac:dyDescent="0.25">
      <c r="A1349" s="393" t="s">
        <v>203</v>
      </c>
      <c r="C1349" s="395">
        <v>23</v>
      </c>
      <c r="E1349" s="395" t="s">
        <v>2849</v>
      </c>
      <c r="F1349" s="394">
        <v>30</v>
      </c>
      <c r="G1349" s="179">
        <v>660</v>
      </c>
      <c r="H1349" s="394">
        <f>660+359</f>
        <v>1019</v>
      </c>
      <c r="I1349" s="394">
        <f>+F1349/G1349*H1349</f>
        <v>46.31818181818182</v>
      </c>
      <c r="J1349" s="394">
        <f>+F1349+I1349</f>
        <v>76.318181818181813</v>
      </c>
      <c r="K1349" s="492">
        <v>0.3</v>
      </c>
      <c r="L1349" s="394">
        <f>+J1349*K1349+J1349</f>
        <v>99.213636363636354</v>
      </c>
      <c r="M1349" s="394">
        <v>75</v>
      </c>
      <c r="N1349" s="504"/>
      <c r="P1349" s="395" t="s">
        <v>2850</v>
      </c>
      <c r="Q1349" s="833">
        <v>45458</v>
      </c>
      <c r="R1349" s="396">
        <f>+M1349*14.5</f>
        <v>1087.5</v>
      </c>
    </row>
    <row r="1350" spans="1:20" s="395" customFormat="1" ht="15.75" outlineLevel="1" x14ac:dyDescent="0.25">
      <c r="A1350" s="393"/>
      <c r="B1350" s="393"/>
      <c r="D1350" s="393"/>
      <c r="E1350" s="393" t="s">
        <v>1364</v>
      </c>
      <c r="F1350" s="394"/>
      <c r="G1350" s="179"/>
      <c r="H1350" s="394"/>
      <c r="I1350" s="394"/>
      <c r="J1350" s="394"/>
      <c r="K1350" s="492"/>
      <c r="L1350" s="394"/>
      <c r="M1350" s="394"/>
      <c r="N1350" s="504"/>
      <c r="Q1350" s="833"/>
      <c r="R1350" s="396"/>
    </row>
    <row r="1351" spans="1:20" s="178" customFormat="1" hidden="1" x14ac:dyDescent="0.25">
      <c r="A1351" s="225" t="s">
        <v>203</v>
      </c>
      <c r="B1351" s="319"/>
      <c r="C1351" s="178">
        <v>24</v>
      </c>
      <c r="D1351" s="178" t="s">
        <v>617</v>
      </c>
      <c r="E1351" s="704" t="s">
        <v>1286</v>
      </c>
      <c r="F1351" s="232">
        <v>30</v>
      </c>
      <c r="G1351" s="305">
        <v>9682</v>
      </c>
      <c r="H1351" s="232">
        <v>7766</v>
      </c>
      <c r="I1351" s="611">
        <f t="shared" ref="I1351:I1352" si="333">+F1351/G1351*H1351</f>
        <v>24.06321008056187</v>
      </c>
      <c r="J1351" s="611">
        <f t="shared" ref="J1351:J1352" si="334">+F1351+I1351</f>
        <v>54.063210080561873</v>
      </c>
      <c r="K1351" s="612">
        <v>0.4</v>
      </c>
      <c r="L1351" s="611">
        <f t="shared" ref="L1351:L1352" si="335">+J1351*1.4</f>
        <v>75.688494112786614</v>
      </c>
      <c r="M1351" s="232">
        <v>85</v>
      </c>
      <c r="N1351" s="631"/>
      <c r="P1351" s="590" t="s">
        <v>2717</v>
      </c>
      <c r="Q1351" s="836">
        <v>45439</v>
      </c>
      <c r="R1351" s="914">
        <f>+M1351*14.5</f>
        <v>1232.5</v>
      </c>
    </row>
    <row r="1352" spans="1:20" s="178" customFormat="1" x14ac:dyDescent="0.25">
      <c r="A1352" s="225" t="s">
        <v>203</v>
      </c>
      <c r="B1352" s="319"/>
      <c r="C1352" s="178">
        <v>25</v>
      </c>
      <c r="D1352" s="178" t="s">
        <v>503</v>
      </c>
      <c r="E1352" s="337" t="s">
        <v>1296</v>
      </c>
      <c r="F1352" s="175">
        <v>28</v>
      </c>
      <c r="G1352" s="227">
        <v>9682</v>
      </c>
      <c r="H1352" s="226">
        <v>7766</v>
      </c>
      <c r="I1352" s="174">
        <f t="shared" si="333"/>
        <v>22.458996075191077</v>
      </c>
      <c r="J1352" s="174">
        <f t="shared" si="334"/>
        <v>50.458996075191081</v>
      </c>
      <c r="K1352" s="316">
        <v>0.4</v>
      </c>
      <c r="L1352" s="174">
        <f t="shared" si="335"/>
        <v>70.64259450526751</v>
      </c>
      <c r="M1352" s="226">
        <v>85</v>
      </c>
      <c r="N1352" s="631"/>
      <c r="P1352" s="590" t="s">
        <v>2422</v>
      </c>
      <c r="Q1352" s="836"/>
      <c r="R1352" s="914"/>
    </row>
    <row r="1353" spans="1:20" s="178" customFormat="1" x14ac:dyDescent="0.25">
      <c r="A1353" s="225"/>
      <c r="B1353" s="319"/>
      <c r="E1353" s="549" t="s">
        <v>1452</v>
      </c>
      <c r="F1353" s="175"/>
      <c r="G1353" s="227"/>
      <c r="H1353" s="226"/>
      <c r="I1353" s="174"/>
      <c r="J1353" s="174"/>
      <c r="K1353" s="316"/>
      <c r="L1353" s="174"/>
      <c r="M1353" s="226"/>
      <c r="N1353" s="631"/>
      <c r="Q1353" s="836"/>
      <c r="R1353" s="914"/>
    </row>
    <row r="1354" spans="1:20" s="178" customFormat="1" x14ac:dyDescent="0.25">
      <c r="A1354" s="225" t="s">
        <v>1429</v>
      </c>
      <c r="B1354" s="319"/>
      <c r="C1354" s="178">
        <v>26</v>
      </c>
      <c r="D1354" s="178" t="s">
        <v>501</v>
      </c>
      <c r="E1354" s="178" t="s">
        <v>1426</v>
      </c>
      <c r="F1354" s="226">
        <v>28</v>
      </c>
      <c r="G1354" s="178">
        <v>6066</v>
      </c>
      <c r="H1354" s="226">
        <v>6015</v>
      </c>
      <c r="I1354" s="338">
        <f t="shared" ref="I1354:I1358" si="336">+F1354/G1354*H1354</f>
        <v>27.764589515331355</v>
      </c>
      <c r="J1354" s="614">
        <f t="shared" ref="J1354:J1358" si="337">+F1354+I1354</f>
        <v>55.764589515331352</v>
      </c>
      <c r="K1354" s="316">
        <v>0.4</v>
      </c>
      <c r="L1354" s="174">
        <f t="shared" ref="L1354:L1358" si="338">+J1354*1.4</f>
        <v>78.070425321463887</v>
      </c>
      <c r="M1354" s="226">
        <v>75</v>
      </c>
      <c r="N1354" s="631"/>
      <c r="P1354" s="590" t="s">
        <v>2426</v>
      </c>
      <c r="Q1354" s="836"/>
      <c r="R1354" s="914"/>
    </row>
    <row r="1355" spans="1:20" s="178" customFormat="1" x14ac:dyDescent="0.25">
      <c r="A1355" s="225" t="s">
        <v>1429</v>
      </c>
      <c r="B1355" s="319"/>
      <c r="C1355" s="178">
        <v>27</v>
      </c>
      <c r="D1355" s="178" t="s">
        <v>504</v>
      </c>
      <c r="E1355" s="178" t="s">
        <v>1426</v>
      </c>
      <c r="F1355" s="226">
        <v>28</v>
      </c>
      <c r="G1355" s="178">
        <v>6066</v>
      </c>
      <c r="H1355" s="226">
        <v>6015</v>
      </c>
      <c r="I1355" s="338">
        <f t="shared" si="336"/>
        <v>27.764589515331355</v>
      </c>
      <c r="J1355" s="614">
        <f t="shared" si="337"/>
        <v>55.764589515331352</v>
      </c>
      <c r="K1355" s="316">
        <v>0.4</v>
      </c>
      <c r="L1355" s="174">
        <f t="shared" si="338"/>
        <v>78.070425321463887</v>
      </c>
      <c r="M1355" s="226">
        <v>75</v>
      </c>
      <c r="N1355" s="631"/>
      <c r="O1355" s="590"/>
      <c r="Q1355" s="836"/>
      <c r="R1355" s="914"/>
    </row>
    <row r="1356" spans="1:20" s="178" customFormat="1" x14ac:dyDescent="0.25">
      <c r="A1356" s="225" t="s">
        <v>1429</v>
      </c>
      <c r="B1356" s="319"/>
      <c r="C1356" s="178">
        <v>28</v>
      </c>
      <c r="D1356" s="178" t="s">
        <v>507</v>
      </c>
      <c r="E1356" s="178" t="s">
        <v>1426</v>
      </c>
      <c r="F1356" s="226">
        <v>28</v>
      </c>
      <c r="G1356" s="178">
        <v>6066</v>
      </c>
      <c r="H1356" s="226">
        <v>6015</v>
      </c>
      <c r="I1356" s="338">
        <f t="shared" si="336"/>
        <v>27.764589515331355</v>
      </c>
      <c r="J1356" s="614">
        <f t="shared" si="337"/>
        <v>55.764589515331352</v>
      </c>
      <c r="K1356" s="316">
        <v>0.4</v>
      </c>
      <c r="L1356" s="174">
        <f t="shared" si="338"/>
        <v>78.070425321463887</v>
      </c>
      <c r="M1356" s="226">
        <v>75</v>
      </c>
      <c r="N1356" s="631"/>
      <c r="O1356" s="590"/>
      <c r="Q1356" s="836"/>
      <c r="R1356" s="914"/>
    </row>
    <row r="1357" spans="1:20" s="178" customFormat="1" x14ac:dyDescent="0.25">
      <c r="A1357" s="225" t="s">
        <v>1429</v>
      </c>
      <c r="B1357" s="319"/>
      <c r="C1357" s="178">
        <v>29</v>
      </c>
      <c r="D1357" s="178" t="s">
        <v>501</v>
      </c>
      <c r="E1357" s="178" t="s">
        <v>1427</v>
      </c>
      <c r="F1357" s="226">
        <v>28</v>
      </c>
      <c r="G1357" s="178">
        <v>6066</v>
      </c>
      <c r="H1357" s="226">
        <v>6015</v>
      </c>
      <c r="I1357" s="338">
        <f t="shared" si="336"/>
        <v>27.764589515331355</v>
      </c>
      <c r="J1357" s="614">
        <f t="shared" si="337"/>
        <v>55.764589515331352</v>
      </c>
      <c r="K1357" s="316">
        <v>0.4</v>
      </c>
      <c r="L1357" s="174">
        <f t="shared" si="338"/>
        <v>78.070425321463887</v>
      </c>
      <c r="M1357" s="226">
        <v>75</v>
      </c>
      <c r="N1357" s="631"/>
      <c r="P1357" s="178" t="s">
        <v>1835</v>
      </c>
      <c r="Q1357" s="836"/>
      <c r="R1357" s="914"/>
    </row>
    <row r="1358" spans="1:20" s="178" customFormat="1" hidden="1" x14ac:dyDescent="0.25">
      <c r="A1358" s="225" t="s">
        <v>1429</v>
      </c>
      <c r="B1358" s="319"/>
      <c r="C1358" s="178">
        <v>30</v>
      </c>
      <c r="D1358" s="178" t="s">
        <v>504</v>
      </c>
      <c r="E1358" s="213" t="s">
        <v>1428</v>
      </c>
      <c r="F1358" s="232">
        <v>28</v>
      </c>
      <c r="G1358" s="213">
        <v>6066</v>
      </c>
      <c r="H1358" s="232">
        <v>6015</v>
      </c>
      <c r="I1358" s="695">
        <f t="shared" si="336"/>
        <v>27.764589515331355</v>
      </c>
      <c r="J1358" s="696">
        <f t="shared" si="337"/>
        <v>55.764589515331352</v>
      </c>
      <c r="K1358" s="612">
        <v>0.4</v>
      </c>
      <c r="L1358" s="611">
        <f t="shared" si="338"/>
        <v>78.070425321463887</v>
      </c>
      <c r="M1358" s="232">
        <v>75</v>
      </c>
      <c r="N1358" s="631"/>
      <c r="P1358" s="590" t="s">
        <v>2720</v>
      </c>
      <c r="Q1358" s="836">
        <v>45440</v>
      </c>
      <c r="R1358" s="914">
        <f>+M1358*14.5</f>
        <v>1087.5</v>
      </c>
    </row>
    <row r="1359" spans="1:20" s="238" customFormat="1" x14ac:dyDescent="0.25">
      <c r="A1359" s="687" t="s">
        <v>1522</v>
      </c>
      <c r="B1359" s="676"/>
      <c r="E1359" s="238" t="s">
        <v>1520</v>
      </c>
      <c r="F1359" s="631"/>
      <c r="H1359" s="631"/>
      <c r="I1359" s="660"/>
      <c r="J1359" s="661"/>
      <c r="K1359" s="662"/>
      <c r="L1359" s="663"/>
      <c r="M1359" s="631"/>
      <c r="N1359" s="631"/>
      <c r="Q1359" s="843"/>
      <c r="R1359" s="920"/>
    </row>
    <row r="1360" spans="1:20" s="178" customFormat="1" x14ac:dyDescent="0.25">
      <c r="A1360" s="681">
        <v>45191</v>
      </c>
      <c r="B1360" s="319"/>
      <c r="C1360" s="178">
        <v>31</v>
      </c>
      <c r="E1360" s="178" t="s">
        <v>1521</v>
      </c>
      <c r="F1360" s="226"/>
      <c r="H1360" s="226"/>
      <c r="I1360" s="338"/>
      <c r="J1360" s="614"/>
      <c r="K1360" s="316"/>
      <c r="L1360" s="174"/>
      <c r="M1360" s="226"/>
      <c r="N1360" s="631"/>
      <c r="P1360" s="590" t="s">
        <v>2422</v>
      </c>
      <c r="Q1360" s="836"/>
      <c r="R1360" s="914"/>
    </row>
    <row r="1361" spans="2:18" s="178" customFormat="1" x14ac:dyDescent="0.25">
      <c r="B1361" s="379" t="s">
        <v>2676</v>
      </c>
      <c r="D1361" s="656"/>
      <c r="F1361" s="226"/>
      <c r="H1361" s="226"/>
      <c r="I1361" s="820"/>
      <c r="J1361" s="820"/>
      <c r="K1361" s="228"/>
      <c r="L1361" s="226"/>
      <c r="M1361" s="226"/>
      <c r="R1361" s="914"/>
    </row>
    <row r="1362" spans="2:18" s="178" customFormat="1" hidden="1" x14ac:dyDescent="0.25">
      <c r="B1362" s="319" t="s">
        <v>213</v>
      </c>
      <c r="D1362" s="656" t="s">
        <v>503</v>
      </c>
      <c r="E1362" s="708" t="s">
        <v>2677</v>
      </c>
      <c r="F1362" s="232">
        <v>28</v>
      </c>
      <c r="G1362" s="213">
        <v>1120</v>
      </c>
      <c r="H1362" s="232">
        <f>16*40</f>
        <v>640</v>
      </c>
      <c r="I1362" s="863">
        <f>+F1362/G1362*H1362</f>
        <v>16</v>
      </c>
      <c r="J1362" s="863">
        <f>+F1362+I1362</f>
        <v>44</v>
      </c>
      <c r="K1362" s="864"/>
      <c r="L1362" s="232">
        <f>+J1362*1.4</f>
        <v>61.599999999999994</v>
      </c>
      <c r="M1362" s="232">
        <v>75</v>
      </c>
      <c r="P1362" s="178" t="s">
        <v>12</v>
      </c>
      <c r="Q1362" s="229">
        <v>45451</v>
      </c>
      <c r="R1362" s="229">
        <f>+M1362*14.5</f>
        <v>1087.5</v>
      </c>
    </row>
    <row r="1363" spans="2:18" s="178" customFormat="1" hidden="1" x14ac:dyDescent="0.25">
      <c r="B1363" s="319" t="s">
        <v>213</v>
      </c>
      <c r="D1363" s="656" t="s">
        <v>501</v>
      </c>
      <c r="E1363" s="708" t="s">
        <v>2677</v>
      </c>
      <c r="F1363" s="232">
        <v>28</v>
      </c>
      <c r="G1363" s="213">
        <v>1120</v>
      </c>
      <c r="H1363" s="232">
        <f t="shared" ref="H1363:H1385" si="339">16*40</f>
        <v>640</v>
      </c>
      <c r="I1363" s="863">
        <f t="shared" ref="I1363:I1385" si="340">+F1363/G1363*H1363</f>
        <v>16</v>
      </c>
      <c r="J1363" s="863">
        <f t="shared" ref="J1363:J1385" si="341">+F1363+I1363</f>
        <v>44</v>
      </c>
      <c r="K1363" s="864"/>
      <c r="L1363" s="232">
        <f t="shared" ref="L1363:L1385" si="342">+J1363*1.4</f>
        <v>61.599999999999994</v>
      </c>
      <c r="M1363" s="232">
        <v>75</v>
      </c>
      <c r="P1363" s="178" t="s">
        <v>2779</v>
      </c>
      <c r="Q1363" s="229">
        <v>45453</v>
      </c>
      <c r="R1363" s="914">
        <f>+M1363*14.5</f>
        <v>1087.5</v>
      </c>
    </row>
    <row r="1364" spans="2:18" s="178" customFormat="1" hidden="1" x14ac:dyDescent="0.25">
      <c r="B1364" s="319" t="s">
        <v>213</v>
      </c>
      <c r="D1364" s="656" t="s">
        <v>504</v>
      </c>
      <c r="E1364" s="708" t="s">
        <v>2677</v>
      </c>
      <c r="F1364" s="232">
        <v>28</v>
      </c>
      <c r="G1364" s="213">
        <v>1120</v>
      </c>
      <c r="H1364" s="232">
        <f t="shared" si="339"/>
        <v>640</v>
      </c>
      <c r="I1364" s="863">
        <f t="shared" si="340"/>
        <v>16</v>
      </c>
      <c r="J1364" s="863">
        <f t="shared" si="341"/>
        <v>44</v>
      </c>
      <c r="K1364" s="864"/>
      <c r="L1364" s="232">
        <f t="shared" si="342"/>
        <v>61.599999999999994</v>
      </c>
      <c r="M1364" s="232">
        <v>75</v>
      </c>
      <c r="P1364" s="178" t="s">
        <v>2598</v>
      </c>
      <c r="Q1364" s="229">
        <v>45447</v>
      </c>
      <c r="R1364" s="914">
        <f>+M1364*14.5</f>
        <v>1087.5</v>
      </c>
    </row>
    <row r="1365" spans="2:18" s="178" customFormat="1" hidden="1" x14ac:dyDescent="0.25">
      <c r="B1365" s="319" t="s">
        <v>213</v>
      </c>
      <c r="D1365" s="656" t="s">
        <v>503</v>
      </c>
      <c r="E1365" s="708" t="s">
        <v>2722</v>
      </c>
      <c r="F1365" s="232">
        <v>28</v>
      </c>
      <c r="G1365" s="213">
        <v>1120</v>
      </c>
      <c r="H1365" s="232">
        <f t="shared" si="339"/>
        <v>640</v>
      </c>
      <c r="I1365" s="863">
        <f t="shared" si="340"/>
        <v>16</v>
      </c>
      <c r="J1365" s="863">
        <f t="shared" si="341"/>
        <v>44</v>
      </c>
      <c r="K1365" s="864"/>
      <c r="L1365" s="232">
        <f t="shared" si="342"/>
        <v>61.599999999999994</v>
      </c>
      <c r="M1365" s="232">
        <v>75</v>
      </c>
      <c r="P1365" s="178" t="s">
        <v>2723</v>
      </c>
      <c r="Q1365" s="229">
        <v>45415</v>
      </c>
      <c r="R1365" s="914">
        <f>+M1365*14.5</f>
        <v>1087.5</v>
      </c>
    </row>
    <row r="1366" spans="2:18" s="178" customFormat="1" x14ac:dyDescent="0.25">
      <c r="B1366" s="319" t="s">
        <v>213</v>
      </c>
      <c r="D1366" s="656" t="s">
        <v>501</v>
      </c>
      <c r="E1366" s="628" t="s">
        <v>2679</v>
      </c>
      <c r="F1366" s="226">
        <v>28</v>
      </c>
      <c r="G1366" s="178">
        <v>1120</v>
      </c>
      <c r="H1366" s="226">
        <f t="shared" si="339"/>
        <v>640</v>
      </c>
      <c r="I1366" s="820">
        <f t="shared" si="340"/>
        <v>16</v>
      </c>
      <c r="J1366" s="820">
        <f t="shared" si="341"/>
        <v>44</v>
      </c>
      <c r="K1366" s="228"/>
      <c r="L1366" s="226">
        <f t="shared" si="342"/>
        <v>61.599999999999994</v>
      </c>
      <c r="M1366" s="226">
        <v>75</v>
      </c>
      <c r="R1366" s="914"/>
    </row>
    <row r="1367" spans="2:18" s="178" customFormat="1" x14ac:dyDescent="0.25">
      <c r="B1367" s="319" t="s">
        <v>213</v>
      </c>
      <c r="D1367" s="656" t="s">
        <v>504</v>
      </c>
      <c r="E1367" s="628" t="s">
        <v>2679</v>
      </c>
      <c r="F1367" s="226">
        <v>28</v>
      </c>
      <c r="G1367" s="178">
        <v>1120</v>
      </c>
      <c r="H1367" s="226">
        <f t="shared" si="339"/>
        <v>640</v>
      </c>
      <c r="I1367" s="820">
        <f t="shared" si="340"/>
        <v>16</v>
      </c>
      <c r="J1367" s="820">
        <f t="shared" si="341"/>
        <v>44</v>
      </c>
      <c r="K1367" s="228"/>
      <c r="L1367" s="226">
        <f t="shared" si="342"/>
        <v>61.599999999999994</v>
      </c>
      <c r="M1367" s="226">
        <v>75</v>
      </c>
      <c r="R1367" s="914"/>
    </row>
    <row r="1368" spans="2:18" s="178" customFormat="1" hidden="1" x14ac:dyDescent="0.25">
      <c r="B1368" s="319" t="s">
        <v>213</v>
      </c>
      <c r="D1368" s="656" t="s">
        <v>507</v>
      </c>
      <c r="E1368" s="708" t="s">
        <v>2679</v>
      </c>
      <c r="F1368" s="232">
        <v>28</v>
      </c>
      <c r="G1368" s="213">
        <v>1120</v>
      </c>
      <c r="H1368" s="232">
        <f t="shared" si="339"/>
        <v>640</v>
      </c>
      <c r="I1368" s="863">
        <f t="shared" si="340"/>
        <v>16</v>
      </c>
      <c r="J1368" s="863">
        <f t="shared" si="341"/>
        <v>44</v>
      </c>
      <c r="K1368" s="864"/>
      <c r="L1368" s="232">
        <f t="shared" si="342"/>
        <v>61.599999999999994</v>
      </c>
      <c r="M1368" s="232">
        <v>75</v>
      </c>
      <c r="P1368" s="178" t="s">
        <v>12</v>
      </c>
      <c r="Q1368" s="229">
        <v>45465</v>
      </c>
      <c r="R1368" s="914"/>
    </row>
    <row r="1369" spans="2:18" s="178" customFormat="1" x14ac:dyDescent="0.25">
      <c r="B1369" s="319" t="s">
        <v>213</v>
      </c>
      <c r="D1369" s="656" t="s">
        <v>503</v>
      </c>
      <c r="E1369" s="628" t="s">
        <v>2680</v>
      </c>
      <c r="F1369" s="226">
        <v>28</v>
      </c>
      <c r="G1369" s="178">
        <v>1120</v>
      </c>
      <c r="H1369" s="226">
        <f t="shared" si="339"/>
        <v>640</v>
      </c>
      <c r="I1369" s="820">
        <f t="shared" si="340"/>
        <v>16</v>
      </c>
      <c r="J1369" s="820">
        <f t="shared" si="341"/>
        <v>44</v>
      </c>
      <c r="K1369" s="228"/>
      <c r="L1369" s="226">
        <f t="shared" si="342"/>
        <v>61.599999999999994</v>
      </c>
      <c r="M1369" s="226">
        <v>75</v>
      </c>
      <c r="R1369" s="914"/>
    </row>
    <row r="1370" spans="2:18" s="178" customFormat="1" hidden="1" x14ac:dyDescent="0.25">
      <c r="B1370" s="319" t="s">
        <v>213</v>
      </c>
      <c r="D1370" s="656" t="s">
        <v>501</v>
      </c>
      <c r="E1370" s="708" t="s">
        <v>2680</v>
      </c>
      <c r="F1370" s="232">
        <v>28</v>
      </c>
      <c r="G1370" s="213">
        <v>1120</v>
      </c>
      <c r="H1370" s="232">
        <f t="shared" si="339"/>
        <v>640</v>
      </c>
      <c r="I1370" s="863">
        <f t="shared" si="340"/>
        <v>16</v>
      </c>
      <c r="J1370" s="863">
        <f t="shared" si="341"/>
        <v>44</v>
      </c>
      <c r="K1370" s="864"/>
      <c r="L1370" s="232">
        <f t="shared" si="342"/>
        <v>61.599999999999994</v>
      </c>
      <c r="M1370" s="232">
        <v>75</v>
      </c>
      <c r="P1370" s="178" t="s">
        <v>12</v>
      </c>
      <c r="Q1370" s="229">
        <v>45460</v>
      </c>
      <c r="R1370" s="914">
        <f>+M1370*14.5</f>
        <v>1087.5</v>
      </c>
    </row>
    <row r="1371" spans="2:18" s="178" customFormat="1" x14ac:dyDescent="0.25">
      <c r="B1371" s="319" t="s">
        <v>213</v>
      </c>
      <c r="D1371" s="656" t="s">
        <v>504</v>
      </c>
      <c r="E1371" s="708" t="s">
        <v>2680</v>
      </c>
      <c r="F1371" s="232">
        <v>28</v>
      </c>
      <c r="G1371" s="213">
        <v>1120</v>
      </c>
      <c r="H1371" s="232">
        <f t="shared" si="339"/>
        <v>640</v>
      </c>
      <c r="I1371" s="863">
        <f t="shared" si="340"/>
        <v>16</v>
      </c>
      <c r="J1371" s="863">
        <f t="shared" si="341"/>
        <v>44</v>
      </c>
      <c r="K1371" s="864"/>
      <c r="L1371" s="232">
        <f t="shared" si="342"/>
        <v>61.599999999999994</v>
      </c>
      <c r="M1371" s="232">
        <v>75</v>
      </c>
      <c r="P1371" s="178" t="s">
        <v>12</v>
      </c>
      <c r="Q1371" s="229">
        <v>45485</v>
      </c>
      <c r="R1371" s="914"/>
    </row>
    <row r="1372" spans="2:18" s="178" customFormat="1" x14ac:dyDescent="0.25">
      <c r="B1372" s="319" t="s">
        <v>213</v>
      </c>
      <c r="D1372" s="656" t="s">
        <v>507</v>
      </c>
      <c r="E1372" s="628" t="s">
        <v>2680</v>
      </c>
      <c r="F1372" s="226">
        <v>28</v>
      </c>
      <c r="G1372" s="178">
        <v>1120</v>
      </c>
      <c r="H1372" s="226">
        <f t="shared" si="339"/>
        <v>640</v>
      </c>
      <c r="I1372" s="820">
        <f t="shared" si="340"/>
        <v>16</v>
      </c>
      <c r="J1372" s="820">
        <f t="shared" si="341"/>
        <v>44</v>
      </c>
      <c r="K1372" s="228"/>
      <c r="L1372" s="226">
        <f t="shared" si="342"/>
        <v>61.599999999999994</v>
      </c>
      <c r="M1372" s="226">
        <v>75</v>
      </c>
      <c r="R1372" s="914"/>
    </row>
    <row r="1373" spans="2:18" s="178" customFormat="1" x14ac:dyDescent="0.25">
      <c r="B1373" s="319" t="s">
        <v>213</v>
      </c>
      <c r="D1373" s="656" t="s">
        <v>503</v>
      </c>
      <c r="E1373" s="628" t="s">
        <v>2681</v>
      </c>
      <c r="F1373" s="226">
        <v>28</v>
      </c>
      <c r="G1373" s="178">
        <v>1120</v>
      </c>
      <c r="H1373" s="226">
        <f t="shared" si="339"/>
        <v>640</v>
      </c>
      <c r="I1373" s="820">
        <f t="shared" si="340"/>
        <v>16</v>
      </c>
      <c r="J1373" s="820">
        <f t="shared" si="341"/>
        <v>44</v>
      </c>
      <c r="K1373" s="228"/>
      <c r="L1373" s="226">
        <f t="shared" si="342"/>
        <v>61.599999999999994</v>
      </c>
      <c r="M1373" s="226">
        <v>75</v>
      </c>
      <c r="R1373" s="914"/>
    </row>
    <row r="1374" spans="2:18" s="178" customFormat="1" x14ac:dyDescent="0.25">
      <c r="B1374" s="319" t="s">
        <v>213</v>
      </c>
      <c r="D1374" s="656" t="s">
        <v>501</v>
      </c>
      <c r="E1374" s="628" t="s">
        <v>2681</v>
      </c>
      <c r="F1374" s="226">
        <v>28</v>
      </c>
      <c r="G1374" s="178">
        <v>1120</v>
      </c>
      <c r="H1374" s="226">
        <f t="shared" si="339"/>
        <v>640</v>
      </c>
      <c r="I1374" s="820">
        <f t="shared" si="340"/>
        <v>16</v>
      </c>
      <c r="J1374" s="820">
        <f t="shared" si="341"/>
        <v>44</v>
      </c>
      <c r="K1374" s="228"/>
      <c r="L1374" s="226">
        <f t="shared" si="342"/>
        <v>61.599999999999994</v>
      </c>
      <c r="M1374" s="226">
        <v>75</v>
      </c>
      <c r="R1374" s="914"/>
    </row>
    <row r="1375" spans="2:18" s="178" customFormat="1" x14ac:dyDescent="0.25">
      <c r="B1375" s="319" t="s">
        <v>213</v>
      </c>
      <c r="D1375" s="656" t="s">
        <v>504</v>
      </c>
      <c r="E1375" s="628" t="s">
        <v>2681</v>
      </c>
      <c r="F1375" s="226">
        <v>28</v>
      </c>
      <c r="G1375" s="178">
        <v>1120</v>
      </c>
      <c r="H1375" s="226">
        <f t="shared" si="339"/>
        <v>640</v>
      </c>
      <c r="I1375" s="820">
        <f t="shared" si="340"/>
        <v>16</v>
      </c>
      <c r="J1375" s="820">
        <f t="shared" si="341"/>
        <v>44</v>
      </c>
      <c r="K1375" s="228"/>
      <c r="L1375" s="226">
        <f t="shared" si="342"/>
        <v>61.599999999999994</v>
      </c>
      <c r="M1375" s="226">
        <v>75</v>
      </c>
      <c r="R1375" s="914"/>
    </row>
    <row r="1376" spans="2:18" s="178" customFormat="1" hidden="1" x14ac:dyDescent="0.25">
      <c r="B1376" s="319" t="s">
        <v>213</v>
      </c>
      <c r="D1376" s="656" t="s">
        <v>507</v>
      </c>
      <c r="E1376" s="708" t="s">
        <v>2681</v>
      </c>
      <c r="F1376" s="232">
        <v>28</v>
      </c>
      <c r="G1376" s="213">
        <v>1120</v>
      </c>
      <c r="H1376" s="232">
        <f t="shared" si="339"/>
        <v>640</v>
      </c>
      <c r="I1376" s="863">
        <f t="shared" si="340"/>
        <v>16</v>
      </c>
      <c r="J1376" s="863">
        <f t="shared" si="341"/>
        <v>44</v>
      </c>
      <c r="K1376" s="864"/>
      <c r="L1376" s="232">
        <f t="shared" si="342"/>
        <v>61.599999999999994</v>
      </c>
      <c r="M1376" s="232">
        <v>85</v>
      </c>
      <c r="P1376" s="178" t="s">
        <v>2779</v>
      </c>
      <c r="Q1376" s="229">
        <v>45453</v>
      </c>
      <c r="R1376" s="914">
        <f>+M1376*14.5</f>
        <v>1232.5</v>
      </c>
    </row>
    <row r="1377" spans="1:20" s="178" customFormat="1" hidden="1" x14ac:dyDescent="0.25">
      <c r="B1377" s="319" t="s">
        <v>213</v>
      </c>
      <c r="D1377" s="656" t="s">
        <v>501</v>
      </c>
      <c r="E1377" s="708" t="s">
        <v>2682</v>
      </c>
      <c r="F1377" s="232">
        <v>28</v>
      </c>
      <c r="G1377" s="213">
        <v>1120</v>
      </c>
      <c r="H1377" s="232">
        <f t="shared" si="339"/>
        <v>640</v>
      </c>
      <c r="I1377" s="863">
        <f t="shared" si="340"/>
        <v>16</v>
      </c>
      <c r="J1377" s="863">
        <f t="shared" si="341"/>
        <v>44</v>
      </c>
      <c r="K1377" s="864"/>
      <c r="L1377" s="232">
        <f t="shared" si="342"/>
        <v>61.599999999999994</v>
      </c>
      <c r="M1377" s="232">
        <v>75</v>
      </c>
      <c r="P1377" s="178" t="s">
        <v>12</v>
      </c>
      <c r="Q1377" s="229">
        <v>45457</v>
      </c>
      <c r="R1377" s="914">
        <f>+M1377*14.5</f>
        <v>1087.5</v>
      </c>
    </row>
    <row r="1378" spans="1:20" s="178" customFormat="1" hidden="1" x14ac:dyDescent="0.25">
      <c r="B1378" s="319" t="s">
        <v>213</v>
      </c>
      <c r="D1378" s="656" t="s">
        <v>504</v>
      </c>
      <c r="E1378" s="708" t="s">
        <v>2682</v>
      </c>
      <c r="F1378" s="232">
        <v>28</v>
      </c>
      <c r="G1378" s="213">
        <v>1120</v>
      </c>
      <c r="H1378" s="232">
        <f t="shared" si="339"/>
        <v>640</v>
      </c>
      <c r="I1378" s="863">
        <f t="shared" si="340"/>
        <v>16</v>
      </c>
      <c r="J1378" s="863">
        <f t="shared" si="341"/>
        <v>44</v>
      </c>
      <c r="K1378" s="864"/>
      <c r="L1378" s="232">
        <f t="shared" si="342"/>
        <v>61.599999999999994</v>
      </c>
      <c r="M1378" s="232">
        <v>75</v>
      </c>
      <c r="P1378" s="178" t="s">
        <v>2265</v>
      </c>
      <c r="Q1378" s="229">
        <v>45468</v>
      </c>
      <c r="R1378" s="914"/>
    </row>
    <row r="1379" spans="1:20" s="178" customFormat="1" x14ac:dyDescent="0.25">
      <c r="B1379" s="319" t="s">
        <v>213</v>
      </c>
      <c r="D1379" s="656" t="s">
        <v>507</v>
      </c>
      <c r="E1379" s="708" t="s">
        <v>2682</v>
      </c>
      <c r="F1379" s="232">
        <v>28</v>
      </c>
      <c r="G1379" s="213">
        <v>1120</v>
      </c>
      <c r="H1379" s="232">
        <f t="shared" si="339"/>
        <v>640</v>
      </c>
      <c r="I1379" s="863">
        <f t="shared" si="340"/>
        <v>16</v>
      </c>
      <c r="J1379" s="863">
        <f t="shared" si="341"/>
        <v>44</v>
      </c>
      <c r="K1379" s="864"/>
      <c r="L1379" s="232">
        <f t="shared" si="342"/>
        <v>61.599999999999994</v>
      </c>
      <c r="M1379" s="232">
        <v>85</v>
      </c>
      <c r="P1379" s="178" t="s">
        <v>396</v>
      </c>
      <c r="Q1379" s="229">
        <v>45489</v>
      </c>
      <c r="R1379" s="914"/>
    </row>
    <row r="1380" spans="1:20" s="178" customFormat="1" hidden="1" x14ac:dyDescent="0.25">
      <c r="B1380" s="319" t="s">
        <v>213</v>
      </c>
      <c r="D1380" s="656" t="s">
        <v>501</v>
      </c>
      <c r="E1380" s="708" t="s">
        <v>2683</v>
      </c>
      <c r="F1380" s="232">
        <v>28</v>
      </c>
      <c r="G1380" s="213">
        <v>1120</v>
      </c>
      <c r="H1380" s="232">
        <f t="shared" si="339"/>
        <v>640</v>
      </c>
      <c r="I1380" s="863">
        <f t="shared" si="340"/>
        <v>16</v>
      </c>
      <c r="J1380" s="863">
        <f t="shared" si="341"/>
        <v>44</v>
      </c>
      <c r="K1380" s="864"/>
      <c r="L1380" s="232">
        <f t="shared" si="342"/>
        <v>61.599999999999994</v>
      </c>
      <c r="M1380" s="232">
        <v>75</v>
      </c>
      <c r="P1380" s="178" t="s">
        <v>12</v>
      </c>
      <c r="Q1380" s="229">
        <v>45461</v>
      </c>
      <c r="R1380" s="914">
        <f>+M1380*14.5</f>
        <v>1087.5</v>
      </c>
    </row>
    <row r="1381" spans="1:20" s="178" customFormat="1" hidden="1" x14ac:dyDescent="0.25">
      <c r="B1381" s="319" t="s">
        <v>213</v>
      </c>
      <c r="D1381" s="656" t="s">
        <v>504</v>
      </c>
      <c r="E1381" s="708" t="s">
        <v>2683</v>
      </c>
      <c r="F1381" s="232">
        <v>28</v>
      </c>
      <c r="G1381" s="213">
        <v>1120</v>
      </c>
      <c r="H1381" s="232">
        <f t="shared" si="339"/>
        <v>640</v>
      </c>
      <c r="I1381" s="863">
        <f t="shared" si="340"/>
        <v>16</v>
      </c>
      <c r="J1381" s="863">
        <f t="shared" si="341"/>
        <v>44</v>
      </c>
      <c r="K1381" s="864"/>
      <c r="L1381" s="232">
        <f t="shared" si="342"/>
        <v>61.599999999999994</v>
      </c>
      <c r="M1381" s="232">
        <v>85</v>
      </c>
      <c r="P1381" s="178" t="s">
        <v>2180</v>
      </c>
      <c r="Q1381" s="229">
        <v>45456</v>
      </c>
      <c r="R1381" s="914">
        <f>+M1381*14.5</f>
        <v>1232.5</v>
      </c>
    </row>
    <row r="1382" spans="1:20" s="178" customFormat="1" hidden="1" x14ac:dyDescent="0.25">
      <c r="B1382" s="319" t="s">
        <v>213</v>
      </c>
      <c r="D1382" s="656" t="s">
        <v>507</v>
      </c>
      <c r="E1382" s="708" t="s">
        <v>2683</v>
      </c>
      <c r="F1382" s="232">
        <v>28</v>
      </c>
      <c r="G1382" s="213">
        <v>1120</v>
      </c>
      <c r="H1382" s="232">
        <f t="shared" si="339"/>
        <v>640</v>
      </c>
      <c r="I1382" s="863">
        <f t="shared" si="340"/>
        <v>16</v>
      </c>
      <c r="J1382" s="863">
        <f t="shared" si="341"/>
        <v>44</v>
      </c>
      <c r="K1382" s="864"/>
      <c r="L1382" s="232">
        <f t="shared" si="342"/>
        <v>61.599999999999994</v>
      </c>
      <c r="M1382" s="232">
        <v>75</v>
      </c>
      <c r="P1382" s="178" t="s">
        <v>12</v>
      </c>
      <c r="Q1382" s="229">
        <v>45465</v>
      </c>
      <c r="R1382" s="914"/>
    </row>
    <row r="1383" spans="1:20" s="178" customFormat="1" x14ac:dyDescent="0.25">
      <c r="B1383" s="319" t="s">
        <v>213</v>
      </c>
      <c r="D1383" s="656" t="s">
        <v>501</v>
      </c>
      <c r="E1383" s="628" t="s">
        <v>2684</v>
      </c>
      <c r="F1383" s="226">
        <v>28</v>
      </c>
      <c r="G1383" s="178">
        <v>1120</v>
      </c>
      <c r="H1383" s="226">
        <f t="shared" si="339"/>
        <v>640</v>
      </c>
      <c r="I1383" s="820">
        <f t="shared" si="340"/>
        <v>16</v>
      </c>
      <c r="J1383" s="820">
        <f t="shared" si="341"/>
        <v>44</v>
      </c>
      <c r="K1383" s="228"/>
      <c r="L1383" s="226">
        <f t="shared" si="342"/>
        <v>61.599999999999994</v>
      </c>
      <c r="M1383" s="226">
        <v>75</v>
      </c>
      <c r="R1383" s="914"/>
    </row>
    <row r="1384" spans="1:20" s="178" customFormat="1" hidden="1" x14ac:dyDescent="0.25">
      <c r="B1384" s="319" t="s">
        <v>213</v>
      </c>
      <c r="D1384" s="656" t="s">
        <v>504</v>
      </c>
      <c r="E1384" s="708" t="s">
        <v>2684</v>
      </c>
      <c r="F1384" s="232">
        <v>28</v>
      </c>
      <c r="G1384" s="213">
        <v>1120</v>
      </c>
      <c r="H1384" s="232">
        <f t="shared" si="339"/>
        <v>640</v>
      </c>
      <c r="I1384" s="863">
        <f t="shared" si="340"/>
        <v>16</v>
      </c>
      <c r="J1384" s="863">
        <f t="shared" si="341"/>
        <v>44</v>
      </c>
      <c r="K1384" s="864"/>
      <c r="L1384" s="232">
        <f t="shared" si="342"/>
        <v>61.599999999999994</v>
      </c>
      <c r="M1384" s="232">
        <v>75</v>
      </c>
      <c r="P1384" s="178" t="s">
        <v>12</v>
      </c>
      <c r="Q1384" s="229">
        <v>45467</v>
      </c>
      <c r="R1384" s="914"/>
    </row>
    <row r="1385" spans="1:20" s="178" customFormat="1" hidden="1" x14ac:dyDescent="0.25">
      <c r="B1385" s="319" t="s">
        <v>213</v>
      </c>
      <c r="D1385" s="656" t="s">
        <v>507</v>
      </c>
      <c r="E1385" s="708" t="s">
        <v>2684</v>
      </c>
      <c r="F1385" s="232">
        <v>28</v>
      </c>
      <c r="G1385" s="213">
        <v>1120</v>
      </c>
      <c r="H1385" s="232">
        <f t="shared" si="339"/>
        <v>640</v>
      </c>
      <c r="I1385" s="863">
        <f t="shared" si="340"/>
        <v>16</v>
      </c>
      <c r="J1385" s="863">
        <f t="shared" si="341"/>
        <v>44</v>
      </c>
      <c r="K1385" s="864"/>
      <c r="L1385" s="232">
        <f t="shared" si="342"/>
        <v>61.599999999999994</v>
      </c>
      <c r="M1385" s="232">
        <v>75</v>
      </c>
      <c r="P1385" s="178" t="s">
        <v>12</v>
      </c>
      <c r="Q1385" s="229">
        <v>45480</v>
      </c>
      <c r="R1385" s="914"/>
    </row>
    <row r="1386" spans="1:20" s="395" customFormat="1" ht="15.75" outlineLevel="1" x14ac:dyDescent="0.25">
      <c r="A1386" s="154"/>
      <c r="E1386" s="393" t="s">
        <v>31</v>
      </c>
      <c r="F1386" s="167">
        <f t="shared" ref="F1386:M1386" si="343">SUM(F1321:F1349)</f>
        <v>590</v>
      </c>
      <c r="G1386" s="167">
        <f t="shared" si="343"/>
        <v>135633</v>
      </c>
      <c r="H1386" s="167">
        <f t="shared" si="343"/>
        <v>218224.4</v>
      </c>
      <c r="I1386" s="167">
        <f t="shared" si="343"/>
        <v>905.02924999960044</v>
      </c>
      <c r="J1386" s="167">
        <f t="shared" si="343"/>
        <v>1475.0292499996008</v>
      </c>
      <c r="K1386" s="167">
        <f t="shared" si="343"/>
        <v>6.8999999999999977</v>
      </c>
      <c r="L1386" s="167">
        <f t="shared" si="343"/>
        <v>1917.5380249994805</v>
      </c>
      <c r="M1386" s="167">
        <f t="shared" si="343"/>
        <v>2035</v>
      </c>
      <c r="N1386" s="404"/>
      <c r="Q1386" s="833"/>
      <c r="R1386" s="396"/>
      <c r="S1386" s="149"/>
      <c r="T1386" s="149"/>
    </row>
    <row r="1387" spans="1:20" s="395" customFormat="1" ht="15.75" outlineLevel="1" x14ac:dyDescent="0.25">
      <c r="A1387" s="154"/>
      <c r="B1387" s="395">
        <v>2021</v>
      </c>
      <c r="C1387" s="395">
        <v>127</v>
      </c>
      <c r="D1387" s="395">
        <v>-86</v>
      </c>
      <c r="E1387" s="395">
        <f>+C1387+D1387</f>
        <v>41</v>
      </c>
      <c r="F1387" s="150"/>
      <c r="G1387" s="150"/>
      <c r="H1387" s="150"/>
      <c r="I1387" s="150"/>
      <c r="J1387" s="150"/>
      <c r="K1387" s="150"/>
      <c r="L1387" s="394"/>
      <c r="M1387" s="348">
        <f>+M1386/F1386</f>
        <v>3.4491525423728815</v>
      </c>
      <c r="N1387" s="744"/>
      <c r="P1387" s="160"/>
      <c r="Q1387" s="834"/>
      <c r="R1387" s="917"/>
      <c r="S1387" s="11"/>
      <c r="T1387" s="11"/>
    </row>
    <row r="1388" spans="1:20" s="395" customFormat="1" ht="15.75" outlineLevel="1" x14ac:dyDescent="0.25">
      <c r="A1388" s="154"/>
      <c r="B1388" s="395">
        <v>2022</v>
      </c>
      <c r="C1388" s="395">
        <v>82</v>
      </c>
      <c r="D1388" s="395">
        <v>-50</v>
      </c>
      <c r="E1388" s="395">
        <f>+C1388+D1388</f>
        <v>32</v>
      </c>
      <c r="F1388" s="167"/>
      <c r="G1388" s="167"/>
      <c r="H1388" s="167"/>
      <c r="I1388" s="167"/>
      <c r="J1388" s="167"/>
      <c r="K1388" s="167"/>
      <c r="L1388" s="394"/>
      <c r="M1388" s="731"/>
      <c r="N1388" s="744"/>
      <c r="Q1388" s="833"/>
      <c r="R1388" s="396"/>
      <c r="S1388" s="149"/>
      <c r="T1388" s="149"/>
    </row>
    <row r="1389" spans="1:20" s="395" customFormat="1" ht="15.75" outlineLevel="1" x14ac:dyDescent="0.25">
      <c r="A1389" s="154"/>
      <c r="E1389" s="393" t="s">
        <v>296</v>
      </c>
      <c r="F1389" s="167"/>
      <c r="I1389" s="394"/>
      <c r="J1389" s="394"/>
      <c r="L1389" s="394"/>
      <c r="M1389" s="394"/>
      <c r="N1389" s="504"/>
      <c r="Q1389" s="833"/>
      <c r="R1389" s="396"/>
      <c r="S1389" s="149"/>
      <c r="T1389" s="149"/>
    </row>
    <row r="1390" spans="1:20" s="395" customFormat="1" ht="15.75" outlineLevel="1" x14ac:dyDescent="0.25">
      <c r="A1390" s="154"/>
      <c r="E1390" s="393" t="s">
        <v>631</v>
      </c>
      <c r="F1390" s="394"/>
      <c r="I1390" s="394"/>
      <c r="J1390" s="394"/>
      <c r="K1390" s="492"/>
      <c r="L1390" s="394"/>
      <c r="M1390" s="394"/>
      <c r="N1390" s="504"/>
      <c r="Q1390" s="833"/>
      <c r="R1390" s="396"/>
      <c r="S1390" s="149"/>
      <c r="T1390" s="149"/>
    </row>
    <row r="1391" spans="1:20" s="395" customFormat="1" ht="15.75" outlineLevel="1" x14ac:dyDescent="0.25">
      <c r="A1391" s="393"/>
      <c r="B1391" s="395" t="s">
        <v>203</v>
      </c>
      <c r="C1391" s="395">
        <v>1</v>
      </c>
      <c r="E1391" s="395" t="s">
        <v>993</v>
      </c>
      <c r="F1391" s="394">
        <v>17</v>
      </c>
      <c r="G1391" s="179">
        <v>856</v>
      </c>
      <c r="H1391" s="394">
        <f>856*1.06+415</f>
        <v>1322.3600000000001</v>
      </c>
      <c r="I1391" s="394">
        <f>+F1391/G1391*H1391</f>
        <v>26.261822429906545</v>
      </c>
      <c r="J1391" s="394">
        <f>+F1391+I1391</f>
        <v>43.261822429906545</v>
      </c>
      <c r="K1391" s="492">
        <v>0.3</v>
      </c>
      <c r="L1391" s="394">
        <f t="shared" ref="L1391:L1430" si="344">+J1391*K1391+J1391</f>
        <v>56.240369158878508</v>
      </c>
      <c r="M1391" s="394">
        <v>60</v>
      </c>
      <c r="N1391" s="504"/>
      <c r="P1391" s="495" t="s">
        <v>1832</v>
      </c>
      <c r="Q1391" s="833"/>
      <c r="R1391" s="396"/>
    </row>
    <row r="1392" spans="1:20" s="395" customFormat="1" ht="15.75" outlineLevel="1" x14ac:dyDescent="0.25">
      <c r="A1392" s="393"/>
      <c r="C1392" s="395">
        <v>2</v>
      </c>
      <c r="E1392" s="395" t="s">
        <v>992</v>
      </c>
      <c r="F1392" s="394"/>
      <c r="G1392" s="179"/>
      <c r="H1392" s="394"/>
      <c r="I1392" s="394"/>
      <c r="J1392" s="394"/>
      <c r="K1392" s="492"/>
      <c r="L1392" s="394"/>
      <c r="M1392" s="394"/>
      <c r="N1392" s="504"/>
      <c r="P1392" s="495" t="s">
        <v>1832</v>
      </c>
      <c r="Q1392" s="833"/>
      <c r="R1392" s="396"/>
    </row>
    <row r="1393" spans="1:20" s="395" customFormat="1" ht="15.75" outlineLevel="1" x14ac:dyDescent="0.25">
      <c r="A1393" s="154"/>
      <c r="E1393" s="393" t="s">
        <v>629</v>
      </c>
      <c r="F1393" s="394"/>
      <c r="I1393" s="394"/>
      <c r="J1393" s="394"/>
      <c r="K1393" s="492"/>
      <c r="L1393" s="394">
        <f t="shared" si="344"/>
        <v>0</v>
      </c>
      <c r="M1393" s="394"/>
      <c r="N1393" s="504"/>
      <c r="Q1393" s="833"/>
      <c r="R1393" s="396"/>
      <c r="S1393" s="149"/>
      <c r="T1393" s="149"/>
    </row>
    <row r="1394" spans="1:20" s="395" customFormat="1" ht="15.75" hidden="1" outlineLevel="1" x14ac:dyDescent="0.25">
      <c r="A1394" s="395" t="s">
        <v>599</v>
      </c>
      <c r="B1394" s="395" t="s">
        <v>599</v>
      </c>
      <c r="C1394" s="395">
        <v>3</v>
      </c>
      <c r="E1394" s="317" t="s">
        <v>600</v>
      </c>
      <c r="F1394" s="493">
        <v>17</v>
      </c>
      <c r="G1394" s="509">
        <v>9148</v>
      </c>
      <c r="H1394" s="493">
        <v>14368</v>
      </c>
      <c r="I1394" s="493">
        <f t="shared" ref="I1394:I1408" si="345">+F1394/G1394*H1394</f>
        <v>26.700480979449058</v>
      </c>
      <c r="J1394" s="493">
        <f t="shared" ref="J1394:J1408" si="346">+F1394+I1394</f>
        <v>43.700480979449054</v>
      </c>
      <c r="K1394" s="692">
        <v>0.3</v>
      </c>
      <c r="L1394" s="493">
        <f t="shared" si="344"/>
        <v>56.810625273283769</v>
      </c>
      <c r="M1394" s="493">
        <v>60</v>
      </c>
      <c r="N1394" s="504"/>
      <c r="P1394" s="395" t="s">
        <v>2910</v>
      </c>
      <c r="Q1394" s="833">
        <v>45468</v>
      </c>
      <c r="R1394" s="396"/>
    </row>
    <row r="1395" spans="1:20" s="395" customFormat="1" ht="15.75" outlineLevel="1" x14ac:dyDescent="0.25">
      <c r="A1395" s="395" t="s">
        <v>599</v>
      </c>
      <c r="B1395" s="395" t="s">
        <v>599</v>
      </c>
      <c r="C1395" s="395">
        <v>4</v>
      </c>
      <c r="E1395" s="395" t="s">
        <v>600</v>
      </c>
      <c r="F1395" s="394">
        <v>17</v>
      </c>
      <c r="G1395" s="179">
        <v>9148</v>
      </c>
      <c r="H1395" s="394">
        <v>14368</v>
      </c>
      <c r="I1395" s="394">
        <f t="shared" si="345"/>
        <v>26.700480979449058</v>
      </c>
      <c r="J1395" s="394">
        <f t="shared" si="346"/>
        <v>43.700480979449054</v>
      </c>
      <c r="K1395" s="492">
        <v>0.3</v>
      </c>
      <c r="L1395" s="394">
        <f t="shared" si="344"/>
        <v>56.810625273283769</v>
      </c>
      <c r="M1395" s="394">
        <v>60</v>
      </c>
      <c r="N1395" s="504"/>
      <c r="P1395" s="395" t="s">
        <v>1832</v>
      </c>
      <c r="Q1395" s="833"/>
      <c r="R1395" s="396"/>
    </row>
    <row r="1396" spans="1:20" s="395" customFormat="1" ht="15.75" outlineLevel="1" x14ac:dyDescent="0.25">
      <c r="A1396" s="395" t="s">
        <v>599</v>
      </c>
      <c r="B1396" s="395" t="s">
        <v>599</v>
      </c>
      <c r="C1396" s="395">
        <v>5</v>
      </c>
      <c r="E1396" s="395" t="s">
        <v>600</v>
      </c>
      <c r="F1396" s="394">
        <v>17</v>
      </c>
      <c r="G1396" s="179">
        <v>9148</v>
      </c>
      <c r="H1396" s="394">
        <v>14368</v>
      </c>
      <c r="I1396" s="394">
        <f t="shared" si="345"/>
        <v>26.700480979449058</v>
      </c>
      <c r="J1396" s="394">
        <f t="shared" si="346"/>
        <v>43.700480979449054</v>
      </c>
      <c r="K1396" s="492">
        <v>0.3</v>
      </c>
      <c r="L1396" s="394">
        <f t="shared" si="344"/>
        <v>56.810625273283769</v>
      </c>
      <c r="M1396" s="394">
        <v>60</v>
      </c>
      <c r="N1396" s="504"/>
      <c r="P1396" s="395" t="s">
        <v>1832</v>
      </c>
      <c r="Q1396" s="833"/>
      <c r="R1396" s="396"/>
    </row>
    <row r="1397" spans="1:20" s="395" customFormat="1" ht="15.75" hidden="1" outlineLevel="1" x14ac:dyDescent="0.25">
      <c r="A1397" s="395" t="s">
        <v>599</v>
      </c>
      <c r="B1397" s="395" t="s">
        <v>599</v>
      </c>
      <c r="C1397" s="395">
        <v>6</v>
      </c>
      <c r="E1397" s="317" t="s">
        <v>601</v>
      </c>
      <c r="F1397" s="493">
        <v>11</v>
      </c>
      <c r="G1397" s="509">
        <v>9148</v>
      </c>
      <c r="H1397" s="493">
        <v>14368</v>
      </c>
      <c r="I1397" s="493">
        <f t="shared" si="345"/>
        <v>17.276781810231743</v>
      </c>
      <c r="J1397" s="493">
        <f t="shared" si="346"/>
        <v>28.276781810231743</v>
      </c>
      <c r="K1397" s="692">
        <v>0.3</v>
      </c>
      <c r="L1397" s="493">
        <f t="shared" si="344"/>
        <v>36.759816353301261</v>
      </c>
      <c r="M1397" s="493">
        <v>45</v>
      </c>
      <c r="N1397" s="504"/>
      <c r="P1397" s="395" t="s">
        <v>1873</v>
      </c>
      <c r="Q1397" s="833">
        <v>45421</v>
      </c>
      <c r="R1397" s="396">
        <f>+M1397*14.5</f>
        <v>652.5</v>
      </c>
    </row>
    <row r="1398" spans="1:20" s="395" customFormat="1" ht="15.75" hidden="1" outlineLevel="1" x14ac:dyDescent="0.25">
      <c r="A1398" s="395" t="s">
        <v>599</v>
      </c>
      <c r="B1398" s="395" t="s">
        <v>599</v>
      </c>
      <c r="C1398" s="395">
        <v>7</v>
      </c>
      <c r="E1398" s="317" t="s">
        <v>601</v>
      </c>
      <c r="F1398" s="493">
        <v>11</v>
      </c>
      <c r="G1398" s="509">
        <v>9148</v>
      </c>
      <c r="H1398" s="493">
        <v>14368</v>
      </c>
      <c r="I1398" s="493">
        <f t="shared" si="345"/>
        <v>17.276781810231743</v>
      </c>
      <c r="J1398" s="493">
        <f t="shared" si="346"/>
        <v>28.276781810231743</v>
      </c>
      <c r="K1398" s="692">
        <v>0.3</v>
      </c>
      <c r="L1398" s="493">
        <f t="shared" si="344"/>
        <v>36.759816353301261</v>
      </c>
      <c r="M1398" s="493">
        <v>45</v>
      </c>
      <c r="N1398" s="504"/>
      <c r="P1398" s="395" t="s">
        <v>1873</v>
      </c>
      <c r="Q1398" s="833">
        <v>45436</v>
      </c>
      <c r="R1398" s="396">
        <f>+M1398*14.5</f>
        <v>652.5</v>
      </c>
    </row>
    <row r="1399" spans="1:20" s="395" customFormat="1" ht="15.75" hidden="1" outlineLevel="1" x14ac:dyDescent="0.25">
      <c r="A1399" s="395" t="s">
        <v>599</v>
      </c>
      <c r="B1399" s="395" t="s">
        <v>599</v>
      </c>
      <c r="C1399" s="395">
        <v>8</v>
      </c>
      <c r="E1399" s="317" t="s">
        <v>601</v>
      </c>
      <c r="F1399" s="493">
        <v>11</v>
      </c>
      <c r="G1399" s="509">
        <v>9148</v>
      </c>
      <c r="H1399" s="493">
        <v>14368</v>
      </c>
      <c r="I1399" s="493">
        <f t="shared" si="345"/>
        <v>17.276781810231743</v>
      </c>
      <c r="J1399" s="493">
        <f t="shared" si="346"/>
        <v>28.276781810231743</v>
      </c>
      <c r="K1399" s="692">
        <v>0.3</v>
      </c>
      <c r="L1399" s="493">
        <f t="shared" si="344"/>
        <v>36.759816353301261</v>
      </c>
      <c r="M1399" s="493">
        <v>45</v>
      </c>
      <c r="N1399" s="504"/>
      <c r="P1399" s="395" t="s">
        <v>644</v>
      </c>
      <c r="Q1399" s="833">
        <v>45437</v>
      </c>
      <c r="R1399" s="396">
        <f>+M1399*14.5</f>
        <v>652.5</v>
      </c>
    </row>
    <row r="1400" spans="1:20" s="395" customFormat="1" ht="15.75" hidden="1" outlineLevel="1" x14ac:dyDescent="0.25">
      <c r="A1400" s="395" t="s">
        <v>599</v>
      </c>
      <c r="B1400" s="395" t="s">
        <v>599</v>
      </c>
      <c r="C1400" s="395">
        <v>9</v>
      </c>
      <c r="E1400" s="317" t="s">
        <v>601</v>
      </c>
      <c r="F1400" s="493">
        <v>11</v>
      </c>
      <c r="G1400" s="509">
        <v>9148</v>
      </c>
      <c r="H1400" s="493">
        <v>14368</v>
      </c>
      <c r="I1400" s="493">
        <f t="shared" si="345"/>
        <v>17.276781810231743</v>
      </c>
      <c r="J1400" s="493">
        <f t="shared" si="346"/>
        <v>28.276781810231743</v>
      </c>
      <c r="K1400" s="692">
        <v>0.3</v>
      </c>
      <c r="L1400" s="493">
        <f t="shared" si="344"/>
        <v>36.759816353301261</v>
      </c>
      <c r="M1400" s="493">
        <v>45</v>
      </c>
      <c r="N1400" s="504"/>
      <c r="P1400" s="395" t="s">
        <v>2816</v>
      </c>
      <c r="Q1400" s="833">
        <v>45456</v>
      </c>
      <c r="R1400" s="396">
        <f>+M1400*14.5</f>
        <v>652.5</v>
      </c>
    </row>
    <row r="1401" spans="1:20" s="395" customFormat="1" ht="15.75" hidden="1" outlineLevel="1" x14ac:dyDescent="0.25">
      <c r="A1401" s="395" t="s">
        <v>599</v>
      </c>
      <c r="B1401" s="395" t="s">
        <v>599</v>
      </c>
      <c r="C1401" s="395">
        <v>10</v>
      </c>
      <c r="E1401" s="317" t="s">
        <v>601</v>
      </c>
      <c r="F1401" s="493">
        <v>11</v>
      </c>
      <c r="G1401" s="509">
        <v>9148</v>
      </c>
      <c r="H1401" s="493">
        <v>14368</v>
      </c>
      <c r="I1401" s="493">
        <f t="shared" si="345"/>
        <v>17.276781810231743</v>
      </c>
      <c r="J1401" s="493">
        <f t="shared" si="346"/>
        <v>28.276781810231743</v>
      </c>
      <c r="K1401" s="692">
        <v>0.3</v>
      </c>
      <c r="L1401" s="493">
        <f t="shared" si="344"/>
        <v>36.759816353301261</v>
      </c>
      <c r="M1401" s="493">
        <v>45</v>
      </c>
      <c r="N1401" s="504"/>
      <c r="P1401" s="395" t="s">
        <v>2840</v>
      </c>
      <c r="Q1401" s="833">
        <v>45460</v>
      </c>
      <c r="R1401" s="396">
        <f>+M1401*14.5</f>
        <v>652.5</v>
      </c>
    </row>
    <row r="1402" spans="1:20" s="395" customFormat="1" ht="15.75" hidden="1" outlineLevel="1" x14ac:dyDescent="0.25">
      <c r="A1402" s="395" t="s">
        <v>599</v>
      </c>
      <c r="B1402" s="395" t="s">
        <v>599</v>
      </c>
      <c r="C1402" s="395">
        <v>11</v>
      </c>
      <c r="E1402" s="317" t="s">
        <v>601</v>
      </c>
      <c r="F1402" s="493">
        <v>11</v>
      </c>
      <c r="G1402" s="509">
        <v>9148</v>
      </c>
      <c r="H1402" s="493">
        <v>14368</v>
      </c>
      <c r="I1402" s="493">
        <f t="shared" si="345"/>
        <v>17.276781810231743</v>
      </c>
      <c r="J1402" s="493">
        <f t="shared" si="346"/>
        <v>28.276781810231743</v>
      </c>
      <c r="K1402" s="692">
        <v>0.3</v>
      </c>
      <c r="L1402" s="493">
        <f t="shared" si="344"/>
        <v>36.759816353301261</v>
      </c>
      <c r="M1402" s="493">
        <v>45</v>
      </c>
      <c r="N1402" s="504"/>
      <c r="P1402" s="395" t="s">
        <v>2915</v>
      </c>
      <c r="Q1402" s="833">
        <v>45468</v>
      </c>
      <c r="R1402" s="396"/>
    </row>
    <row r="1403" spans="1:20" s="395" customFormat="1" ht="15.75" outlineLevel="1" x14ac:dyDescent="0.25">
      <c r="A1403" s="395" t="s">
        <v>599</v>
      </c>
      <c r="B1403" s="395" t="s">
        <v>599</v>
      </c>
      <c r="C1403" s="395">
        <v>12</v>
      </c>
      <c r="E1403" s="395" t="s">
        <v>601</v>
      </c>
      <c r="F1403" s="394">
        <v>11</v>
      </c>
      <c r="G1403" s="179">
        <v>9148</v>
      </c>
      <c r="H1403" s="394">
        <v>14368</v>
      </c>
      <c r="I1403" s="394">
        <f t="shared" si="345"/>
        <v>17.276781810231743</v>
      </c>
      <c r="J1403" s="394">
        <f t="shared" si="346"/>
        <v>28.276781810231743</v>
      </c>
      <c r="K1403" s="492">
        <v>0.3</v>
      </c>
      <c r="L1403" s="394">
        <f t="shared" si="344"/>
        <v>36.759816353301261</v>
      </c>
      <c r="M1403" s="394">
        <v>45</v>
      </c>
      <c r="N1403" s="504"/>
      <c r="P1403" s="395" t="s">
        <v>1832</v>
      </c>
      <c r="Q1403" s="833"/>
      <c r="R1403" s="396"/>
    </row>
    <row r="1404" spans="1:20" s="395" customFormat="1" ht="15.75" outlineLevel="1" x14ac:dyDescent="0.25">
      <c r="A1404" s="395" t="s">
        <v>599</v>
      </c>
      <c r="B1404" s="395" t="s">
        <v>599</v>
      </c>
      <c r="C1404" s="395">
        <v>13</v>
      </c>
      <c r="E1404" s="395" t="s">
        <v>601</v>
      </c>
      <c r="F1404" s="394">
        <v>11</v>
      </c>
      <c r="G1404" s="179">
        <v>9148</v>
      </c>
      <c r="H1404" s="394">
        <v>14368</v>
      </c>
      <c r="I1404" s="394">
        <f t="shared" si="345"/>
        <v>17.276781810231743</v>
      </c>
      <c r="J1404" s="394">
        <f t="shared" si="346"/>
        <v>28.276781810231743</v>
      </c>
      <c r="K1404" s="492">
        <v>0.3</v>
      </c>
      <c r="L1404" s="394">
        <f t="shared" si="344"/>
        <v>36.759816353301261</v>
      </c>
      <c r="M1404" s="394">
        <v>45</v>
      </c>
      <c r="N1404" s="504"/>
      <c r="P1404" s="395" t="s">
        <v>1832</v>
      </c>
      <c r="Q1404" s="833"/>
      <c r="R1404" s="396"/>
    </row>
    <row r="1405" spans="1:20" s="149" customFormat="1" ht="21" customHeight="1" x14ac:dyDescent="0.25">
      <c r="A1405" s="395" t="s">
        <v>599</v>
      </c>
      <c r="B1405" s="395" t="s">
        <v>599</v>
      </c>
      <c r="C1405" s="395">
        <v>14</v>
      </c>
      <c r="D1405" s="395"/>
      <c r="E1405" s="395" t="s">
        <v>601</v>
      </c>
      <c r="F1405" s="394">
        <v>11</v>
      </c>
      <c r="G1405" s="179">
        <v>9148</v>
      </c>
      <c r="H1405" s="394">
        <v>14368</v>
      </c>
      <c r="I1405" s="394">
        <f t="shared" si="345"/>
        <v>17.276781810231743</v>
      </c>
      <c r="J1405" s="394">
        <f t="shared" si="346"/>
        <v>28.276781810231743</v>
      </c>
      <c r="K1405" s="492">
        <v>0.3</v>
      </c>
      <c r="L1405" s="394">
        <f t="shared" si="344"/>
        <v>36.759816353301261</v>
      </c>
      <c r="M1405" s="394">
        <v>45</v>
      </c>
      <c r="N1405" s="504"/>
      <c r="O1405" s="395"/>
      <c r="P1405" s="395" t="s">
        <v>1832</v>
      </c>
      <c r="Q1405" s="833"/>
      <c r="R1405" s="396"/>
      <c r="S1405" s="395"/>
      <c r="T1405" s="395"/>
    </row>
    <row r="1406" spans="1:20" s="149" customFormat="1" ht="15" customHeight="1" x14ac:dyDescent="0.25">
      <c r="A1406" s="395" t="s">
        <v>599</v>
      </c>
      <c r="B1406" s="395" t="s">
        <v>599</v>
      </c>
      <c r="C1406" s="395">
        <v>15</v>
      </c>
      <c r="D1406" s="395"/>
      <c r="E1406" s="395" t="s">
        <v>601</v>
      </c>
      <c r="F1406" s="394">
        <v>11</v>
      </c>
      <c r="G1406" s="179">
        <v>9148</v>
      </c>
      <c r="H1406" s="394">
        <v>14368</v>
      </c>
      <c r="I1406" s="394">
        <f t="shared" si="345"/>
        <v>17.276781810231743</v>
      </c>
      <c r="J1406" s="394">
        <f t="shared" si="346"/>
        <v>28.276781810231743</v>
      </c>
      <c r="K1406" s="492">
        <v>0.3</v>
      </c>
      <c r="L1406" s="394">
        <f t="shared" si="344"/>
        <v>36.759816353301261</v>
      </c>
      <c r="M1406" s="394">
        <v>45</v>
      </c>
      <c r="N1406" s="504"/>
      <c r="O1406" s="395"/>
      <c r="P1406" s="395" t="s">
        <v>1832</v>
      </c>
      <c r="Q1406" s="833"/>
      <c r="R1406" s="396"/>
      <c r="S1406" s="395"/>
      <c r="T1406" s="395"/>
    </row>
    <row r="1407" spans="1:20" s="149" customFormat="1" ht="15" customHeight="1" x14ac:dyDescent="0.25">
      <c r="A1407" s="395" t="s">
        <v>599</v>
      </c>
      <c r="B1407" s="395" t="s">
        <v>599</v>
      </c>
      <c r="C1407" s="395">
        <v>16</v>
      </c>
      <c r="D1407" s="395"/>
      <c r="E1407" s="395" t="s">
        <v>601</v>
      </c>
      <c r="F1407" s="394">
        <v>11</v>
      </c>
      <c r="G1407" s="179">
        <v>9148</v>
      </c>
      <c r="H1407" s="394">
        <v>14368</v>
      </c>
      <c r="I1407" s="394">
        <f t="shared" si="345"/>
        <v>17.276781810231743</v>
      </c>
      <c r="J1407" s="394">
        <f t="shared" si="346"/>
        <v>28.276781810231743</v>
      </c>
      <c r="K1407" s="492">
        <v>0.3</v>
      </c>
      <c r="L1407" s="394">
        <f t="shared" si="344"/>
        <v>36.759816353301261</v>
      </c>
      <c r="M1407" s="394">
        <v>45</v>
      </c>
      <c r="N1407" s="504"/>
      <c r="O1407" s="395"/>
      <c r="P1407" s="395" t="s">
        <v>1832</v>
      </c>
      <c r="Q1407" s="833"/>
      <c r="R1407" s="396"/>
      <c r="S1407" s="395"/>
      <c r="T1407" s="395"/>
    </row>
    <row r="1408" spans="1:20" ht="15" customHeight="1" x14ac:dyDescent="0.25">
      <c r="A1408" s="395" t="s">
        <v>599</v>
      </c>
      <c r="B1408" s="395" t="s">
        <v>599</v>
      </c>
      <c r="C1408" s="395">
        <v>17</v>
      </c>
      <c r="D1408" s="395"/>
      <c r="E1408" s="395" t="s">
        <v>601</v>
      </c>
      <c r="F1408" s="394">
        <v>11</v>
      </c>
      <c r="G1408" s="179">
        <v>9148</v>
      </c>
      <c r="H1408" s="394">
        <v>14368</v>
      </c>
      <c r="I1408" s="394">
        <f t="shared" si="345"/>
        <v>17.276781810231743</v>
      </c>
      <c r="J1408" s="394">
        <f t="shared" si="346"/>
        <v>28.276781810231743</v>
      </c>
      <c r="K1408" s="492">
        <v>0.3</v>
      </c>
      <c r="L1408" s="394">
        <f t="shared" si="344"/>
        <v>36.759816353301261</v>
      </c>
      <c r="M1408" s="394">
        <v>45</v>
      </c>
      <c r="N1408" s="504"/>
      <c r="O1408" s="395"/>
      <c r="P1408" s="395"/>
      <c r="Q1408" s="833"/>
      <c r="R1408" s="396"/>
      <c r="S1408" s="395"/>
      <c r="T1408" s="395"/>
    </row>
    <row r="1409" spans="1:20" ht="15" customHeight="1" outlineLevel="1" x14ac:dyDescent="0.25">
      <c r="A1409" s="393"/>
      <c r="B1409" s="393" t="s">
        <v>800</v>
      </c>
      <c r="C1409" s="395"/>
      <c r="D1409" s="395"/>
      <c r="E1409" s="395"/>
      <c r="F1409" s="394"/>
      <c r="G1409" s="179"/>
      <c r="H1409" s="394"/>
      <c r="I1409" s="394"/>
      <c r="J1409" s="394"/>
      <c r="K1409" s="492"/>
      <c r="M1409" s="394"/>
      <c r="N1409" s="504"/>
      <c r="O1409" s="395"/>
      <c r="P1409" s="395"/>
      <c r="Q1409" s="833"/>
      <c r="R1409" s="396"/>
      <c r="S1409" s="395"/>
      <c r="T1409" s="395"/>
    </row>
    <row r="1410" spans="1:20" s="395" customFormat="1" ht="15.75" outlineLevel="1" x14ac:dyDescent="0.25">
      <c r="B1410" s="395" t="s">
        <v>803</v>
      </c>
      <c r="C1410" s="395">
        <v>18</v>
      </c>
      <c r="E1410" s="276" t="s">
        <v>776</v>
      </c>
      <c r="F1410" s="394">
        <v>30</v>
      </c>
      <c r="G1410" s="179">
        <v>8183</v>
      </c>
      <c r="H1410" s="394">
        <v>13183</v>
      </c>
      <c r="I1410" s="394">
        <f>+F1410/G1410*H1410</f>
        <v>48.330685567640231</v>
      </c>
      <c r="J1410" s="394">
        <f>+F1410+I1410</f>
        <v>78.330685567640231</v>
      </c>
      <c r="K1410" s="492">
        <v>0.3</v>
      </c>
      <c r="L1410" s="394">
        <f t="shared" si="344"/>
        <v>101.8298912379323</v>
      </c>
      <c r="M1410" s="394">
        <v>125</v>
      </c>
      <c r="N1410" s="504"/>
      <c r="Q1410" s="833"/>
      <c r="R1410" s="396"/>
    </row>
    <row r="1411" spans="1:20" s="395" customFormat="1" ht="15.75" outlineLevel="1" x14ac:dyDescent="0.25">
      <c r="B1411" s="395" t="s">
        <v>599</v>
      </c>
      <c r="C1411" s="395">
        <v>19</v>
      </c>
      <c r="E1411" s="276" t="s">
        <v>838</v>
      </c>
      <c r="F1411" s="394">
        <v>30</v>
      </c>
      <c r="G1411" s="179">
        <v>8183</v>
      </c>
      <c r="H1411" s="394">
        <v>13183</v>
      </c>
      <c r="I1411" s="394">
        <f>+F1411/G1411*H1411</f>
        <v>48.330685567640231</v>
      </c>
      <c r="J1411" s="394">
        <f>+F1411+I1411</f>
        <v>78.330685567640231</v>
      </c>
      <c r="K1411" s="492">
        <v>0.3</v>
      </c>
      <c r="L1411" s="394">
        <f t="shared" si="344"/>
        <v>101.8298912379323</v>
      </c>
      <c r="M1411" s="394">
        <v>120</v>
      </c>
      <c r="N1411" s="504"/>
      <c r="P1411" s="395" t="s">
        <v>1629</v>
      </c>
      <c r="Q1411" s="833"/>
      <c r="R1411" s="396"/>
    </row>
    <row r="1412" spans="1:20" s="395" customFormat="1" ht="15.75" outlineLevel="1" x14ac:dyDescent="0.25">
      <c r="B1412" s="395" t="s">
        <v>599</v>
      </c>
      <c r="C1412" s="395">
        <v>20</v>
      </c>
      <c r="E1412" s="276" t="s">
        <v>839</v>
      </c>
      <c r="F1412" s="394">
        <v>30</v>
      </c>
      <c r="G1412" s="179">
        <v>8183</v>
      </c>
      <c r="H1412" s="394">
        <v>13183</v>
      </c>
      <c r="I1412" s="394">
        <f>+F1412/G1412*H1412</f>
        <v>48.330685567640231</v>
      </c>
      <c r="J1412" s="394">
        <f>+F1412+I1412</f>
        <v>78.330685567640231</v>
      </c>
      <c r="K1412" s="492">
        <v>0.3</v>
      </c>
      <c r="L1412" s="394">
        <f t="shared" si="344"/>
        <v>101.8298912379323</v>
      </c>
      <c r="M1412" s="394">
        <v>120</v>
      </c>
      <c r="N1412" s="504"/>
      <c r="P1412" s="395" t="s">
        <v>1629</v>
      </c>
      <c r="Q1412" s="833"/>
      <c r="R1412" s="396"/>
    </row>
    <row r="1413" spans="1:20" s="395" customFormat="1" ht="15.75" outlineLevel="1" x14ac:dyDescent="0.25">
      <c r="C1413" s="395">
        <v>21</v>
      </c>
      <c r="E1413" s="276" t="s">
        <v>839</v>
      </c>
      <c r="F1413" s="394">
        <v>30</v>
      </c>
      <c r="G1413" s="179">
        <v>8183</v>
      </c>
      <c r="H1413" s="394">
        <v>13183</v>
      </c>
      <c r="I1413" s="394">
        <f>+F1413/G1413*H1413</f>
        <v>48.330685567640231</v>
      </c>
      <c r="J1413" s="394">
        <f>+F1413+I1413</f>
        <v>78.330685567640231</v>
      </c>
      <c r="K1413" s="492">
        <v>0.3</v>
      </c>
      <c r="L1413" s="394">
        <f>+J1413*K1413+J1413</f>
        <v>101.8298912379323</v>
      </c>
      <c r="M1413" s="394">
        <v>120</v>
      </c>
      <c r="N1413" s="504"/>
      <c r="O1413" s="362"/>
      <c r="Q1413" s="833"/>
      <c r="R1413" s="396"/>
    </row>
    <row r="1414" spans="1:20" s="395" customFormat="1" ht="15.75" outlineLevel="1" x14ac:dyDescent="0.25">
      <c r="A1414" s="154"/>
      <c r="F1414" s="150">
        <f t="shared" ref="F1414:M1414" si="347">SUM(F1391:F1413)</f>
        <v>320</v>
      </c>
      <c r="G1414" s="150">
        <f t="shared" si="347"/>
        <v>170808</v>
      </c>
      <c r="H1414" s="150">
        <f t="shared" si="347"/>
        <v>269574.36</v>
      </c>
      <c r="I1414" s="150">
        <f t="shared" si="347"/>
        <v>507.00738936159547</v>
      </c>
      <c r="J1414" s="150">
        <f t="shared" si="347"/>
        <v>827.00738936159553</v>
      </c>
      <c r="K1414" s="150">
        <f t="shared" si="347"/>
        <v>5.9999999999999982</v>
      </c>
      <c r="L1414" s="150">
        <f t="shared" si="347"/>
        <v>1075.1096061700744</v>
      </c>
      <c r="M1414" s="150">
        <f t="shared" si="347"/>
        <v>1265</v>
      </c>
      <c r="N1414" s="404"/>
      <c r="P1414" s="160"/>
      <c r="Q1414" s="834"/>
      <c r="R1414" s="917"/>
      <c r="S1414" s="11"/>
      <c r="T1414" s="11"/>
    </row>
    <row r="1415" spans="1:20" s="395" customFormat="1" ht="15.75" outlineLevel="1" x14ac:dyDescent="0.25">
      <c r="A1415" s="154"/>
      <c r="C1415" s="500">
        <v>40</v>
      </c>
      <c r="D1415" s="500">
        <v>-16</v>
      </c>
      <c r="E1415" s="393">
        <f>+C1415+D1415</f>
        <v>24</v>
      </c>
      <c r="F1415" s="150"/>
      <c r="G1415" s="150"/>
      <c r="H1415" s="150"/>
      <c r="I1415" s="150"/>
      <c r="J1415" s="150"/>
      <c r="K1415" s="150"/>
      <c r="L1415" s="394"/>
      <c r="M1415" s="348">
        <f>+M1414/F1414</f>
        <v>3.953125</v>
      </c>
      <c r="N1415" s="744"/>
      <c r="O1415" s="167"/>
      <c r="P1415" s="150"/>
      <c r="Q1415" s="854"/>
      <c r="R1415" s="915"/>
      <c r="S1415" s="11"/>
      <c r="T1415" s="11"/>
    </row>
    <row r="1416" spans="1:20" s="395" customFormat="1" ht="15.75" outlineLevel="1" x14ac:dyDescent="0.25">
      <c r="A1416" s="149"/>
      <c r="B1416" s="393" t="s">
        <v>265</v>
      </c>
      <c r="C1416" s="500"/>
      <c r="D1416" s="500"/>
      <c r="E1416" s="393"/>
      <c r="F1416" s="150"/>
      <c r="G1416" s="150"/>
      <c r="H1416" s="150"/>
      <c r="I1416" s="150"/>
      <c r="J1416" s="150"/>
      <c r="K1416" s="150"/>
      <c r="L1416" s="394"/>
      <c r="M1416" s="150"/>
      <c r="N1416" s="404"/>
      <c r="O1416" s="167"/>
      <c r="P1416" s="150"/>
      <c r="Q1416" s="854"/>
      <c r="R1416" s="915"/>
      <c r="S1416" s="11"/>
      <c r="T1416" s="11"/>
    </row>
    <row r="1417" spans="1:20" s="395" customFormat="1" ht="15.75" hidden="1" outlineLevel="1" x14ac:dyDescent="0.25">
      <c r="A1417" s="154"/>
      <c r="B1417" s="393" t="s">
        <v>273</v>
      </c>
      <c r="F1417" s="150"/>
      <c r="G1417" s="160"/>
      <c r="H1417" s="160"/>
      <c r="I1417" s="258"/>
      <c r="J1417" s="258"/>
      <c r="K1417" s="160"/>
      <c r="L1417" s="394"/>
      <c r="M1417" s="258"/>
      <c r="N1417" s="504"/>
      <c r="P1417" s="160"/>
      <c r="Q1417" s="834"/>
      <c r="R1417" s="917"/>
      <c r="S1417" s="11"/>
      <c r="T1417" s="11"/>
    </row>
    <row r="1418" spans="1:20" s="395" customFormat="1" ht="15.75" outlineLevel="1" x14ac:dyDescent="0.25">
      <c r="A1418" s="154"/>
      <c r="B1418" s="393" t="s">
        <v>401</v>
      </c>
      <c r="F1418" s="150"/>
      <c r="G1418" s="160"/>
      <c r="H1418" s="160"/>
      <c r="I1418" s="258"/>
      <c r="J1418" s="258"/>
      <c r="K1418" s="497"/>
      <c r="L1418" s="394">
        <f t="shared" si="344"/>
        <v>0</v>
      </c>
      <c r="M1418" s="258"/>
      <c r="N1418" s="504"/>
      <c r="P1418" s="160"/>
      <c r="Q1418" s="834"/>
      <c r="R1418" s="917"/>
      <c r="S1418" s="11"/>
      <c r="T1418" s="11"/>
    </row>
    <row r="1419" spans="1:20" s="494" customFormat="1" ht="15.75" outlineLevel="1" x14ac:dyDescent="0.25">
      <c r="A1419" s="428"/>
      <c r="B1419" s="494" t="s">
        <v>399</v>
      </c>
      <c r="C1419" s="494">
        <v>1</v>
      </c>
      <c r="E1419" s="494" t="s">
        <v>398</v>
      </c>
      <c r="F1419" s="494">
        <v>17</v>
      </c>
      <c r="G1419" s="494">
        <v>960</v>
      </c>
      <c r="H1419" s="504">
        <f t="shared" ref="H1419:H1428" si="348">+G1419+746</f>
        <v>1706</v>
      </c>
      <c r="I1419" s="504">
        <f t="shared" ref="I1419:I1428" si="349">+F1419/G1419*H1419</f>
        <v>30.210416666666667</v>
      </c>
      <c r="J1419" s="504">
        <f t="shared" ref="J1419:J1428" si="350">+F1419+I1419</f>
        <v>47.210416666666667</v>
      </c>
      <c r="K1419" s="671">
        <v>0.3</v>
      </c>
      <c r="L1419" s="504">
        <f t="shared" si="344"/>
        <v>61.373541666666668</v>
      </c>
      <c r="M1419" s="504">
        <v>65</v>
      </c>
      <c r="N1419" s="504"/>
      <c r="Q1419" s="841"/>
      <c r="R1419" s="918"/>
    </row>
    <row r="1420" spans="1:20" s="149" customFormat="1" ht="15" hidden="1" customHeight="1" outlineLevel="1" x14ac:dyDescent="0.25">
      <c r="A1420" s="393"/>
      <c r="B1420" s="395" t="s">
        <v>399</v>
      </c>
      <c r="C1420" s="395">
        <v>2</v>
      </c>
      <c r="D1420" s="395"/>
      <c r="E1420" s="317" t="s">
        <v>400</v>
      </c>
      <c r="F1420" s="317">
        <v>17</v>
      </c>
      <c r="G1420" s="317">
        <v>960</v>
      </c>
      <c r="H1420" s="493">
        <f t="shared" si="348"/>
        <v>1706</v>
      </c>
      <c r="I1420" s="493">
        <f t="shared" si="349"/>
        <v>30.210416666666667</v>
      </c>
      <c r="J1420" s="493">
        <f t="shared" si="350"/>
        <v>47.210416666666667</v>
      </c>
      <c r="K1420" s="533">
        <v>0.3</v>
      </c>
      <c r="L1420" s="493">
        <f t="shared" si="344"/>
        <v>61.373541666666668</v>
      </c>
      <c r="M1420" s="493">
        <v>65</v>
      </c>
      <c r="N1420" s="504">
        <v>25</v>
      </c>
      <c r="O1420" s="362"/>
      <c r="P1420" s="395" t="s">
        <v>1860</v>
      </c>
      <c r="Q1420" s="833">
        <v>45308</v>
      </c>
      <c r="R1420" s="396">
        <f>+N1420*7000</f>
        <v>175000</v>
      </c>
      <c r="S1420" s="395"/>
      <c r="T1420" s="395"/>
    </row>
    <row r="1421" spans="1:20" s="149" customFormat="1" ht="15" hidden="1" customHeight="1" outlineLevel="1" x14ac:dyDescent="0.25">
      <c r="A1421" s="393"/>
      <c r="B1421" s="395" t="s">
        <v>399</v>
      </c>
      <c r="C1421" s="395">
        <v>3</v>
      </c>
      <c r="D1421" s="395"/>
      <c r="E1421" s="317" t="s">
        <v>400</v>
      </c>
      <c r="F1421" s="317">
        <v>17</v>
      </c>
      <c r="G1421" s="317">
        <v>960</v>
      </c>
      <c r="H1421" s="493">
        <f t="shared" si="348"/>
        <v>1706</v>
      </c>
      <c r="I1421" s="493">
        <f t="shared" si="349"/>
        <v>30.210416666666667</v>
      </c>
      <c r="J1421" s="493">
        <f t="shared" si="350"/>
        <v>47.210416666666667</v>
      </c>
      <c r="K1421" s="533">
        <v>0.3</v>
      </c>
      <c r="L1421" s="493">
        <f t="shared" si="344"/>
        <v>61.373541666666668</v>
      </c>
      <c r="M1421" s="493">
        <v>65</v>
      </c>
      <c r="N1421" s="504">
        <v>25</v>
      </c>
      <c r="O1421" s="362"/>
      <c r="P1421" s="395" t="s">
        <v>12</v>
      </c>
      <c r="Q1421" s="833">
        <v>45405</v>
      </c>
      <c r="R1421" s="396">
        <f>+N1421*36000</f>
        <v>900000</v>
      </c>
      <c r="S1421" s="395"/>
      <c r="T1421" s="395"/>
    </row>
    <row r="1422" spans="1:20" s="149" customFormat="1" ht="15" hidden="1" customHeight="1" outlineLevel="1" x14ac:dyDescent="0.25">
      <c r="A1422" s="393"/>
      <c r="B1422" s="395" t="s">
        <v>399</v>
      </c>
      <c r="C1422" s="395">
        <v>4</v>
      </c>
      <c r="D1422" s="395"/>
      <c r="E1422" s="317" t="s">
        <v>400</v>
      </c>
      <c r="F1422" s="317">
        <v>17</v>
      </c>
      <c r="G1422" s="317">
        <v>960</v>
      </c>
      <c r="H1422" s="493">
        <f t="shared" si="348"/>
        <v>1706</v>
      </c>
      <c r="I1422" s="493">
        <f t="shared" si="349"/>
        <v>30.210416666666667</v>
      </c>
      <c r="J1422" s="493">
        <f t="shared" si="350"/>
        <v>47.210416666666667</v>
      </c>
      <c r="K1422" s="533">
        <v>0.3</v>
      </c>
      <c r="L1422" s="493">
        <f t="shared" si="344"/>
        <v>61.373541666666668</v>
      </c>
      <c r="M1422" s="493">
        <v>65</v>
      </c>
      <c r="N1422" s="504">
        <v>25</v>
      </c>
      <c r="O1422" s="362"/>
      <c r="P1422" s="395" t="s">
        <v>12</v>
      </c>
      <c r="Q1422" s="833">
        <v>45435</v>
      </c>
      <c r="R1422" s="396">
        <f>+N1422*14.5</f>
        <v>362.5</v>
      </c>
      <c r="S1422" s="395"/>
      <c r="T1422" s="395"/>
    </row>
    <row r="1423" spans="1:20" s="149" customFormat="1" ht="15" hidden="1" customHeight="1" outlineLevel="1" x14ac:dyDescent="0.25">
      <c r="A1423" s="393"/>
      <c r="B1423" s="395" t="s">
        <v>399</v>
      </c>
      <c r="C1423" s="395">
        <v>5</v>
      </c>
      <c r="D1423" s="395"/>
      <c r="E1423" s="317" t="s">
        <v>400</v>
      </c>
      <c r="F1423" s="317">
        <v>17</v>
      </c>
      <c r="G1423" s="317">
        <v>960</v>
      </c>
      <c r="H1423" s="493">
        <f t="shared" si="348"/>
        <v>1706</v>
      </c>
      <c r="I1423" s="493">
        <f t="shared" si="349"/>
        <v>30.210416666666667</v>
      </c>
      <c r="J1423" s="493">
        <f t="shared" si="350"/>
        <v>47.210416666666667</v>
      </c>
      <c r="K1423" s="533">
        <v>0.3</v>
      </c>
      <c r="L1423" s="493">
        <f t="shared" si="344"/>
        <v>61.373541666666668</v>
      </c>
      <c r="M1423" s="493">
        <v>65</v>
      </c>
      <c r="N1423" s="504">
        <v>25</v>
      </c>
      <c r="O1423" s="362"/>
      <c r="P1423" s="395" t="s">
        <v>12</v>
      </c>
      <c r="Q1423" s="833">
        <v>45462</v>
      </c>
      <c r="R1423" s="396"/>
      <c r="S1423" s="395"/>
      <c r="T1423" s="395"/>
    </row>
    <row r="1424" spans="1:20" s="395" customFormat="1" ht="15.75" hidden="1" outlineLevel="1" x14ac:dyDescent="0.25">
      <c r="A1424" s="393"/>
      <c r="B1424" s="395" t="s">
        <v>399</v>
      </c>
      <c r="C1424" s="395">
        <v>6</v>
      </c>
      <c r="E1424" s="317" t="s">
        <v>400</v>
      </c>
      <c r="F1424" s="317">
        <v>17</v>
      </c>
      <c r="G1424" s="317">
        <v>960</v>
      </c>
      <c r="H1424" s="493">
        <f t="shared" si="348"/>
        <v>1706</v>
      </c>
      <c r="I1424" s="493">
        <f t="shared" si="349"/>
        <v>30.210416666666667</v>
      </c>
      <c r="J1424" s="493">
        <f t="shared" si="350"/>
        <v>47.210416666666667</v>
      </c>
      <c r="K1424" s="533">
        <v>0.3</v>
      </c>
      <c r="L1424" s="493">
        <f t="shared" si="344"/>
        <v>61.373541666666668</v>
      </c>
      <c r="M1424" s="493">
        <v>65</v>
      </c>
      <c r="N1424" s="504">
        <v>25</v>
      </c>
      <c r="O1424" s="362"/>
      <c r="P1424" s="395" t="s">
        <v>12</v>
      </c>
      <c r="Q1424" s="833">
        <v>45462</v>
      </c>
      <c r="R1424" s="396"/>
    </row>
    <row r="1425" spans="1:20" s="395" customFormat="1" ht="15.75" hidden="1" outlineLevel="1" x14ac:dyDescent="0.25">
      <c r="A1425" s="393"/>
      <c r="B1425" s="395" t="s">
        <v>399</v>
      </c>
      <c r="C1425" s="395">
        <v>7</v>
      </c>
      <c r="E1425" s="317" t="s">
        <v>400</v>
      </c>
      <c r="F1425" s="317">
        <v>17</v>
      </c>
      <c r="G1425" s="317">
        <v>960</v>
      </c>
      <c r="H1425" s="493">
        <f t="shared" si="348"/>
        <v>1706</v>
      </c>
      <c r="I1425" s="493">
        <f t="shared" si="349"/>
        <v>30.210416666666667</v>
      </c>
      <c r="J1425" s="493">
        <f t="shared" si="350"/>
        <v>47.210416666666667</v>
      </c>
      <c r="K1425" s="533">
        <v>0.3</v>
      </c>
      <c r="L1425" s="493">
        <f t="shared" si="344"/>
        <v>61.373541666666668</v>
      </c>
      <c r="M1425" s="493">
        <v>65</v>
      </c>
      <c r="N1425" s="504"/>
      <c r="O1425" s="362"/>
      <c r="P1425" s="395" t="s">
        <v>12</v>
      </c>
      <c r="Q1425" s="833">
        <v>45482</v>
      </c>
      <c r="R1425" s="396"/>
    </row>
    <row r="1426" spans="1:20" s="395" customFormat="1" ht="15.75" hidden="1" outlineLevel="1" x14ac:dyDescent="0.25">
      <c r="A1426" s="393"/>
      <c r="B1426" s="395" t="s">
        <v>399</v>
      </c>
      <c r="C1426" s="395">
        <v>8</v>
      </c>
      <c r="E1426" s="317" t="s">
        <v>400</v>
      </c>
      <c r="F1426" s="317">
        <v>17</v>
      </c>
      <c r="G1426" s="317">
        <v>960</v>
      </c>
      <c r="H1426" s="493">
        <f t="shared" si="348"/>
        <v>1706</v>
      </c>
      <c r="I1426" s="493">
        <f t="shared" si="349"/>
        <v>30.210416666666667</v>
      </c>
      <c r="J1426" s="493">
        <f t="shared" si="350"/>
        <v>47.210416666666667</v>
      </c>
      <c r="K1426" s="533">
        <v>0.3</v>
      </c>
      <c r="L1426" s="493">
        <f t="shared" si="344"/>
        <v>61.373541666666668</v>
      </c>
      <c r="M1426" s="493">
        <v>65</v>
      </c>
      <c r="N1426" s="504"/>
      <c r="O1426" s="362"/>
      <c r="P1426" s="395" t="s">
        <v>12</v>
      </c>
      <c r="Q1426" s="833">
        <v>45488</v>
      </c>
      <c r="R1426" s="396"/>
    </row>
    <row r="1427" spans="1:20" s="395" customFormat="1" ht="15.75" hidden="1" outlineLevel="1" x14ac:dyDescent="0.25">
      <c r="A1427" s="393"/>
      <c r="B1427" s="395" t="s">
        <v>399</v>
      </c>
      <c r="C1427" s="395">
        <v>9</v>
      </c>
      <c r="E1427" s="317" t="s">
        <v>400</v>
      </c>
      <c r="F1427" s="317">
        <v>17</v>
      </c>
      <c r="G1427" s="317">
        <v>960</v>
      </c>
      <c r="H1427" s="493">
        <f t="shared" si="348"/>
        <v>1706</v>
      </c>
      <c r="I1427" s="493">
        <f t="shared" si="349"/>
        <v>30.210416666666667</v>
      </c>
      <c r="J1427" s="493">
        <f t="shared" si="350"/>
        <v>47.210416666666667</v>
      </c>
      <c r="K1427" s="533">
        <v>0.3</v>
      </c>
      <c r="L1427" s="493">
        <f t="shared" si="344"/>
        <v>61.373541666666668</v>
      </c>
      <c r="M1427" s="493">
        <v>65</v>
      </c>
      <c r="N1427" s="504"/>
      <c r="O1427" s="362"/>
      <c r="P1427" s="395" t="s">
        <v>12</v>
      </c>
      <c r="Q1427" s="833">
        <v>45488</v>
      </c>
      <c r="R1427" s="396"/>
    </row>
    <row r="1428" spans="1:20" s="395" customFormat="1" ht="15.75" outlineLevel="1" x14ac:dyDescent="0.25">
      <c r="A1428" s="393"/>
      <c r="B1428" s="395" t="s">
        <v>399</v>
      </c>
      <c r="C1428" s="395">
        <v>10</v>
      </c>
      <c r="E1428" s="395" t="s">
        <v>400</v>
      </c>
      <c r="F1428" s="395">
        <v>17</v>
      </c>
      <c r="G1428" s="395">
        <v>960</v>
      </c>
      <c r="H1428" s="394">
        <f t="shared" si="348"/>
        <v>1706</v>
      </c>
      <c r="I1428" s="394">
        <f t="shared" si="349"/>
        <v>30.210416666666667</v>
      </c>
      <c r="J1428" s="394">
        <f t="shared" si="350"/>
        <v>47.210416666666667</v>
      </c>
      <c r="K1428" s="491">
        <v>0.3</v>
      </c>
      <c r="L1428" s="394">
        <f t="shared" si="344"/>
        <v>61.373541666666668</v>
      </c>
      <c r="M1428" s="394">
        <v>65</v>
      </c>
      <c r="N1428" s="504"/>
      <c r="O1428" s="362"/>
      <c r="Q1428" s="833"/>
      <c r="R1428" s="396"/>
    </row>
    <row r="1429" spans="1:20" s="395" customFormat="1" ht="15.75" outlineLevel="1" x14ac:dyDescent="0.25">
      <c r="A1429" s="154"/>
      <c r="B1429" s="393" t="s">
        <v>618</v>
      </c>
      <c r="E1429" s="276"/>
      <c r="F1429" s="394"/>
      <c r="I1429" s="394"/>
      <c r="J1429" s="394"/>
      <c r="K1429" s="491"/>
      <c r="L1429" s="394">
        <f t="shared" si="344"/>
        <v>0</v>
      </c>
      <c r="M1429" s="394"/>
      <c r="N1429" s="504"/>
      <c r="Q1429" s="833"/>
      <c r="R1429" s="396"/>
      <c r="S1429" s="149"/>
      <c r="T1429" s="149"/>
    </row>
    <row r="1430" spans="1:20" s="395" customFormat="1" ht="15.75" outlineLevel="1" x14ac:dyDescent="0.25">
      <c r="A1430" s="154"/>
      <c r="B1430" s="395" t="s">
        <v>978</v>
      </c>
      <c r="C1430" s="395">
        <v>11</v>
      </c>
      <c r="D1430" s="395">
        <v>42</v>
      </c>
      <c r="E1430" s="276" t="s">
        <v>619</v>
      </c>
      <c r="F1430" s="394">
        <v>37</v>
      </c>
      <c r="I1430" s="394"/>
      <c r="J1430" s="394"/>
      <c r="K1430" s="491"/>
      <c r="L1430" s="394">
        <f t="shared" si="344"/>
        <v>0</v>
      </c>
      <c r="M1430" s="395">
        <v>80</v>
      </c>
      <c r="N1430" s="494"/>
      <c r="O1430" s="362"/>
      <c r="Q1430" s="833"/>
      <c r="R1430" s="396"/>
      <c r="S1430" s="149"/>
      <c r="T1430" s="149"/>
    </row>
    <row r="1431" spans="1:20" s="395" customFormat="1" ht="15.75" outlineLevel="1" x14ac:dyDescent="0.25">
      <c r="A1431" s="154"/>
      <c r="B1431" s="395" t="s">
        <v>978</v>
      </c>
      <c r="C1431" s="395">
        <v>12</v>
      </c>
      <c r="D1431" s="395">
        <v>44</v>
      </c>
      <c r="E1431" s="276" t="s">
        <v>619</v>
      </c>
      <c r="F1431" s="394">
        <v>37</v>
      </c>
      <c r="I1431" s="394"/>
      <c r="J1431" s="394"/>
      <c r="K1431" s="491"/>
      <c r="L1431" s="394">
        <f t="shared" ref="L1431:L1473" si="351">+J1431*K1431+J1431</f>
        <v>0</v>
      </c>
      <c r="M1431" s="395">
        <v>80</v>
      </c>
      <c r="N1431" s="494"/>
      <c r="O1431" s="362"/>
      <c r="Q1431" s="833"/>
      <c r="R1431" s="396"/>
      <c r="S1431" s="149"/>
      <c r="T1431" s="149"/>
    </row>
    <row r="1432" spans="1:20" s="395" customFormat="1" ht="15.75" outlineLevel="1" x14ac:dyDescent="0.25">
      <c r="A1432" s="154"/>
      <c r="B1432" s="395" t="s">
        <v>978</v>
      </c>
      <c r="C1432" s="395">
        <v>13</v>
      </c>
      <c r="D1432" s="395">
        <v>46</v>
      </c>
      <c r="E1432" s="276" t="s">
        <v>619</v>
      </c>
      <c r="F1432" s="394">
        <v>37</v>
      </c>
      <c r="I1432" s="394"/>
      <c r="J1432" s="394"/>
      <c r="K1432" s="491"/>
      <c r="L1432" s="394">
        <f t="shared" si="351"/>
        <v>0</v>
      </c>
      <c r="M1432" s="395">
        <v>80</v>
      </c>
      <c r="N1432" s="494"/>
      <c r="O1432" s="362"/>
      <c r="Q1432" s="833"/>
      <c r="R1432" s="396"/>
      <c r="S1432" s="149"/>
      <c r="T1432" s="149"/>
    </row>
    <row r="1433" spans="1:20" s="395" customFormat="1" ht="15.75" outlineLevel="1" x14ac:dyDescent="0.25">
      <c r="B1433" s="393" t="s">
        <v>800</v>
      </c>
      <c r="H1433" s="394"/>
      <c r="I1433" s="394"/>
      <c r="J1433" s="394"/>
      <c r="K1433" s="492"/>
      <c r="L1433" s="394"/>
      <c r="M1433" s="394"/>
      <c r="N1433" s="504"/>
      <c r="Q1433" s="833"/>
      <c r="R1433" s="396"/>
    </row>
    <row r="1434" spans="1:20" s="395" customFormat="1" ht="15.75" outlineLevel="1" x14ac:dyDescent="0.25">
      <c r="B1434" s="395" t="s">
        <v>793</v>
      </c>
      <c r="C1434" s="395">
        <v>14</v>
      </c>
      <c r="D1434" s="395" t="s">
        <v>790</v>
      </c>
      <c r="E1434" s="276" t="s">
        <v>771</v>
      </c>
      <c r="F1434" s="394">
        <v>16</v>
      </c>
      <c r="G1434" s="179">
        <v>8183</v>
      </c>
      <c r="H1434" s="394">
        <v>13183</v>
      </c>
      <c r="I1434" s="394">
        <f t="shared" ref="I1434:I1441" si="352">+F1434/G1434*H1434</f>
        <v>25.776365636074789</v>
      </c>
      <c r="J1434" s="394">
        <f t="shared" ref="J1434:J1441" si="353">+F1434+I1434</f>
        <v>41.776365636074786</v>
      </c>
      <c r="K1434" s="492">
        <v>0.3</v>
      </c>
      <c r="L1434" s="394">
        <f t="shared" si="351"/>
        <v>54.309275326897222</v>
      </c>
      <c r="M1434" s="394">
        <v>75</v>
      </c>
      <c r="N1434" s="504"/>
      <c r="P1434" s="395" t="s">
        <v>1836</v>
      </c>
      <c r="Q1434" s="833"/>
      <c r="R1434" s="396"/>
    </row>
    <row r="1435" spans="1:20" s="395" customFormat="1" ht="15.75" outlineLevel="1" x14ac:dyDescent="0.25">
      <c r="A1435" s="393"/>
      <c r="B1435" s="395" t="s">
        <v>793</v>
      </c>
      <c r="C1435" s="395">
        <v>15</v>
      </c>
      <c r="D1435" s="395" t="s">
        <v>792</v>
      </c>
      <c r="E1435" s="276" t="s">
        <v>771</v>
      </c>
      <c r="F1435" s="394">
        <v>16</v>
      </c>
      <c r="G1435" s="179">
        <v>8183</v>
      </c>
      <c r="H1435" s="394">
        <v>13183</v>
      </c>
      <c r="I1435" s="394">
        <f t="shared" si="352"/>
        <v>25.776365636074789</v>
      </c>
      <c r="J1435" s="394">
        <f t="shared" si="353"/>
        <v>41.776365636074786</v>
      </c>
      <c r="K1435" s="492">
        <v>0.3</v>
      </c>
      <c r="L1435" s="394">
        <f t="shared" si="351"/>
        <v>54.309275326897222</v>
      </c>
      <c r="M1435" s="394">
        <v>75</v>
      </c>
      <c r="N1435" s="504"/>
      <c r="O1435" s="362"/>
      <c r="Q1435" s="833"/>
      <c r="R1435" s="396"/>
    </row>
    <row r="1436" spans="1:20" s="337" customFormat="1" ht="15.75" hidden="1" x14ac:dyDescent="0.25">
      <c r="A1436" s="393"/>
      <c r="B1436" s="395" t="s">
        <v>793</v>
      </c>
      <c r="C1436" s="395">
        <v>16</v>
      </c>
      <c r="D1436" s="395" t="s">
        <v>791</v>
      </c>
      <c r="E1436" s="693" t="s">
        <v>772</v>
      </c>
      <c r="F1436" s="493">
        <v>16</v>
      </c>
      <c r="G1436" s="509">
        <v>8183</v>
      </c>
      <c r="H1436" s="493">
        <v>13183</v>
      </c>
      <c r="I1436" s="493">
        <f t="shared" si="352"/>
        <v>25.776365636074789</v>
      </c>
      <c r="J1436" s="493">
        <f t="shared" si="353"/>
        <v>41.776365636074786</v>
      </c>
      <c r="K1436" s="692">
        <v>0.3</v>
      </c>
      <c r="L1436" s="493">
        <f t="shared" si="351"/>
        <v>54.309275326897222</v>
      </c>
      <c r="M1436" s="493">
        <v>75</v>
      </c>
      <c r="N1436" s="504"/>
      <c r="O1436" s="362"/>
      <c r="P1436" s="395" t="s">
        <v>2721</v>
      </c>
      <c r="Q1436" s="833">
        <v>45443</v>
      </c>
      <c r="R1436" s="396">
        <f>+M1436*14.5</f>
        <v>1087.5</v>
      </c>
      <c r="S1436" s="395"/>
      <c r="T1436" s="395"/>
    </row>
    <row r="1437" spans="1:20" s="337" customFormat="1" ht="15.75" hidden="1" x14ac:dyDescent="0.25">
      <c r="A1437" s="393"/>
      <c r="B1437" s="395" t="s">
        <v>793</v>
      </c>
      <c r="C1437" s="395">
        <v>17</v>
      </c>
      <c r="D1437" s="395" t="s">
        <v>792</v>
      </c>
      <c r="E1437" s="693" t="s">
        <v>772</v>
      </c>
      <c r="F1437" s="493">
        <v>16</v>
      </c>
      <c r="G1437" s="509">
        <v>8183</v>
      </c>
      <c r="H1437" s="493">
        <v>13183</v>
      </c>
      <c r="I1437" s="493">
        <f t="shared" si="352"/>
        <v>25.776365636074789</v>
      </c>
      <c r="J1437" s="493">
        <f t="shared" si="353"/>
        <v>41.776365636074786</v>
      </c>
      <c r="K1437" s="692">
        <v>0.3</v>
      </c>
      <c r="L1437" s="493">
        <f t="shared" si="351"/>
        <v>54.309275326897222</v>
      </c>
      <c r="M1437" s="493">
        <v>75</v>
      </c>
      <c r="N1437" s="504"/>
      <c r="O1437" s="362"/>
      <c r="P1437" s="395" t="s">
        <v>996</v>
      </c>
      <c r="Q1437" s="833">
        <v>45451</v>
      </c>
      <c r="R1437" s="396">
        <f>+M1437*14.5</f>
        <v>1087.5</v>
      </c>
      <c r="S1437" s="395"/>
      <c r="T1437" s="395"/>
    </row>
    <row r="1438" spans="1:20" s="12" customFormat="1" ht="15" customHeight="1" x14ac:dyDescent="0.25">
      <c r="A1438" s="395"/>
      <c r="B1438" s="395" t="s">
        <v>793</v>
      </c>
      <c r="C1438" s="395">
        <v>18</v>
      </c>
      <c r="D1438" s="395" t="s">
        <v>792</v>
      </c>
      <c r="E1438" s="276" t="s">
        <v>773</v>
      </c>
      <c r="F1438" s="394">
        <v>23</v>
      </c>
      <c r="G1438" s="179">
        <v>8183</v>
      </c>
      <c r="H1438" s="394">
        <v>13183</v>
      </c>
      <c r="I1438" s="394">
        <f t="shared" si="352"/>
        <v>37.053525601857508</v>
      </c>
      <c r="J1438" s="394">
        <f t="shared" si="353"/>
        <v>60.053525601857508</v>
      </c>
      <c r="K1438" s="492">
        <v>0.3</v>
      </c>
      <c r="L1438" s="394">
        <f t="shared" si="351"/>
        <v>78.069583282414754</v>
      </c>
      <c r="M1438" s="394">
        <v>85</v>
      </c>
      <c r="N1438" s="504"/>
      <c r="O1438" s="362"/>
      <c r="P1438" s="395"/>
      <c r="Q1438" s="833"/>
      <c r="R1438" s="396"/>
      <c r="S1438" s="395"/>
      <c r="T1438" s="395"/>
    </row>
    <row r="1439" spans="1:20" s="12" customFormat="1" ht="15" customHeight="1" x14ac:dyDescent="0.25">
      <c r="A1439" s="393"/>
      <c r="B1439" s="395" t="s">
        <v>793</v>
      </c>
      <c r="C1439" s="395">
        <v>19</v>
      </c>
      <c r="D1439" s="395" t="s">
        <v>495</v>
      </c>
      <c r="E1439" s="276" t="s">
        <v>1726</v>
      </c>
      <c r="F1439" s="394">
        <v>16</v>
      </c>
      <c r="G1439" s="179">
        <v>8183</v>
      </c>
      <c r="H1439" s="394">
        <v>13183</v>
      </c>
      <c r="I1439" s="394">
        <f t="shared" si="352"/>
        <v>25.776365636074789</v>
      </c>
      <c r="J1439" s="394">
        <f t="shared" si="353"/>
        <v>41.776365636074786</v>
      </c>
      <c r="K1439" s="492">
        <v>0.3</v>
      </c>
      <c r="L1439" s="394">
        <f t="shared" si="351"/>
        <v>54.309275326897222</v>
      </c>
      <c r="M1439" s="394">
        <v>75</v>
      </c>
      <c r="N1439" s="504"/>
      <c r="O1439" s="362"/>
      <c r="P1439" s="395"/>
      <c r="Q1439" s="833"/>
      <c r="R1439" s="396"/>
      <c r="S1439" s="395"/>
      <c r="T1439" s="395"/>
    </row>
    <row r="1440" spans="1:20" ht="15" customHeight="1" x14ac:dyDescent="0.25">
      <c r="A1440" s="393"/>
      <c r="B1440" s="395" t="s">
        <v>793</v>
      </c>
      <c r="C1440" s="395">
        <v>20</v>
      </c>
      <c r="D1440" s="395" t="s">
        <v>791</v>
      </c>
      <c r="E1440" s="276" t="s">
        <v>1725</v>
      </c>
      <c r="F1440" s="394">
        <v>16</v>
      </c>
      <c r="G1440" s="179">
        <v>8183</v>
      </c>
      <c r="H1440" s="394">
        <v>13183</v>
      </c>
      <c r="I1440" s="394">
        <f t="shared" si="352"/>
        <v>25.776365636074789</v>
      </c>
      <c r="J1440" s="394">
        <f t="shared" si="353"/>
        <v>41.776365636074786</v>
      </c>
      <c r="K1440" s="492">
        <v>0.3</v>
      </c>
      <c r="L1440" s="394">
        <f t="shared" si="351"/>
        <v>54.309275326897222</v>
      </c>
      <c r="M1440" s="394">
        <v>75</v>
      </c>
      <c r="N1440" s="504"/>
      <c r="O1440" s="362"/>
      <c r="P1440" s="395"/>
      <c r="Q1440" s="833"/>
      <c r="R1440" s="396"/>
      <c r="S1440" s="395"/>
      <c r="T1440" s="395"/>
    </row>
    <row r="1441" spans="1:21" s="390" customFormat="1" ht="15" customHeight="1" outlineLevel="1" x14ac:dyDescent="0.25">
      <c r="A1441" s="393"/>
      <c r="B1441" s="395" t="s">
        <v>1727</v>
      </c>
      <c r="C1441" s="395">
        <v>21</v>
      </c>
      <c r="D1441" s="395" t="s">
        <v>790</v>
      </c>
      <c r="E1441" s="276" t="s">
        <v>1728</v>
      </c>
      <c r="F1441" s="394">
        <v>16</v>
      </c>
      <c r="G1441" s="179">
        <v>8183</v>
      </c>
      <c r="H1441" s="394">
        <v>13183</v>
      </c>
      <c r="I1441" s="394">
        <f t="shared" si="352"/>
        <v>25.776365636074789</v>
      </c>
      <c r="J1441" s="394">
        <f t="shared" si="353"/>
        <v>41.776365636074786</v>
      </c>
      <c r="K1441" s="492">
        <v>0.3</v>
      </c>
      <c r="L1441" s="394">
        <f t="shared" si="351"/>
        <v>54.309275326897222</v>
      </c>
      <c r="M1441" s="394">
        <v>75</v>
      </c>
      <c r="N1441" s="504"/>
      <c r="O1441" s="362"/>
      <c r="P1441" s="395"/>
      <c r="Q1441" s="833"/>
      <c r="R1441" s="396"/>
      <c r="S1441" s="395"/>
      <c r="T1441" s="395"/>
    </row>
    <row r="1442" spans="1:21" s="388" customFormat="1" ht="15" customHeight="1" outlineLevel="1" x14ac:dyDescent="0.25">
      <c r="A1442" s="169"/>
      <c r="B1442" s="549" t="s">
        <v>1119</v>
      </c>
      <c r="C1442" s="337"/>
      <c r="D1442" s="337"/>
      <c r="E1442" s="337"/>
      <c r="F1442" s="338"/>
      <c r="G1442" s="339"/>
      <c r="H1442" s="338"/>
      <c r="I1442" s="338"/>
      <c r="J1442" s="338"/>
      <c r="K1442" s="340"/>
      <c r="L1442" s="338"/>
      <c r="M1442" s="341"/>
      <c r="N1442" s="675"/>
      <c r="O1442" s="169"/>
      <c r="P1442" s="169"/>
      <c r="Q1442" s="835"/>
      <c r="R1442" s="580"/>
      <c r="S1442" s="337"/>
      <c r="T1442" s="337"/>
      <c r="U1442" s="389"/>
    </row>
    <row r="1443" spans="1:21" ht="15" customHeight="1" outlineLevel="1" x14ac:dyDescent="0.25">
      <c r="A1443" s="169"/>
      <c r="B1443" s="331" t="s">
        <v>1120</v>
      </c>
      <c r="C1443" s="337">
        <v>22</v>
      </c>
      <c r="D1443" s="337">
        <v>46</v>
      </c>
      <c r="E1443" s="337" t="s">
        <v>1118</v>
      </c>
      <c r="F1443" s="338">
        <v>33</v>
      </c>
      <c r="G1443" s="339"/>
      <c r="H1443" s="338"/>
      <c r="I1443" s="338"/>
      <c r="J1443" s="338"/>
      <c r="K1443" s="340"/>
      <c r="L1443" s="338"/>
      <c r="M1443" s="341">
        <v>75</v>
      </c>
      <c r="N1443" s="675"/>
      <c r="O1443" s="361"/>
      <c r="P1443" s="169"/>
      <c r="Q1443" s="835"/>
      <c r="R1443" s="580"/>
      <c r="S1443" s="337"/>
      <c r="T1443" s="337"/>
    </row>
    <row r="1444" spans="1:21" ht="15" customHeight="1" outlineLevel="1" x14ac:dyDescent="0.25">
      <c r="A1444" s="169"/>
      <c r="B1444" s="331" t="s">
        <v>1120</v>
      </c>
      <c r="C1444" s="337">
        <v>23</v>
      </c>
      <c r="D1444" s="337">
        <v>48</v>
      </c>
      <c r="E1444" s="337" t="s">
        <v>1118</v>
      </c>
      <c r="F1444" s="338">
        <v>33</v>
      </c>
      <c r="G1444" s="339"/>
      <c r="H1444" s="338"/>
      <c r="I1444" s="338"/>
      <c r="J1444" s="338"/>
      <c r="K1444" s="340"/>
      <c r="L1444" s="338"/>
      <c r="M1444" s="341">
        <v>75</v>
      </c>
      <c r="N1444" s="675"/>
      <c r="O1444" s="361"/>
      <c r="P1444" s="169"/>
      <c r="Q1444" s="835"/>
      <c r="R1444" s="580"/>
      <c r="S1444" s="337"/>
      <c r="T1444" s="337"/>
    </row>
    <row r="1445" spans="1:21" s="178" customFormat="1" ht="15.75" hidden="1" x14ac:dyDescent="0.25">
      <c r="A1445" s="319"/>
      <c r="B1445" s="319"/>
      <c r="C1445" s="319"/>
      <c r="E1445" s="549" t="s">
        <v>1366</v>
      </c>
      <c r="F1445" s="549"/>
      <c r="G1445" s="226"/>
      <c r="H1445" s="227"/>
      <c r="I1445" s="226"/>
      <c r="J1445" s="174"/>
      <c r="K1445" s="174"/>
      <c r="L1445" s="316"/>
      <c r="M1445" s="174"/>
      <c r="N1445" s="663"/>
      <c r="P1445" s="395"/>
      <c r="Q1445" s="833"/>
      <c r="R1445" s="914"/>
    </row>
    <row r="1446" spans="1:21" s="178" customFormat="1" ht="15.75" hidden="1" x14ac:dyDescent="0.25">
      <c r="A1446" s="319"/>
      <c r="B1446" s="319" t="s">
        <v>1349</v>
      </c>
      <c r="C1446" s="178">
        <v>24</v>
      </c>
      <c r="D1446" s="178" t="s">
        <v>501</v>
      </c>
      <c r="E1446" s="704" t="s">
        <v>1330</v>
      </c>
      <c r="F1446" s="232">
        <v>28</v>
      </c>
      <c r="G1446" s="305">
        <v>9682</v>
      </c>
      <c r="H1446" s="232">
        <v>7766</v>
      </c>
      <c r="I1446" s="611">
        <f>+F1446/G1446*H1446</f>
        <v>22.458996075191077</v>
      </c>
      <c r="J1446" s="611">
        <f>+F1446+I1446</f>
        <v>50.458996075191081</v>
      </c>
      <c r="K1446" s="612">
        <v>0.4</v>
      </c>
      <c r="L1446" s="611">
        <f>+J1446*1.4</f>
        <v>70.64259450526751</v>
      </c>
      <c r="M1446" s="698">
        <v>75</v>
      </c>
      <c r="N1446" s="633"/>
      <c r="O1446" s="362"/>
      <c r="P1446" s="395" t="s">
        <v>1100</v>
      </c>
      <c r="Q1446" s="836">
        <v>45359</v>
      </c>
      <c r="R1446" s="914">
        <f>+M1446*30000</f>
        <v>2250000</v>
      </c>
    </row>
    <row r="1447" spans="1:21" s="178" customFormat="1" ht="15.75" hidden="1" x14ac:dyDescent="0.25">
      <c r="A1447" s="319"/>
      <c r="B1447" s="319"/>
      <c r="C1447" s="337">
        <v>25</v>
      </c>
      <c r="E1447" s="615" t="s">
        <v>1452</v>
      </c>
      <c r="F1447" s="226"/>
      <c r="G1447" s="227"/>
      <c r="H1447" s="226"/>
      <c r="I1447" s="174"/>
      <c r="J1447" s="174"/>
      <c r="K1447" s="316"/>
      <c r="L1447" s="174"/>
      <c r="M1447" s="175"/>
      <c r="N1447" s="633"/>
      <c r="O1447" s="395"/>
      <c r="Q1447" s="836"/>
      <c r="R1447" s="914"/>
    </row>
    <row r="1448" spans="1:21" s="178" customFormat="1" hidden="1" x14ac:dyDescent="0.25">
      <c r="A1448" s="319" t="s">
        <v>595</v>
      </c>
      <c r="B1448" s="319" t="s">
        <v>595</v>
      </c>
      <c r="C1448" s="178">
        <v>26</v>
      </c>
      <c r="D1448" s="178" t="s">
        <v>495</v>
      </c>
      <c r="E1448" s="213" t="s">
        <v>1400</v>
      </c>
      <c r="F1448" s="232">
        <v>39</v>
      </c>
      <c r="G1448" s="213">
        <v>6066</v>
      </c>
      <c r="H1448" s="232">
        <v>6015</v>
      </c>
      <c r="I1448" s="695">
        <f t="shared" ref="I1448" si="354">+F1448/G1448*H1448</f>
        <v>38.672106824925812</v>
      </c>
      <c r="J1448" s="696">
        <f t="shared" ref="J1448" si="355">+F1448+I1448</f>
        <v>77.672106824925805</v>
      </c>
      <c r="K1448" s="612">
        <v>0.4</v>
      </c>
      <c r="L1448" s="611">
        <f t="shared" ref="L1448" si="356">+J1448*1.4</f>
        <v>108.74094955489612</v>
      </c>
      <c r="M1448" s="232">
        <v>110</v>
      </c>
      <c r="N1448" s="631"/>
      <c r="O1448" s="590"/>
      <c r="P1448" s="178" t="s">
        <v>2172</v>
      </c>
      <c r="Q1448" s="836">
        <v>45357</v>
      </c>
      <c r="R1448" s="914">
        <f>+M1448*18000</f>
        <v>1980000</v>
      </c>
    </row>
    <row r="1449" spans="1:21" s="178" customFormat="1" x14ac:dyDescent="0.25">
      <c r="A1449" s="319" t="s">
        <v>595</v>
      </c>
      <c r="B1449" s="319" t="s">
        <v>595</v>
      </c>
      <c r="C1449" s="178">
        <v>27</v>
      </c>
      <c r="D1449" s="178" t="s">
        <v>789</v>
      </c>
      <c r="E1449" s="213" t="s">
        <v>1400</v>
      </c>
      <c r="F1449" s="232">
        <v>39</v>
      </c>
      <c r="G1449" s="213">
        <v>6066</v>
      </c>
      <c r="H1449" s="232">
        <v>6015</v>
      </c>
      <c r="I1449" s="695">
        <f t="shared" ref="I1449" si="357">+F1449/G1449*H1449</f>
        <v>38.672106824925812</v>
      </c>
      <c r="J1449" s="696">
        <f t="shared" ref="J1449" si="358">+F1449+I1449</f>
        <v>77.672106824925805</v>
      </c>
      <c r="K1449" s="612">
        <v>0.4</v>
      </c>
      <c r="L1449" s="611">
        <f t="shared" ref="L1449" si="359">+J1449*1.4</f>
        <v>108.74094955489612</v>
      </c>
      <c r="M1449" s="232">
        <v>110</v>
      </c>
      <c r="N1449" s="631"/>
      <c r="O1449" s="590"/>
      <c r="P1449" s="178" t="s">
        <v>2775</v>
      </c>
      <c r="Q1449" s="836">
        <v>45451</v>
      </c>
      <c r="R1449" s="914">
        <f>+M1449*14.5</f>
        <v>1595</v>
      </c>
    </row>
    <row r="1450" spans="1:21" s="178" customFormat="1" x14ac:dyDescent="0.25">
      <c r="A1450" s="319"/>
      <c r="B1450" s="319" t="s">
        <v>1712</v>
      </c>
      <c r="D1450" s="178">
        <v>48</v>
      </c>
      <c r="E1450" s="178" t="s">
        <v>1713</v>
      </c>
      <c r="F1450" s="226"/>
      <c r="H1450" s="226"/>
      <c r="I1450" s="338"/>
      <c r="J1450" s="614"/>
      <c r="K1450" s="316"/>
      <c r="L1450" s="174"/>
      <c r="M1450" s="226"/>
      <c r="N1450" s="631"/>
      <c r="P1450" s="178" t="s">
        <v>1714</v>
      </c>
      <c r="Q1450" s="836"/>
      <c r="R1450" s="914"/>
    </row>
    <row r="1451" spans="1:21" ht="15" customHeight="1" outlineLevel="1" x14ac:dyDescent="0.25">
      <c r="B1451" s="393" t="s">
        <v>31</v>
      </c>
      <c r="C1451" s="395"/>
      <c r="D1451" s="393"/>
      <c r="E1451" s="393"/>
      <c r="F1451" s="150">
        <f t="shared" ref="F1451:M1451" si="360">SUM(F1418:F1441)</f>
        <v>416</v>
      </c>
      <c r="G1451" s="150">
        <f t="shared" si="360"/>
        <v>75064</v>
      </c>
      <c r="H1451" s="150">
        <f t="shared" si="360"/>
        <v>122524</v>
      </c>
      <c r="I1451" s="150">
        <f t="shared" si="360"/>
        <v>519.59225172104777</v>
      </c>
      <c r="J1451" s="150">
        <f t="shared" si="360"/>
        <v>824.59225172104789</v>
      </c>
      <c r="K1451" s="150">
        <f t="shared" si="360"/>
        <v>5.3999999999999986</v>
      </c>
      <c r="L1451" s="150">
        <f t="shared" si="360"/>
        <v>1071.9699272373621</v>
      </c>
      <c r="M1451" s="150">
        <f t="shared" si="360"/>
        <v>1500</v>
      </c>
      <c r="N1451" s="404"/>
      <c r="O1451" s="393"/>
      <c r="P1451" s="191"/>
      <c r="Q1451" s="837"/>
      <c r="R1451" s="915"/>
      <c r="S1451" s="12"/>
      <c r="T1451" s="12"/>
    </row>
    <row r="1452" spans="1:21" ht="15" customHeight="1" outlineLevel="1" x14ac:dyDescent="0.25">
      <c r="B1452" s="393">
        <v>2021</v>
      </c>
      <c r="C1452" s="395">
        <v>66</v>
      </c>
      <c r="D1452" s="393">
        <v>-28</v>
      </c>
      <c r="E1452" s="393">
        <f>+C1452+D1452</f>
        <v>38</v>
      </c>
      <c r="F1452" s="150" t="s">
        <v>1078</v>
      </c>
      <c r="G1452" s="191"/>
      <c r="H1452" s="191"/>
      <c r="K1452" s="191"/>
      <c r="M1452" s="150"/>
      <c r="N1452" s="404"/>
      <c r="O1452" s="393"/>
      <c r="P1452" s="191"/>
      <c r="Q1452" s="837"/>
      <c r="R1452" s="915"/>
      <c r="S1452" s="12"/>
      <c r="T1452" s="12"/>
    </row>
    <row r="1453" spans="1:21" ht="15" customHeight="1" outlineLevel="1" x14ac:dyDescent="0.25">
      <c r="B1453" s="393">
        <v>2022</v>
      </c>
      <c r="C1453" s="500">
        <v>60</v>
      </c>
      <c r="D1453" s="500">
        <v>-21</v>
      </c>
      <c r="E1453" s="393">
        <f>+C1453+D1453</f>
        <v>39</v>
      </c>
      <c r="F1453" s="258"/>
      <c r="G1453" s="160"/>
      <c r="H1453" s="160"/>
      <c r="K1453" s="344"/>
      <c r="M1453" s="258"/>
      <c r="N1453" s="504"/>
      <c r="O1453" s="395"/>
      <c r="P1453" s="160"/>
      <c r="Q1453" s="834"/>
      <c r="R1453" s="913" t="s">
        <v>189</v>
      </c>
    </row>
    <row r="1454" spans="1:21" ht="15" customHeight="1" outlineLevel="1" x14ac:dyDescent="0.25">
      <c r="B1454" s="393"/>
      <c r="C1454" s="500"/>
      <c r="D1454" s="500"/>
      <c r="E1454" s="393"/>
      <c r="F1454" s="258"/>
      <c r="G1454" s="160"/>
      <c r="H1454" s="160"/>
      <c r="K1454" s="344"/>
      <c r="M1454" s="258"/>
      <c r="N1454" s="504"/>
      <c r="O1454" s="395"/>
      <c r="P1454" s="160"/>
      <c r="Q1454" s="834"/>
      <c r="R1454" s="913"/>
    </row>
    <row r="1455" spans="1:21" s="149" customFormat="1" ht="22.5" customHeight="1" outlineLevel="1" x14ac:dyDescent="0.35">
      <c r="C1455" s="500"/>
      <c r="D1455" s="500"/>
      <c r="E1455" s="670" t="s">
        <v>15</v>
      </c>
      <c r="F1455" s="258"/>
      <c r="G1455" s="160"/>
      <c r="H1455" s="160"/>
      <c r="I1455" s="258"/>
      <c r="J1455" s="258"/>
      <c r="K1455" s="344"/>
      <c r="L1455" s="394"/>
      <c r="M1455" s="258"/>
      <c r="N1455" s="504"/>
      <c r="O1455" s="395"/>
      <c r="P1455" s="160"/>
      <c r="Q1455" s="834"/>
      <c r="R1455" s="913"/>
      <c r="S1455" s="11"/>
      <c r="T1455" s="11"/>
    </row>
    <row r="1456" spans="1:21" s="149" customFormat="1" ht="15.75" customHeight="1" outlineLevel="1" x14ac:dyDescent="0.35">
      <c r="A1456" s="144" t="s">
        <v>163</v>
      </c>
      <c r="C1456" s="500"/>
      <c r="D1456" s="500"/>
      <c r="E1456" s="670"/>
      <c r="F1456" s="258"/>
      <c r="G1456" s="160"/>
      <c r="H1456" s="160"/>
      <c r="I1456" s="258"/>
      <c r="J1456" s="258"/>
      <c r="K1456" s="344"/>
      <c r="L1456" s="394"/>
      <c r="M1456" s="258"/>
      <c r="N1456" s="504"/>
      <c r="O1456" s="395"/>
      <c r="P1456" s="160"/>
      <c r="Q1456" s="834"/>
      <c r="R1456" s="913"/>
      <c r="S1456" s="11"/>
      <c r="T1456" s="11"/>
    </row>
    <row r="1457" spans="1:20" ht="15" hidden="1" customHeight="1" outlineLevel="1" x14ac:dyDescent="0.25">
      <c r="A1457" s="141"/>
      <c r="B1457" s="377" t="s">
        <v>271</v>
      </c>
      <c r="C1457" s="377">
        <v>1</v>
      </c>
      <c r="D1457" s="377">
        <v>4</v>
      </c>
      <c r="E1457" s="665" t="s">
        <v>16</v>
      </c>
      <c r="F1457" s="571">
        <v>12</v>
      </c>
      <c r="G1457" s="571"/>
      <c r="H1457" s="571"/>
      <c r="I1457" s="572"/>
      <c r="J1457" s="572"/>
      <c r="K1457" s="573"/>
      <c r="L1457" s="512">
        <f t="shared" si="351"/>
        <v>0</v>
      </c>
      <c r="M1457" s="572">
        <v>55</v>
      </c>
      <c r="N1457" s="525"/>
      <c r="O1457" s="526"/>
      <c r="P1457" s="527"/>
      <c r="Q1457" s="848"/>
      <c r="R1457" s="924"/>
      <c r="S1457" s="386"/>
      <c r="T1457" s="390"/>
    </row>
    <row r="1458" spans="1:20" ht="15" hidden="1" customHeight="1" outlineLevel="1" x14ac:dyDescent="0.25">
      <c r="A1458" s="145" t="s">
        <v>112</v>
      </c>
      <c r="B1458" s="377" t="s">
        <v>103</v>
      </c>
      <c r="C1458" s="377">
        <v>2</v>
      </c>
      <c r="D1458" s="377">
        <v>10</v>
      </c>
      <c r="E1458" s="905" t="s">
        <v>976</v>
      </c>
      <c r="F1458" s="665">
        <v>9</v>
      </c>
      <c r="G1458" s="906">
        <v>1644</v>
      </c>
      <c r="H1458" s="906">
        <v>4214</v>
      </c>
      <c r="I1458" s="906">
        <f>+F1458/G1458*H1458</f>
        <v>23.069343065693431</v>
      </c>
      <c r="J1458" s="906">
        <f>+F1458+I1458</f>
        <v>32.069343065693431</v>
      </c>
      <c r="K1458" s="907">
        <v>0.3</v>
      </c>
      <c r="L1458" s="512">
        <f t="shared" si="351"/>
        <v>41.690145985401458</v>
      </c>
      <c r="M1458" s="906">
        <v>95</v>
      </c>
      <c r="N1458" s="745"/>
      <c r="O1458" s="373"/>
      <c r="P1458" s="522"/>
      <c r="Q1458" s="832"/>
      <c r="R1458" s="911"/>
      <c r="S1458" s="388"/>
      <c r="T1458" s="388"/>
    </row>
    <row r="1459" spans="1:20" ht="15" hidden="1" customHeight="1" outlineLevel="1" x14ac:dyDescent="0.25">
      <c r="B1459" s="395" t="s">
        <v>2687</v>
      </c>
      <c r="C1459" s="377">
        <v>3</v>
      </c>
      <c r="D1459" s="377"/>
      <c r="E1459" s="510" t="s">
        <v>1765</v>
      </c>
      <c r="F1459" s="512"/>
      <c r="G1459" s="510">
        <v>7554</v>
      </c>
      <c r="H1459" s="510">
        <v>14418</v>
      </c>
      <c r="I1459" s="512">
        <f>+F1459/G1459*H1459</f>
        <v>0</v>
      </c>
      <c r="J1459" s="512">
        <f>+F1459+I1459</f>
        <v>0</v>
      </c>
      <c r="K1459" s="710">
        <v>0.3</v>
      </c>
      <c r="L1459" s="512">
        <f t="shared" si="351"/>
        <v>0</v>
      </c>
      <c r="M1459" s="510"/>
      <c r="N1459" s="494"/>
      <c r="O1459" s="362"/>
      <c r="P1459" s="160"/>
      <c r="Q1459" s="834"/>
      <c r="R1459" s="913"/>
    </row>
    <row r="1460" spans="1:20" ht="15" customHeight="1" outlineLevel="1" x14ac:dyDescent="0.25">
      <c r="B1460" s="395" t="s">
        <v>226</v>
      </c>
      <c r="C1460" s="377">
        <v>4</v>
      </c>
      <c r="D1460" s="377"/>
      <c r="E1460" s="395" t="s">
        <v>227</v>
      </c>
      <c r="F1460" s="258">
        <v>12</v>
      </c>
      <c r="G1460" s="160">
        <v>5650</v>
      </c>
      <c r="H1460" s="160">
        <v>9750</v>
      </c>
      <c r="I1460" s="258">
        <f>+F1460/G1460*H1460</f>
        <v>20.707964601769913</v>
      </c>
      <c r="J1460" s="258">
        <f>+F1460+I1460</f>
        <v>32.707964601769916</v>
      </c>
      <c r="K1460" s="497">
        <v>1.3</v>
      </c>
      <c r="L1460" s="394">
        <f t="shared" si="351"/>
        <v>75.228318584070806</v>
      </c>
      <c r="M1460" s="160">
        <v>65</v>
      </c>
      <c r="N1460" s="494"/>
      <c r="O1460" s="362"/>
      <c r="P1460" s="160"/>
      <c r="Q1460" s="834"/>
      <c r="R1460" s="913"/>
    </row>
    <row r="1461" spans="1:20" ht="15" hidden="1" customHeight="1" outlineLevel="1" x14ac:dyDescent="0.25">
      <c r="B1461" s="393" t="s">
        <v>263</v>
      </c>
      <c r="C1461" s="508"/>
      <c r="D1461" s="508"/>
      <c r="E1461" s="395"/>
      <c r="F1461" s="258"/>
      <c r="G1461" s="160"/>
      <c r="H1461" s="160"/>
      <c r="K1461" s="497"/>
      <c r="L1461" s="394">
        <f t="shared" si="351"/>
        <v>0</v>
      </c>
      <c r="M1461" s="160"/>
      <c r="N1461" s="494"/>
      <c r="O1461" s="395"/>
      <c r="P1461" s="160"/>
      <c r="Q1461" s="834"/>
      <c r="R1461" s="913"/>
    </row>
    <row r="1462" spans="1:20" ht="15" hidden="1" customHeight="1" outlineLevel="1" x14ac:dyDescent="0.25">
      <c r="B1462" s="395" t="s">
        <v>253</v>
      </c>
      <c r="C1462" s="395">
        <v>5</v>
      </c>
      <c r="D1462" s="395"/>
      <c r="E1462" s="317" t="s">
        <v>254</v>
      </c>
      <c r="F1462" s="493">
        <v>14</v>
      </c>
      <c r="G1462" s="317">
        <v>4794</v>
      </c>
      <c r="H1462" s="317">
        <v>7630</v>
      </c>
      <c r="I1462" s="493">
        <f>+F1462/G1462*H1462</f>
        <v>22.282019190654985</v>
      </c>
      <c r="J1462" s="493">
        <f>+F1462+I1462</f>
        <v>36.282019190654985</v>
      </c>
      <c r="K1462" s="533">
        <v>0.3</v>
      </c>
      <c r="L1462" s="493">
        <f t="shared" si="351"/>
        <v>47.166624947851481</v>
      </c>
      <c r="M1462" s="493">
        <v>65</v>
      </c>
      <c r="N1462" s="504">
        <v>35</v>
      </c>
      <c r="O1462" s="362"/>
      <c r="P1462" s="160" t="s">
        <v>12</v>
      </c>
      <c r="Q1462" s="834">
        <v>45458</v>
      </c>
      <c r="R1462" s="913">
        <f>+N1462*14.5</f>
        <v>507.5</v>
      </c>
    </row>
    <row r="1463" spans="1:20" s="395" customFormat="1" ht="15.75" outlineLevel="1" x14ac:dyDescent="0.25">
      <c r="A1463" s="154"/>
      <c r="B1463" s="393" t="s">
        <v>301</v>
      </c>
      <c r="C1463" s="508"/>
      <c r="D1463" s="508"/>
      <c r="F1463" s="394"/>
      <c r="I1463" s="394"/>
      <c r="J1463" s="394"/>
      <c r="K1463" s="492"/>
      <c r="L1463" s="394">
        <f t="shared" si="351"/>
        <v>0</v>
      </c>
      <c r="M1463" s="394"/>
      <c r="N1463" s="504"/>
      <c r="Q1463" s="833"/>
      <c r="R1463" s="912"/>
      <c r="S1463" s="149"/>
      <c r="T1463" s="149"/>
    </row>
    <row r="1464" spans="1:20" s="395" customFormat="1" ht="15.75" outlineLevel="1" x14ac:dyDescent="0.25">
      <c r="A1464" s="154"/>
      <c r="B1464" s="395" t="s">
        <v>299</v>
      </c>
      <c r="C1464" s="395">
        <v>6</v>
      </c>
      <c r="D1464" s="395" t="s">
        <v>723</v>
      </c>
      <c r="E1464" s="395" t="s">
        <v>300</v>
      </c>
      <c r="F1464" s="394">
        <v>15</v>
      </c>
      <c r="G1464" s="160">
        <v>319</v>
      </c>
      <c r="H1464" s="160">
        <v>650</v>
      </c>
      <c r="I1464" s="258">
        <f>+F1464/G1464*H1464</f>
        <v>30.564263322884013</v>
      </c>
      <c r="J1464" s="258">
        <f>+F1464+I1464</f>
        <v>45.564263322884017</v>
      </c>
      <c r="K1464" s="497">
        <v>0.3</v>
      </c>
      <c r="L1464" s="394">
        <f t="shared" si="351"/>
        <v>59.233542319749219</v>
      </c>
      <c r="M1464" s="258">
        <v>65</v>
      </c>
      <c r="N1464" s="504"/>
      <c r="O1464" s="362"/>
      <c r="P1464" s="160"/>
      <c r="Q1464" s="834"/>
      <c r="R1464" s="917"/>
      <c r="S1464" s="11"/>
      <c r="T1464" s="11"/>
    </row>
    <row r="1465" spans="1:20" s="395" customFormat="1" ht="15.75" outlineLevel="1" x14ac:dyDescent="0.25">
      <c r="A1465" s="154"/>
      <c r="E1465" s="393" t="s">
        <v>310</v>
      </c>
      <c r="F1465" s="258"/>
      <c r="G1465" s="160"/>
      <c r="H1465" s="160"/>
      <c r="I1465" s="258"/>
      <c r="J1465" s="258"/>
      <c r="K1465" s="497"/>
      <c r="L1465" s="394">
        <f t="shared" si="351"/>
        <v>0</v>
      </c>
      <c r="M1465" s="258"/>
      <c r="N1465" s="504"/>
      <c r="P1465" s="160"/>
      <c r="Q1465" s="834"/>
      <c r="R1465" s="917"/>
      <c r="S1465" s="11"/>
      <c r="T1465" s="11"/>
    </row>
    <row r="1466" spans="1:20" s="395" customFormat="1" ht="15.75" outlineLevel="1" x14ac:dyDescent="0.25">
      <c r="A1466" s="154"/>
      <c r="B1466" s="395" t="s">
        <v>339</v>
      </c>
      <c r="C1466" s="395">
        <v>7</v>
      </c>
      <c r="E1466" s="395" t="s">
        <v>340</v>
      </c>
      <c r="F1466" s="394">
        <v>12</v>
      </c>
      <c r="I1466" s="394"/>
      <c r="J1466" s="394"/>
      <c r="K1466" s="492"/>
      <c r="L1466" s="394">
        <f t="shared" si="351"/>
        <v>0</v>
      </c>
      <c r="M1466" s="394">
        <v>65</v>
      </c>
      <c r="N1466" s="504"/>
      <c r="O1466" s="529"/>
      <c r="P1466" s="160" t="s">
        <v>1764</v>
      </c>
      <c r="Q1466" s="834">
        <v>45141</v>
      </c>
      <c r="R1466" s="917" t="e">
        <f>+#REF!*6000</f>
        <v>#REF!</v>
      </c>
      <c r="S1466" s="11"/>
      <c r="T1466" s="11"/>
    </row>
    <row r="1467" spans="1:20" s="395" customFormat="1" ht="15.75" outlineLevel="1" x14ac:dyDescent="0.25">
      <c r="A1467" s="154"/>
      <c r="B1467" s="395" t="s">
        <v>339</v>
      </c>
      <c r="C1467" s="395">
        <v>8</v>
      </c>
      <c r="E1467" s="395" t="s">
        <v>340</v>
      </c>
      <c r="F1467" s="258">
        <v>12</v>
      </c>
      <c r="G1467" s="160"/>
      <c r="H1467" s="160"/>
      <c r="I1467" s="258"/>
      <c r="J1467" s="258"/>
      <c r="K1467" s="497"/>
      <c r="L1467" s="394">
        <f t="shared" si="351"/>
        <v>0</v>
      </c>
      <c r="M1467" s="258">
        <v>65</v>
      </c>
      <c r="N1467" s="504"/>
      <c r="O1467" s="362"/>
      <c r="P1467" s="160"/>
      <c r="Q1467" s="834"/>
      <c r="R1467" s="917"/>
      <c r="S1467" s="11"/>
      <c r="T1467" s="11"/>
    </row>
    <row r="1468" spans="1:20" s="395" customFormat="1" ht="15.75" outlineLevel="1" x14ac:dyDescent="0.25">
      <c r="A1468" s="154"/>
      <c r="B1468" s="502">
        <v>44044</v>
      </c>
      <c r="F1468" s="258"/>
      <c r="G1468" s="160"/>
      <c r="H1468" s="160"/>
      <c r="I1468" s="258"/>
      <c r="J1468" s="258"/>
      <c r="K1468" s="497"/>
      <c r="L1468" s="394">
        <f t="shared" si="351"/>
        <v>0</v>
      </c>
      <c r="M1468" s="258"/>
      <c r="N1468" s="504"/>
      <c r="P1468" s="160"/>
      <c r="Q1468" s="834"/>
      <c r="R1468" s="917"/>
      <c r="S1468" s="11"/>
      <c r="T1468" s="11"/>
    </row>
    <row r="1469" spans="1:20" s="395" customFormat="1" ht="15.75" outlineLevel="1" x14ac:dyDescent="0.25">
      <c r="B1469" s="395" t="s">
        <v>413</v>
      </c>
      <c r="C1469" s="395">
        <v>9</v>
      </c>
      <c r="D1469" s="395">
        <v>5</v>
      </c>
      <c r="E1469" s="395" t="s">
        <v>411</v>
      </c>
      <c r="F1469" s="167">
        <v>7.5882352941176467</v>
      </c>
      <c r="H1469" s="394"/>
      <c r="I1469" s="394"/>
      <c r="J1469" s="394"/>
      <c r="K1469" s="491"/>
      <c r="L1469" s="394">
        <f t="shared" si="351"/>
        <v>0</v>
      </c>
      <c r="M1469" s="394">
        <v>25</v>
      </c>
      <c r="N1469" s="504"/>
      <c r="O1469" s="362"/>
      <c r="Q1469" s="833"/>
      <c r="R1469" s="396"/>
    </row>
    <row r="1470" spans="1:20" s="395" customFormat="1" ht="15.75" outlineLevel="1" x14ac:dyDescent="0.25">
      <c r="B1470" s="395" t="s">
        <v>413</v>
      </c>
      <c r="C1470" s="395">
        <v>10</v>
      </c>
      <c r="D1470" s="395">
        <v>5</v>
      </c>
      <c r="E1470" s="395" t="s">
        <v>411</v>
      </c>
      <c r="F1470" s="167">
        <v>7.5882352941176467</v>
      </c>
      <c r="H1470" s="394"/>
      <c r="I1470" s="394"/>
      <c r="J1470" s="394"/>
      <c r="K1470" s="491"/>
      <c r="L1470" s="394">
        <f t="shared" si="351"/>
        <v>0</v>
      </c>
      <c r="M1470" s="394">
        <v>25</v>
      </c>
      <c r="N1470" s="504"/>
      <c r="O1470" s="362"/>
      <c r="Q1470" s="833"/>
      <c r="R1470" s="396"/>
    </row>
    <row r="1471" spans="1:20" s="395" customFormat="1" ht="15.75" outlineLevel="1" x14ac:dyDescent="0.25">
      <c r="B1471" s="395" t="s">
        <v>413</v>
      </c>
      <c r="C1471" s="395">
        <v>11</v>
      </c>
      <c r="D1471" s="395">
        <v>5</v>
      </c>
      <c r="E1471" s="395" t="s">
        <v>411</v>
      </c>
      <c r="F1471" s="167">
        <v>7.5882352941176467</v>
      </c>
      <c r="H1471" s="394"/>
      <c r="I1471" s="394"/>
      <c r="J1471" s="394"/>
      <c r="K1471" s="491"/>
      <c r="L1471" s="394">
        <f t="shared" si="351"/>
        <v>0</v>
      </c>
      <c r="M1471" s="394">
        <v>25</v>
      </c>
      <c r="N1471" s="504"/>
      <c r="O1471" s="362"/>
      <c r="Q1471" s="833"/>
      <c r="R1471" s="396"/>
    </row>
    <row r="1472" spans="1:20" s="395" customFormat="1" ht="15.75" outlineLevel="1" x14ac:dyDescent="0.25">
      <c r="E1472" s="393" t="s">
        <v>414</v>
      </c>
      <c r="F1472" s="167"/>
      <c r="H1472" s="394"/>
      <c r="I1472" s="394"/>
      <c r="J1472" s="394"/>
      <c r="K1472" s="491"/>
      <c r="L1472" s="394">
        <f t="shared" si="351"/>
        <v>0</v>
      </c>
      <c r="M1472" s="394"/>
      <c r="N1472" s="504"/>
      <c r="Q1472" s="833"/>
      <c r="R1472" s="396"/>
    </row>
    <row r="1473" spans="1:18" s="395" customFormat="1" ht="15.75" outlineLevel="1" x14ac:dyDescent="0.25">
      <c r="A1473" s="393"/>
      <c r="B1473" s="395" t="s">
        <v>288</v>
      </c>
      <c r="C1473" s="395">
        <v>12</v>
      </c>
      <c r="D1473" s="395">
        <v>37</v>
      </c>
      <c r="E1473" s="395" t="s">
        <v>975</v>
      </c>
      <c r="F1473" s="167">
        <v>5</v>
      </c>
      <c r="G1473" s="394">
        <f>+(875+1440)/7</f>
        <v>330.71428571428572</v>
      </c>
      <c r="H1473" s="394">
        <f>331+100+388</f>
        <v>819</v>
      </c>
      <c r="I1473" s="394">
        <f>+F1473/G1473*H1473</f>
        <v>12.382289416846653</v>
      </c>
      <c r="J1473" s="394">
        <f>+F1473+I1473</f>
        <v>17.382289416846653</v>
      </c>
      <c r="K1473" s="492">
        <v>0.3</v>
      </c>
      <c r="L1473" s="394">
        <f t="shared" si="351"/>
        <v>22.596976241900649</v>
      </c>
      <c r="M1473" s="394">
        <v>25</v>
      </c>
      <c r="N1473" s="504"/>
      <c r="O1473" s="362"/>
      <c r="Q1473" s="833"/>
      <c r="R1473" s="396"/>
    </row>
    <row r="1474" spans="1:18" s="395" customFormat="1" ht="15.75" outlineLevel="1" x14ac:dyDescent="0.25">
      <c r="A1474" s="393"/>
      <c r="B1474" s="395" t="s">
        <v>288</v>
      </c>
      <c r="C1474" s="395">
        <v>13</v>
      </c>
      <c r="D1474" s="395">
        <v>37</v>
      </c>
      <c r="E1474" s="395" t="s">
        <v>975</v>
      </c>
      <c r="F1474" s="167">
        <v>5</v>
      </c>
      <c r="G1474" s="394">
        <f>+(875+1440)/7</f>
        <v>330.71428571428572</v>
      </c>
      <c r="H1474" s="394">
        <f>331+100+388</f>
        <v>819</v>
      </c>
      <c r="I1474" s="394">
        <f>+F1474/G1474*H1474</f>
        <v>12.382289416846653</v>
      </c>
      <c r="J1474" s="394">
        <f>+F1474+I1474</f>
        <v>17.382289416846653</v>
      </c>
      <c r="K1474" s="492">
        <v>0.3</v>
      </c>
      <c r="L1474" s="394">
        <f t="shared" ref="L1474:L1508" si="361">+J1474*K1474+J1474</f>
        <v>22.596976241900649</v>
      </c>
      <c r="M1474" s="394">
        <v>25</v>
      </c>
      <c r="N1474" s="504"/>
      <c r="O1474" s="362"/>
      <c r="Q1474" s="833"/>
      <c r="R1474" s="396"/>
    </row>
    <row r="1475" spans="1:18" s="395" customFormat="1" ht="15.75" outlineLevel="1" x14ac:dyDescent="0.25">
      <c r="A1475" s="393"/>
      <c r="E1475" s="393" t="s">
        <v>514</v>
      </c>
      <c r="G1475" s="394"/>
      <c r="H1475" s="179"/>
      <c r="I1475" s="394"/>
      <c r="J1475" s="394"/>
      <c r="K1475" s="394"/>
      <c r="L1475" s="394">
        <f t="shared" si="361"/>
        <v>0</v>
      </c>
      <c r="M1475" s="394"/>
      <c r="N1475" s="504"/>
      <c r="Q1475" s="833"/>
      <c r="R1475" s="396"/>
    </row>
    <row r="1476" spans="1:18" s="395" customFormat="1" ht="15.75" outlineLevel="1" x14ac:dyDescent="0.25">
      <c r="A1476" s="393"/>
      <c r="B1476" s="395" t="s">
        <v>515</v>
      </c>
      <c r="C1476" s="395">
        <v>14</v>
      </c>
      <c r="D1476" s="395">
        <v>40</v>
      </c>
      <c r="E1476" s="395" t="s">
        <v>516</v>
      </c>
      <c r="F1476" s="167">
        <v>8</v>
      </c>
      <c r="G1476" s="179">
        <v>1050</v>
      </c>
      <c r="H1476" s="394">
        <v>2585</v>
      </c>
      <c r="I1476" s="394">
        <f t="shared" ref="I1476:I1485" si="362">+F1476/G1476*H1476</f>
        <v>19.695238095238096</v>
      </c>
      <c r="J1476" s="394">
        <f t="shared" ref="J1476:J1485" si="363">+F1476+I1476</f>
        <v>27.695238095238096</v>
      </c>
      <c r="K1476" s="492">
        <v>0.3</v>
      </c>
      <c r="L1476" s="394">
        <f t="shared" si="361"/>
        <v>36.003809523809522</v>
      </c>
      <c r="M1476" s="394">
        <v>45</v>
      </c>
      <c r="N1476" s="504"/>
      <c r="O1476" s="362"/>
      <c r="P1476" s="495"/>
      <c r="Q1476" s="833"/>
      <c r="R1476" s="396"/>
    </row>
    <row r="1477" spans="1:18" s="395" customFormat="1" ht="15.75" outlineLevel="1" x14ac:dyDescent="0.25">
      <c r="A1477" s="393"/>
      <c r="B1477" s="395" t="s">
        <v>515</v>
      </c>
      <c r="C1477" s="395">
        <v>15</v>
      </c>
      <c r="D1477" s="395">
        <v>40</v>
      </c>
      <c r="E1477" s="395" t="s">
        <v>516</v>
      </c>
      <c r="F1477" s="167">
        <v>8</v>
      </c>
      <c r="G1477" s="179">
        <v>1050</v>
      </c>
      <c r="H1477" s="394">
        <f t="shared" ref="H1477:H1499" si="364">+G1477+1335+200</f>
        <v>2585</v>
      </c>
      <c r="I1477" s="394">
        <f t="shared" si="362"/>
        <v>19.695238095238096</v>
      </c>
      <c r="J1477" s="394">
        <f t="shared" si="363"/>
        <v>27.695238095238096</v>
      </c>
      <c r="K1477" s="492">
        <v>0.3</v>
      </c>
      <c r="L1477" s="394">
        <f t="shared" si="361"/>
        <v>36.003809523809522</v>
      </c>
      <c r="M1477" s="394">
        <v>45</v>
      </c>
      <c r="N1477" s="504"/>
      <c r="O1477" s="362"/>
      <c r="P1477" s="495"/>
      <c r="Q1477" s="833"/>
      <c r="R1477" s="396"/>
    </row>
    <row r="1478" spans="1:18" s="395" customFormat="1" ht="15.75" outlineLevel="1" x14ac:dyDescent="0.25">
      <c r="A1478" s="393"/>
      <c r="B1478" s="395" t="s">
        <v>515</v>
      </c>
      <c r="C1478" s="395">
        <v>16</v>
      </c>
      <c r="D1478" s="395">
        <v>41</v>
      </c>
      <c r="E1478" s="395" t="s">
        <v>516</v>
      </c>
      <c r="F1478" s="167">
        <v>8</v>
      </c>
      <c r="G1478" s="179">
        <v>1050</v>
      </c>
      <c r="H1478" s="394">
        <f t="shared" si="364"/>
        <v>2585</v>
      </c>
      <c r="I1478" s="394">
        <f t="shared" si="362"/>
        <v>19.695238095238096</v>
      </c>
      <c r="J1478" s="394">
        <f t="shared" si="363"/>
        <v>27.695238095238096</v>
      </c>
      <c r="K1478" s="492">
        <v>0.3</v>
      </c>
      <c r="L1478" s="394">
        <f t="shared" si="361"/>
        <v>36.003809523809522</v>
      </c>
      <c r="M1478" s="394">
        <v>45</v>
      </c>
      <c r="N1478" s="504"/>
      <c r="O1478" s="362"/>
      <c r="Q1478" s="833"/>
      <c r="R1478" s="396"/>
    </row>
    <row r="1479" spans="1:18" s="395" customFormat="1" ht="15.75" outlineLevel="1" x14ac:dyDescent="0.25">
      <c r="A1479" s="393"/>
      <c r="B1479" s="395" t="s">
        <v>515</v>
      </c>
      <c r="C1479" s="395">
        <v>17</v>
      </c>
      <c r="D1479" s="395">
        <v>40</v>
      </c>
      <c r="E1479" s="395" t="s">
        <v>517</v>
      </c>
      <c r="F1479" s="167">
        <v>8</v>
      </c>
      <c r="G1479" s="179">
        <v>1050</v>
      </c>
      <c r="H1479" s="394">
        <f t="shared" si="364"/>
        <v>2585</v>
      </c>
      <c r="I1479" s="394">
        <f t="shared" si="362"/>
        <v>19.695238095238096</v>
      </c>
      <c r="J1479" s="394">
        <f t="shared" si="363"/>
        <v>27.695238095238096</v>
      </c>
      <c r="K1479" s="492">
        <v>0.3</v>
      </c>
      <c r="L1479" s="394">
        <f t="shared" si="361"/>
        <v>36.003809523809522</v>
      </c>
      <c r="M1479" s="394">
        <v>45</v>
      </c>
      <c r="N1479" s="504"/>
      <c r="O1479" s="362"/>
      <c r="Q1479" s="833"/>
      <c r="R1479" s="396"/>
    </row>
    <row r="1480" spans="1:18" s="395" customFormat="1" ht="15.75" outlineLevel="1" x14ac:dyDescent="0.25">
      <c r="A1480" s="393"/>
      <c r="B1480" s="395" t="s">
        <v>515</v>
      </c>
      <c r="C1480" s="395">
        <v>18</v>
      </c>
      <c r="D1480" s="395">
        <v>41</v>
      </c>
      <c r="E1480" s="395" t="s">
        <v>519</v>
      </c>
      <c r="F1480" s="167">
        <v>8</v>
      </c>
      <c r="G1480" s="179">
        <v>1050</v>
      </c>
      <c r="H1480" s="394">
        <f t="shared" si="364"/>
        <v>2585</v>
      </c>
      <c r="I1480" s="394">
        <f t="shared" si="362"/>
        <v>19.695238095238096</v>
      </c>
      <c r="J1480" s="394">
        <f t="shared" si="363"/>
        <v>27.695238095238096</v>
      </c>
      <c r="K1480" s="492">
        <v>0.3</v>
      </c>
      <c r="L1480" s="394">
        <f t="shared" si="361"/>
        <v>36.003809523809522</v>
      </c>
      <c r="M1480" s="394">
        <v>45</v>
      </c>
      <c r="N1480" s="504"/>
      <c r="O1480" s="362"/>
      <c r="Q1480" s="833"/>
      <c r="R1480" s="396"/>
    </row>
    <row r="1481" spans="1:18" s="395" customFormat="1" ht="15.75" outlineLevel="1" x14ac:dyDescent="0.25">
      <c r="A1481" s="393"/>
      <c r="B1481" s="395" t="s">
        <v>515</v>
      </c>
      <c r="C1481" s="395">
        <v>19</v>
      </c>
      <c r="D1481" s="395">
        <v>39</v>
      </c>
      <c r="E1481" s="395" t="s">
        <v>519</v>
      </c>
      <c r="F1481" s="167">
        <v>8</v>
      </c>
      <c r="G1481" s="179">
        <v>1050</v>
      </c>
      <c r="H1481" s="394">
        <f t="shared" si="364"/>
        <v>2585</v>
      </c>
      <c r="I1481" s="394">
        <f t="shared" si="362"/>
        <v>19.695238095238096</v>
      </c>
      <c r="J1481" s="394">
        <f t="shared" si="363"/>
        <v>27.695238095238096</v>
      </c>
      <c r="K1481" s="492">
        <v>0.3</v>
      </c>
      <c r="L1481" s="394">
        <f t="shared" si="361"/>
        <v>36.003809523809522</v>
      </c>
      <c r="M1481" s="394">
        <v>45</v>
      </c>
      <c r="N1481" s="504"/>
      <c r="O1481" s="362"/>
      <c r="P1481" s="495"/>
      <c r="Q1481" s="833"/>
      <c r="R1481" s="396"/>
    </row>
    <row r="1482" spans="1:18" s="395" customFormat="1" ht="15.75" outlineLevel="1" x14ac:dyDescent="0.25">
      <c r="A1482" s="393"/>
      <c r="B1482" s="395" t="s">
        <v>515</v>
      </c>
      <c r="C1482" s="395">
        <v>20</v>
      </c>
      <c r="D1482" s="395">
        <v>39</v>
      </c>
      <c r="E1482" s="395" t="s">
        <v>520</v>
      </c>
      <c r="F1482" s="167">
        <v>8</v>
      </c>
      <c r="G1482" s="179">
        <v>1050</v>
      </c>
      <c r="H1482" s="394">
        <f t="shared" si="364"/>
        <v>2585</v>
      </c>
      <c r="I1482" s="394">
        <f t="shared" si="362"/>
        <v>19.695238095238096</v>
      </c>
      <c r="J1482" s="394">
        <f t="shared" si="363"/>
        <v>27.695238095238096</v>
      </c>
      <c r="K1482" s="492">
        <v>0.3</v>
      </c>
      <c r="L1482" s="394">
        <f t="shared" si="361"/>
        <v>36.003809523809522</v>
      </c>
      <c r="M1482" s="394">
        <v>45</v>
      </c>
      <c r="N1482" s="504"/>
      <c r="O1482" s="362"/>
      <c r="Q1482" s="833"/>
      <c r="R1482" s="396"/>
    </row>
    <row r="1483" spans="1:18" s="395" customFormat="1" ht="15.75" outlineLevel="1" x14ac:dyDescent="0.25">
      <c r="A1483" s="393"/>
      <c r="B1483" s="395" t="s">
        <v>515</v>
      </c>
      <c r="C1483" s="395">
        <v>21</v>
      </c>
      <c r="D1483" s="395">
        <v>40</v>
      </c>
      <c r="E1483" s="395" t="s">
        <v>520</v>
      </c>
      <c r="F1483" s="167">
        <v>8</v>
      </c>
      <c r="G1483" s="179">
        <v>1050</v>
      </c>
      <c r="H1483" s="394">
        <f t="shared" si="364"/>
        <v>2585</v>
      </c>
      <c r="I1483" s="394">
        <f t="shared" si="362"/>
        <v>19.695238095238096</v>
      </c>
      <c r="J1483" s="394">
        <f t="shared" si="363"/>
        <v>27.695238095238096</v>
      </c>
      <c r="K1483" s="492">
        <v>0.3</v>
      </c>
      <c r="L1483" s="394">
        <f t="shared" si="361"/>
        <v>36.003809523809522</v>
      </c>
      <c r="M1483" s="394">
        <v>45</v>
      </c>
      <c r="N1483" s="504"/>
      <c r="O1483" s="362"/>
      <c r="Q1483" s="833"/>
      <c r="R1483" s="396"/>
    </row>
    <row r="1484" spans="1:18" s="395" customFormat="1" ht="15.75" outlineLevel="1" x14ac:dyDescent="0.25">
      <c r="A1484" s="393"/>
      <c r="B1484" s="395" t="s">
        <v>515</v>
      </c>
      <c r="C1484" s="395">
        <v>22</v>
      </c>
      <c r="D1484" s="395">
        <v>41</v>
      </c>
      <c r="E1484" s="395" t="s">
        <v>520</v>
      </c>
      <c r="F1484" s="167">
        <v>8</v>
      </c>
      <c r="G1484" s="179">
        <v>1050</v>
      </c>
      <c r="H1484" s="394">
        <f t="shared" si="364"/>
        <v>2585</v>
      </c>
      <c r="I1484" s="394">
        <f t="shared" si="362"/>
        <v>19.695238095238096</v>
      </c>
      <c r="J1484" s="394">
        <f t="shared" si="363"/>
        <v>27.695238095238096</v>
      </c>
      <c r="K1484" s="492">
        <v>0.3</v>
      </c>
      <c r="L1484" s="394">
        <f t="shared" si="361"/>
        <v>36.003809523809522</v>
      </c>
      <c r="M1484" s="394">
        <v>45</v>
      </c>
      <c r="N1484" s="504"/>
      <c r="O1484" s="362"/>
      <c r="Q1484" s="833"/>
      <c r="R1484" s="396"/>
    </row>
    <row r="1485" spans="1:18" s="395" customFormat="1" ht="15.75" outlineLevel="1" x14ac:dyDescent="0.25">
      <c r="A1485" s="393"/>
      <c r="B1485" s="395" t="s">
        <v>515</v>
      </c>
      <c r="C1485" s="395">
        <v>23</v>
      </c>
      <c r="D1485" s="395">
        <v>37</v>
      </c>
      <c r="E1485" s="395" t="s">
        <v>518</v>
      </c>
      <c r="F1485" s="167">
        <v>8</v>
      </c>
      <c r="G1485" s="179">
        <v>1050</v>
      </c>
      <c r="H1485" s="394">
        <f t="shared" si="364"/>
        <v>2585</v>
      </c>
      <c r="I1485" s="394">
        <f t="shared" si="362"/>
        <v>19.695238095238096</v>
      </c>
      <c r="J1485" s="394">
        <f t="shared" si="363"/>
        <v>27.695238095238096</v>
      </c>
      <c r="K1485" s="492">
        <v>0.3</v>
      </c>
      <c r="L1485" s="394">
        <f t="shared" si="361"/>
        <v>36.003809523809522</v>
      </c>
      <c r="M1485" s="394">
        <v>45</v>
      </c>
      <c r="N1485" s="504"/>
      <c r="O1485" s="362"/>
      <c r="P1485" s="495"/>
      <c r="Q1485" s="833"/>
      <c r="R1485" s="396"/>
    </row>
    <row r="1486" spans="1:18" s="395" customFormat="1" ht="15.75" outlineLevel="1" x14ac:dyDescent="0.25">
      <c r="A1486" s="393"/>
      <c r="E1486" s="393" t="s">
        <v>521</v>
      </c>
      <c r="F1486" s="394"/>
      <c r="G1486" s="179"/>
      <c r="H1486" s="394"/>
      <c r="I1486" s="394"/>
      <c r="J1486" s="394"/>
      <c r="K1486" s="492"/>
      <c r="L1486" s="394">
        <f t="shared" si="361"/>
        <v>0</v>
      </c>
      <c r="M1486" s="394"/>
      <c r="N1486" s="504"/>
      <c r="Q1486" s="833"/>
      <c r="R1486" s="396"/>
    </row>
    <row r="1487" spans="1:18" s="395" customFormat="1" ht="15.75" outlineLevel="1" x14ac:dyDescent="0.25">
      <c r="A1487" s="393"/>
      <c r="B1487" s="395" t="s">
        <v>527</v>
      </c>
      <c r="C1487" s="395">
        <v>24</v>
      </c>
      <c r="D1487" s="395">
        <v>39</v>
      </c>
      <c r="E1487" s="395" t="s">
        <v>528</v>
      </c>
      <c r="F1487" s="394">
        <v>7</v>
      </c>
      <c r="G1487" s="179">
        <v>1050</v>
      </c>
      <c r="H1487" s="394">
        <f t="shared" si="364"/>
        <v>2585</v>
      </c>
      <c r="I1487" s="394">
        <f t="shared" ref="I1487:I1502" si="365">+F1487/G1487*H1487</f>
        <v>17.233333333333334</v>
      </c>
      <c r="J1487" s="394">
        <f t="shared" ref="J1487:J1502" si="366">+F1487+I1487</f>
        <v>24.233333333333334</v>
      </c>
      <c r="K1487" s="492">
        <v>0.3</v>
      </c>
      <c r="L1487" s="394">
        <f t="shared" si="361"/>
        <v>31.503333333333334</v>
      </c>
      <c r="M1487" s="394">
        <v>30</v>
      </c>
      <c r="N1487" s="504"/>
      <c r="O1487" s="362"/>
      <c r="Q1487" s="833"/>
      <c r="R1487" s="396"/>
    </row>
    <row r="1488" spans="1:18" s="395" customFormat="1" ht="15.75" outlineLevel="1" x14ac:dyDescent="0.25">
      <c r="A1488" s="393"/>
      <c r="B1488" s="395" t="s">
        <v>288</v>
      </c>
      <c r="C1488" s="395">
        <v>25</v>
      </c>
      <c r="D1488" s="395">
        <v>39</v>
      </c>
      <c r="E1488" s="317" t="s">
        <v>522</v>
      </c>
      <c r="F1488" s="493">
        <v>6</v>
      </c>
      <c r="G1488" s="509">
        <v>1050</v>
      </c>
      <c r="H1488" s="493">
        <f t="shared" si="364"/>
        <v>2585</v>
      </c>
      <c r="I1488" s="493">
        <f t="shared" si="365"/>
        <v>14.771428571428572</v>
      </c>
      <c r="J1488" s="493">
        <f t="shared" si="366"/>
        <v>20.771428571428572</v>
      </c>
      <c r="K1488" s="692">
        <v>0.3</v>
      </c>
      <c r="L1488" s="493">
        <f t="shared" si="361"/>
        <v>27.002857142857145</v>
      </c>
      <c r="M1488" s="493">
        <v>25</v>
      </c>
      <c r="N1488" s="504"/>
      <c r="O1488" s="362"/>
      <c r="P1488" s="495" t="s">
        <v>12</v>
      </c>
      <c r="Q1488" s="833">
        <v>45323</v>
      </c>
      <c r="R1488" s="396">
        <f>+M1488*8000</f>
        <v>200000</v>
      </c>
    </row>
    <row r="1489" spans="1:18" s="395" customFormat="1" ht="15.75" outlineLevel="1" x14ac:dyDescent="0.25">
      <c r="A1489" s="393"/>
      <c r="B1489" s="395" t="s">
        <v>288</v>
      </c>
      <c r="C1489" s="395">
        <v>26</v>
      </c>
      <c r="D1489" s="395">
        <v>39</v>
      </c>
      <c r="E1489" s="395" t="s">
        <v>523</v>
      </c>
      <c r="F1489" s="394">
        <v>6</v>
      </c>
      <c r="G1489" s="179">
        <v>1050</v>
      </c>
      <c r="H1489" s="394">
        <f t="shared" si="364"/>
        <v>2585</v>
      </c>
      <c r="I1489" s="394">
        <f t="shared" si="365"/>
        <v>14.771428571428572</v>
      </c>
      <c r="J1489" s="394">
        <f t="shared" si="366"/>
        <v>20.771428571428572</v>
      </c>
      <c r="K1489" s="492">
        <v>0.3</v>
      </c>
      <c r="L1489" s="394">
        <f t="shared" si="361"/>
        <v>27.002857142857145</v>
      </c>
      <c r="M1489" s="394">
        <v>25</v>
      </c>
      <c r="N1489" s="504"/>
      <c r="O1489" s="362"/>
      <c r="P1489" s="495"/>
      <c r="Q1489" s="833"/>
      <c r="R1489" s="396"/>
    </row>
    <row r="1490" spans="1:18" s="395" customFormat="1" ht="15.75" outlineLevel="1" x14ac:dyDescent="0.25">
      <c r="A1490" s="393"/>
      <c r="B1490" s="395" t="s">
        <v>515</v>
      </c>
      <c r="C1490" s="395">
        <v>27</v>
      </c>
      <c r="D1490" s="395">
        <v>41</v>
      </c>
      <c r="E1490" s="395" t="s">
        <v>524</v>
      </c>
      <c r="F1490" s="394">
        <v>6</v>
      </c>
      <c r="G1490" s="179">
        <v>1050</v>
      </c>
      <c r="H1490" s="394">
        <f t="shared" si="364"/>
        <v>2585</v>
      </c>
      <c r="I1490" s="394">
        <f t="shared" si="365"/>
        <v>14.771428571428572</v>
      </c>
      <c r="J1490" s="394">
        <f t="shared" si="366"/>
        <v>20.771428571428572</v>
      </c>
      <c r="K1490" s="492">
        <v>0.3</v>
      </c>
      <c r="L1490" s="394">
        <f t="shared" si="361"/>
        <v>27.002857142857145</v>
      </c>
      <c r="M1490" s="394">
        <v>25</v>
      </c>
      <c r="N1490" s="504"/>
      <c r="O1490" s="362"/>
      <c r="P1490" s="495"/>
      <c r="Q1490" s="833"/>
      <c r="R1490" s="396"/>
    </row>
    <row r="1491" spans="1:18" s="395" customFormat="1" ht="15.75" outlineLevel="1" x14ac:dyDescent="0.25">
      <c r="A1491" s="393"/>
      <c r="B1491" s="395" t="s">
        <v>515</v>
      </c>
      <c r="C1491" s="395">
        <v>28</v>
      </c>
      <c r="D1491" s="395">
        <v>40</v>
      </c>
      <c r="E1491" s="395" t="s">
        <v>524</v>
      </c>
      <c r="F1491" s="394">
        <v>6</v>
      </c>
      <c r="G1491" s="179">
        <v>1050</v>
      </c>
      <c r="H1491" s="394">
        <f t="shared" si="364"/>
        <v>2585</v>
      </c>
      <c r="I1491" s="394">
        <f t="shared" si="365"/>
        <v>14.771428571428572</v>
      </c>
      <c r="J1491" s="394">
        <f t="shared" si="366"/>
        <v>20.771428571428572</v>
      </c>
      <c r="K1491" s="492">
        <v>0.3</v>
      </c>
      <c r="L1491" s="394">
        <f t="shared" si="361"/>
        <v>27.002857142857145</v>
      </c>
      <c r="M1491" s="394">
        <v>25</v>
      </c>
      <c r="N1491" s="504"/>
      <c r="O1491" s="362"/>
      <c r="Q1491" s="833"/>
      <c r="R1491" s="396"/>
    </row>
    <row r="1492" spans="1:18" s="395" customFormat="1" ht="15.75" outlineLevel="1" x14ac:dyDescent="0.25">
      <c r="A1492" s="393"/>
      <c r="B1492" s="395" t="s">
        <v>515</v>
      </c>
      <c r="C1492" s="395">
        <v>29</v>
      </c>
      <c r="D1492" s="395">
        <v>39</v>
      </c>
      <c r="E1492" s="395" t="s">
        <v>524</v>
      </c>
      <c r="F1492" s="394">
        <v>6</v>
      </c>
      <c r="G1492" s="179">
        <v>1050</v>
      </c>
      <c r="H1492" s="394">
        <f t="shared" si="364"/>
        <v>2585</v>
      </c>
      <c r="I1492" s="394">
        <f t="shared" si="365"/>
        <v>14.771428571428572</v>
      </c>
      <c r="J1492" s="394">
        <f t="shared" si="366"/>
        <v>20.771428571428572</v>
      </c>
      <c r="K1492" s="492">
        <v>0.3</v>
      </c>
      <c r="L1492" s="394">
        <f t="shared" si="361"/>
        <v>27.002857142857145</v>
      </c>
      <c r="M1492" s="394">
        <v>25</v>
      </c>
      <c r="N1492" s="504"/>
      <c r="O1492" s="362"/>
      <c r="P1492" s="495"/>
      <c r="Q1492" s="833"/>
      <c r="R1492" s="396"/>
    </row>
    <row r="1493" spans="1:18" s="395" customFormat="1" ht="15.75" outlineLevel="1" x14ac:dyDescent="0.25">
      <c r="A1493" s="393"/>
      <c r="B1493" s="395" t="s">
        <v>515</v>
      </c>
      <c r="C1493" s="395">
        <v>30</v>
      </c>
      <c r="D1493" s="395">
        <v>37</v>
      </c>
      <c r="E1493" s="395" t="s">
        <v>524</v>
      </c>
      <c r="F1493" s="394">
        <v>6</v>
      </c>
      <c r="G1493" s="179">
        <v>1050</v>
      </c>
      <c r="H1493" s="394">
        <f t="shared" si="364"/>
        <v>2585</v>
      </c>
      <c r="I1493" s="394">
        <f t="shared" si="365"/>
        <v>14.771428571428572</v>
      </c>
      <c r="J1493" s="394">
        <f t="shared" si="366"/>
        <v>20.771428571428572</v>
      </c>
      <c r="K1493" s="492">
        <v>0.3</v>
      </c>
      <c r="L1493" s="394">
        <f t="shared" si="361"/>
        <v>27.002857142857145</v>
      </c>
      <c r="M1493" s="394">
        <v>25</v>
      </c>
      <c r="N1493" s="504"/>
      <c r="O1493" s="362"/>
      <c r="P1493" s="495"/>
      <c r="Q1493" s="833"/>
      <c r="R1493" s="396"/>
    </row>
    <row r="1494" spans="1:18" s="395" customFormat="1" ht="15.75" outlineLevel="1" x14ac:dyDescent="0.25">
      <c r="A1494" s="393"/>
      <c r="B1494" s="395" t="s">
        <v>515</v>
      </c>
      <c r="C1494" s="395">
        <v>31</v>
      </c>
      <c r="D1494" s="395">
        <v>40</v>
      </c>
      <c r="E1494" s="395" t="s">
        <v>525</v>
      </c>
      <c r="F1494" s="394">
        <v>6</v>
      </c>
      <c r="G1494" s="179">
        <v>1050</v>
      </c>
      <c r="H1494" s="394">
        <f t="shared" si="364"/>
        <v>2585</v>
      </c>
      <c r="I1494" s="394">
        <f t="shared" si="365"/>
        <v>14.771428571428572</v>
      </c>
      <c r="J1494" s="394">
        <f t="shared" si="366"/>
        <v>20.771428571428572</v>
      </c>
      <c r="K1494" s="492">
        <v>0.3</v>
      </c>
      <c r="L1494" s="394">
        <f t="shared" si="361"/>
        <v>27.002857142857145</v>
      </c>
      <c r="M1494" s="394">
        <v>25</v>
      </c>
      <c r="N1494" s="504"/>
      <c r="O1494" s="362"/>
      <c r="P1494" s="495"/>
      <c r="Q1494" s="833"/>
      <c r="R1494" s="396"/>
    </row>
    <row r="1495" spans="1:18" s="395" customFormat="1" ht="15.75" outlineLevel="1" x14ac:dyDescent="0.25">
      <c r="A1495" s="393"/>
      <c r="B1495" s="395" t="s">
        <v>515</v>
      </c>
      <c r="C1495" s="395">
        <v>32</v>
      </c>
      <c r="D1495" s="395">
        <v>41</v>
      </c>
      <c r="E1495" s="395" t="s">
        <v>525</v>
      </c>
      <c r="F1495" s="394">
        <v>6</v>
      </c>
      <c r="G1495" s="179">
        <v>1050</v>
      </c>
      <c r="H1495" s="394">
        <f t="shared" si="364"/>
        <v>2585</v>
      </c>
      <c r="I1495" s="394">
        <f t="shared" si="365"/>
        <v>14.771428571428572</v>
      </c>
      <c r="J1495" s="394">
        <f t="shared" si="366"/>
        <v>20.771428571428572</v>
      </c>
      <c r="K1495" s="492">
        <v>0.3</v>
      </c>
      <c r="L1495" s="394">
        <f t="shared" si="361"/>
        <v>27.002857142857145</v>
      </c>
      <c r="M1495" s="394">
        <v>25</v>
      </c>
      <c r="N1495" s="504"/>
      <c r="O1495" s="362"/>
      <c r="P1495" s="495"/>
      <c r="Q1495" s="833"/>
      <c r="R1495" s="396"/>
    </row>
    <row r="1496" spans="1:18" s="395" customFormat="1" ht="15.75" outlineLevel="1" x14ac:dyDescent="0.25">
      <c r="A1496" s="393"/>
      <c r="B1496" s="395" t="s">
        <v>515</v>
      </c>
      <c r="C1496" s="395">
        <v>33</v>
      </c>
      <c r="D1496" s="395">
        <v>39</v>
      </c>
      <c r="E1496" s="395" t="s">
        <v>525</v>
      </c>
      <c r="F1496" s="394">
        <v>6</v>
      </c>
      <c r="G1496" s="179">
        <v>1050</v>
      </c>
      <c r="H1496" s="394">
        <f t="shared" si="364"/>
        <v>2585</v>
      </c>
      <c r="I1496" s="394">
        <f t="shared" si="365"/>
        <v>14.771428571428572</v>
      </c>
      <c r="J1496" s="394">
        <f t="shared" si="366"/>
        <v>20.771428571428572</v>
      </c>
      <c r="K1496" s="492">
        <v>0.3</v>
      </c>
      <c r="L1496" s="394">
        <f t="shared" si="361"/>
        <v>27.002857142857145</v>
      </c>
      <c r="M1496" s="394">
        <v>25</v>
      </c>
      <c r="N1496" s="504"/>
      <c r="O1496" s="362"/>
      <c r="P1496" s="495"/>
      <c r="Q1496" s="833"/>
      <c r="R1496" s="396"/>
    </row>
    <row r="1497" spans="1:18" s="395" customFormat="1" ht="15.75" outlineLevel="1" x14ac:dyDescent="0.25">
      <c r="A1497" s="393"/>
      <c r="B1497" s="395" t="s">
        <v>515</v>
      </c>
      <c r="C1497" s="395">
        <v>34</v>
      </c>
      <c r="D1497" s="395">
        <v>41</v>
      </c>
      <c r="E1497" s="395" t="s">
        <v>525</v>
      </c>
      <c r="F1497" s="394">
        <v>6</v>
      </c>
      <c r="G1497" s="179">
        <v>1050</v>
      </c>
      <c r="H1497" s="394">
        <f t="shared" si="364"/>
        <v>2585</v>
      </c>
      <c r="I1497" s="394">
        <f t="shared" si="365"/>
        <v>14.771428571428572</v>
      </c>
      <c r="J1497" s="394">
        <f t="shared" si="366"/>
        <v>20.771428571428572</v>
      </c>
      <c r="K1497" s="492">
        <v>0.3</v>
      </c>
      <c r="L1497" s="394">
        <f t="shared" si="361"/>
        <v>27.002857142857145</v>
      </c>
      <c r="M1497" s="394">
        <v>25</v>
      </c>
      <c r="N1497" s="504"/>
      <c r="O1497" s="362"/>
      <c r="P1497" s="495"/>
      <c r="Q1497" s="833"/>
      <c r="R1497" s="396"/>
    </row>
    <row r="1498" spans="1:18" s="395" customFormat="1" ht="15.75" outlineLevel="1" x14ac:dyDescent="0.25">
      <c r="A1498" s="393"/>
      <c r="B1498" s="395" t="s">
        <v>515</v>
      </c>
      <c r="C1498" s="395">
        <v>35</v>
      </c>
      <c r="D1498" s="395">
        <v>40</v>
      </c>
      <c r="E1498" s="395" t="s">
        <v>525</v>
      </c>
      <c r="F1498" s="394">
        <v>6</v>
      </c>
      <c r="G1498" s="179">
        <v>1050</v>
      </c>
      <c r="H1498" s="394">
        <f t="shared" si="364"/>
        <v>2585</v>
      </c>
      <c r="I1498" s="394">
        <f t="shared" si="365"/>
        <v>14.771428571428572</v>
      </c>
      <c r="J1498" s="394">
        <f t="shared" si="366"/>
        <v>20.771428571428572</v>
      </c>
      <c r="K1498" s="492">
        <v>0.3</v>
      </c>
      <c r="L1498" s="394">
        <f t="shared" si="361"/>
        <v>27.002857142857145</v>
      </c>
      <c r="M1498" s="394">
        <v>25</v>
      </c>
      <c r="N1498" s="504"/>
      <c r="O1498" s="362"/>
      <c r="P1498" s="495"/>
      <c r="Q1498" s="833"/>
      <c r="R1498" s="396"/>
    </row>
    <row r="1499" spans="1:18" s="395" customFormat="1" ht="15.75" outlineLevel="1" x14ac:dyDescent="0.25">
      <c r="A1499" s="393"/>
      <c r="B1499" s="395" t="s">
        <v>515</v>
      </c>
      <c r="C1499" s="395">
        <v>36</v>
      </c>
      <c r="D1499" s="395">
        <v>38</v>
      </c>
      <c r="E1499" s="395" t="s">
        <v>525</v>
      </c>
      <c r="F1499" s="394">
        <v>6</v>
      </c>
      <c r="G1499" s="179">
        <v>1050</v>
      </c>
      <c r="H1499" s="394">
        <f t="shared" si="364"/>
        <v>2585</v>
      </c>
      <c r="I1499" s="394">
        <f t="shared" si="365"/>
        <v>14.771428571428572</v>
      </c>
      <c r="J1499" s="394">
        <f t="shared" si="366"/>
        <v>20.771428571428572</v>
      </c>
      <c r="K1499" s="492">
        <v>0.3</v>
      </c>
      <c r="L1499" s="394">
        <f t="shared" si="361"/>
        <v>27.002857142857145</v>
      </c>
      <c r="M1499" s="394">
        <v>25</v>
      </c>
      <c r="N1499" s="504"/>
      <c r="O1499" s="362"/>
      <c r="P1499" s="495"/>
      <c r="Q1499" s="833"/>
      <c r="R1499" s="396"/>
    </row>
    <row r="1500" spans="1:18" s="395" customFormat="1" ht="15.75" outlineLevel="1" x14ac:dyDescent="0.25">
      <c r="A1500" s="393"/>
      <c r="B1500" s="395" t="s">
        <v>515</v>
      </c>
      <c r="C1500" s="395">
        <v>37</v>
      </c>
      <c r="D1500" s="395">
        <v>41</v>
      </c>
      <c r="E1500" s="395" t="s">
        <v>526</v>
      </c>
      <c r="F1500" s="394">
        <v>6</v>
      </c>
      <c r="G1500" s="179">
        <v>1050</v>
      </c>
      <c r="H1500" s="394">
        <f t="shared" ref="H1500:H1512" si="367">+G1500+1335+200</f>
        <v>2585</v>
      </c>
      <c r="I1500" s="394">
        <f t="shared" si="365"/>
        <v>14.771428571428572</v>
      </c>
      <c r="J1500" s="394">
        <f t="shared" si="366"/>
        <v>20.771428571428572</v>
      </c>
      <c r="K1500" s="492">
        <v>0.3</v>
      </c>
      <c r="L1500" s="394">
        <f t="shared" si="361"/>
        <v>27.002857142857145</v>
      </c>
      <c r="M1500" s="394">
        <v>25</v>
      </c>
      <c r="N1500" s="504"/>
      <c r="O1500" s="362"/>
      <c r="P1500" s="495"/>
      <c r="Q1500" s="833"/>
      <c r="R1500" s="396"/>
    </row>
    <row r="1501" spans="1:18" s="395" customFormat="1" ht="15.75" outlineLevel="1" x14ac:dyDescent="0.25">
      <c r="A1501" s="393"/>
      <c r="B1501" s="395" t="s">
        <v>515</v>
      </c>
      <c r="C1501" s="395">
        <v>38</v>
      </c>
      <c r="D1501" s="395">
        <v>39</v>
      </c>
      <c r="E1501" s="395" t="s">
        <v>526</v>
      </c>
      <c r="F1501" s="394">
        <v>6</v>
      </c>
      <c r="G1501" s="179">
        <v>1050</v>
      </c>
      <c r="H1501" s="394">
        <f t="shared" si="367"/>
        <v>2585</v>
      </c>
      <c r="I1501" s="394">
        <f t="shared" si="365"/>
        <v>14.771428571428572</v>
      </c>
      <c r="J1501" s="394">
        <f t="shared" si="366"/>
        <v>20.771428571428572</v>
      </c>
      <c r="K1501" s="492">
        <v>0.3</v>
      </c>
      <c r="L1501" s="394">
        <f t="shared" si="361"/>
        <v>27.002857142857145</v>
      </c>
      <c r="M1501" s="394">
        <v>25</v>
      </c>
      <c r="N1501" s="504"/>
      <c r="O1501" s="362"/>
      <c r="P1501" s="495"/>
      <c r="Q1501" s="833"/>
      <c r="R1501" s="396"/>
    </row>
    <row r="1502" spans="1:18" s="395" customFormat="1" ht="15.75" outlineLevel="1" x14ac:dyDescent="0.25">
      <c r="A1502" s="393"/>
      <c r="B1502" s="395" t="s">
        <v>515</v>
      </c>
      <c r="C1502" s="395">
        <v>39</v>
      </c>
      <c r="D1502" s="395">
        <v>40</v>
      </c>
      <c r="E1502" s="395" t="s">
        <v>526</v>
      </c>
      <c r="F1502" s="394">
        <v>6</v>
      </c>
      <c r="G1502" s="179">
        <v>1050</v>
      </c>
      <c r="H1502" s="394">
        <f t="shared" si="367"/>
        <v>2585</v>
      </c>
      <c r="I1502" s="394">
        <f t="shared" si="365"/>
        <v>14.771428571428572</v>
      </c>
      <c r="J1502" s="394">
        <f t="shared" si="366"/>
        <v>20.771428571428572</v>
      </c>
      <c r="K1502" s="492">
        <v>0.3</v>
      </c>
      <c r="L1502" s="394">
        <f t="shared" si="361"/>
        <v>27.002857142857145</v>
      </c>
      <c r="M1502" s="394">
        <v>25</v>
      </c>
      <c r="N1502" s="504"/>
      <c r="O1502" s="362"/>
      <c r="P1502" s="495"/>
      <c r="Q1502" s="833"/>
      <c r="R1502" s="396"/>
    </row>
    <row r="1503" spans="1:18" s="395" customFormat="1" ht="15.75" outlineLevel="1" x14ac:dyDescent="0.25">
      <c r="A1503" s="393"/>
      <c r="E1503" s="506" t="s">
        <v>529</v>
      </c>
      <c r="F1503" s="394"/>
      <c r="G1503" s="179"/>
      <c r="H1503" s="394"/>
      <c r="I1503" s="394"/>
      <c r="J1503" s="394"/>
      <c r="K1503" s="492"/>
      <c r="L1503" s="394">
        <f t="shared" si="361"/>
        <v>0</v>
      </c>
      <c r="M1503" s="394"/>
      <c r="N1503" s="504"/>
      <c r="P1503" s="495"/>
      <c r="Q1503" s="833"/>
      <c r="R1503" s="396"/>
    </row>
    <row r="1504" spans="1:18" s="395" customFormat="1" ht="15.75" outlineLevel="1" x14ac:dyDescent="0.25">
      <c r="A1504" s="393"/>
      <c r="B1504" s="395" t="s">
        <v>530</v>
      </c>
      <c r="C1504" s="395">
        <v>40</v>
      </c>
      <c r="D1504" s="395">
        <v>39</v>
      </c>
      <c r="E1504" s="395" t="s">
        <v>531</v>
      </c>
      <c r="F1504" s="394">
        <v>12</v>
      </c>
      <c r="G1504" s="179">
        <v>1050</v>
      </c>
      <c r="H1504" s="394">
        <f t="shared" si="367"/>
        <v>2585</v>
      </c>
      <c r="I1504" s="394">
        <f t="shared" ref="I1504:I1512" si="368">+F1504/G1504*H1504</f>
        <v>29.542857142857144</v>
      </c>
      <c r="J1504" s="394">
        <f t="shared" ref="J1504:J1512" si="369">+F1504+I1504</f>
        <v>41.542857142857144</v>
      </c>
      <c r="K1504" s="492">
        <v>0.3</v>
      </c>
      <c r="L1504" s="394">
        <f t="shared" si="361"/>
        <v>54.005714285714291</v>
      </c>
      <c r="M1504" s="394">
        <v>65</v>
      </c>
      <c r="N1504" s="504"/>
      <c r="O1504" s="362"/>
      <c r="P1504" s="495"/>
      <c r="Q1504" s="833"/>
      <c r="R1504" s="396"/>
    </row>
    <row r="1505" spans="1:21" s="388" customFormat="1" ht="15" customHeight="1" outlineLevel="1" x14ac:dyDescent="0.25">
      <c r="A1505" s="393"/>
      <c r="B1505" s="395" t="s">
        <v>538</v>
      </c>
      <c r="C1505" s="395">
        <v>41</v>
      </c>
      <c r="D1505" s="395">
        <v>10</v>
      </c>
      <c r="E1505" s="395" t="s">
        <v>725</v>
      </c>
      <c r="F1505" s="394">
        <v>12</v>
      </c>
      <c r="G1505" s="179">
        <v>1050</v>
      </c>
      <c r="H1505" s="394">
        <f t="shared" si="367"/>
        <v>2585</v>
      </c>
      <c r="I1505" s="394">
        <f t="shared" si="368"/>
        <v>29.542857142857144</v>
      </c>
      <c r="J1505" s="394">
        <f t="shared" si="369"/>
        <v>41.542857142857144</v>
      </c>
      <c r="K1505" s="492">
        <v>0.3</v>
      </c>
      <c r="L1505" s="394">
        <f t="shared" si="361"/>
        <v>54.005714285714291</v>
      </c>
      <c r="M1505" s="394">
        <v>65</v>
      </c>
      <c r="N1505" s="504"/>
      <c r="O1505" s="362"/>
      <c r="P1505" s="495"/>
      <c r="Q1505" s="833"/>
      <c r="R1505" s="396"/>
      <c r="S1505" s="395"/>
      <c r="T1505" s="395"/>
      <c r="U1505" s="389"/>
    </row>
    <row r="1506" spans="1:21" s="388" customFormat="1" ht="15" hidden="1" customHeight="1" outlineLevel="1" x14ac:dyDescent="0.25">
      <c r="A1506" s="393"/>
      <c r="B1506" s="395" t="s">
        <v>538</v>
      </c>
      <c r="C1506" s="395">
        <v>42</v>
      </c>
      <c r="D1506" s="395" t="s">
        <v>540</v>
      </c>
      <c r="E1506" s="510" t="s">
        <v>533</v>
      </c>
      <c r="F1506" s="512">
        <v>12</v>
      </c>
      <c r="G1506" s="511">
        <v>1050</v>
      </c>
      <c r="H1506" s="512">
        <f t="shared" si="367"/>
        <v>2585</v>
      </c>
      <c r="I1506" s="512">
        <f t="shared" si="368"/>
        <v>29.542857142857144</v>
      </c>
      <c r="J1506" s="512">
        <f t="shared" si="369"/>
        <v>41.542857142857144</v>
      </c>
      <c r="K1506" s="513">
        <v>0.3</v>
      </c>
      <c r="L1506" s="512">
        <f t="shared" si="361"/>
        <v>54.005714285714291</v>
      </c>
      <c r="M1506" s="512">
        <v>65</v>
      </c>
      <c r="N1506" s="504"/>
      <c r="O1506" s="362"/>
      <c r="P1506" s="495"/>
      <c r="Q1506" s="833"/>
      <c r="R1506" s="396"/>
      <c r="S1506" s="395"/>
      <c r="T1506" s="395"/>
      <c r="U1506" s="389"/>
    </row>
    <row r="1507" spans="1:21" s="395" customFormat="1" ht="15.75" hidden="1" outlineLevel="1" x14ac:dyDescent="0.25">
      <c r="A1507" s="393"/>
      <c r="B1507" s="395" t="s">
        <v>535</v>
      </c>
      <c r="C1507" s="395">
        <v>43</v>
      </c>
      <c r="D1507" s="395">
        <v>6.5</v>
      </c>
      <c r="E1507" s="510" t="s">
        <v>534</v>
      </c>
      <c r="F1507" s="512">
        <v>12</v>
      </c>
      <c r="G1507" s="511">
        <v>1050</v>
      </c>
      <c r="H1507" s="512">
        <f t="shared" si="367"/>
        <v>2585</v>
      </c>
      <c r="I1507" s="512">
        <f t="shared" si="368"/>
        <v>29.542857142857144</v>
      </c>
      <c r="J1507" s="512">
        <f t="shared" si="369"/>
        <v>41.542857142857144</v>
      </c>
      <c r="K1507" s="513">
        <v>0.3</v>
      </c>
      <c r="L1507" s="512">
        <f t="shared" si="361"/>
        <v>54.005714285714291</v>
      </c>
      <c r="M1507" s="512">
        <v>65</v>
      </c>
      <c r="N1507" s="504"/>
      <c r="O1507" s="362"/>
      <c r="P1507" s="495"/>
      <c r="Q1507" s="833"/>
      <c r="R1507" s="396"/>
    </row>
    <row r="1508" spans="1:21" s="395" customFormat="1" ht="15.75" hidden="1" outlineLevel="1" x14ac:dyDescent="0.25">
      <c r="A1508" s="393"/>
      <c r="B1508" s="395" t="s">
        <v>535</v>
      </c>
      <c r="C1508" s="395">
        <v>44</v>
      </c>
      <c r="D1508" s="395">
        <v>6</v>
      </c>
      <c r="E1508" s="510" t="s">
        <v>534</v>
      </c>
      <c r="F1508" s="512">
        <v>12</v>
      </c>
      <c r="G1508" s="511">
        <v>1050</v>
      </c>
      <c r="H1508" s="512">
        <f t="shared" si="367"/>
        <v>2585</v>
      </c>
      <c r="I1508" s="512">
        <f t="shared" si="368"/>
        <v>29.542857142857144</v>
      </c>
      <c r="J1508" s="512">
        <f t="shared" si="369"/>
        <v>41.542857142857144</v>
      </c>
      <c r="K1508" s="513">
        <v>0.3</v>
      </c>
      <c r="L1508" s="512">
        <f t="shared" si="361"/>
        <v>54.005714285714291</v>
      </c>
      <c r="M1508" s="512">
        <v>65</v>
      </c>
      <c r="N1508" s="504"/>
      <c r="O1508" s="362"/>
      <c r="P1508" s="495"/>
      <c r="Q1508" s="833"/>
      <c r="R1508" s="396"/>
    </row>
    <row r="1509" spans="1:21" s="395" customFormat="1" ht="15.75" hidden="1" outlineLevel="1" x14ac:dyDescent="0.25">
      <c r="A1509" s="393"/>
      <c r="B1509" s="395" t="s">
        <v>535</v>
      </c>
      <c r="C1509" s="395">
        <v>45</v>
      </c>
      <c r="D1509" s="395">
        <v>6</v>
      </c>
      <c r="E1509" s="510" t="s">
        <v>534</v>
      </c>
      <c r="F1509" s="512">
        <v>12</v>
      </c>
      <c r="G1509" s="511">
        <v>1050</v>
      </c>
      <c r="H1509" s="512">
        <f>+G1509+1335+200</f>
        <v>2585</v>
      </c>
      <c r="I1509" s="512">
        <f t="shared" si="368"/>
        <v>29.542857142857144</v>
      </c>
      <c r="J1509" s="512">
        <f t="shared" si="369"/>
        <v>41.542857142857144</v>
      </c>
      <c r="K1509" s="513">
        <v>1.3</v>
      </c>
      <c r="L1509" s="512">
        <v>54</v>
      </c>
      <c r="M1509" s="512">
        <v>66</v>
      </c>
      <c r="N1509" s="504"/>
      <c r="O1509" s="362"/>
      <c r="P1509" s="495" t="s">
        <v>724</v>
      </c>
      <c r="Q1509" s="833"/>
      <c r="R1509" s="396"/>
    </row>
    <row r="1510" spans="1:21" s="395" customFormat="1" ht="15.75" hidden="1" outlineLevel="1" x14ac:dyDescent="0.25">
      <c r="A1510" s="393"/>
      <c r="B1510" s="395" t="s">
        <v>535</v>
      </c>
      <c r="C1510" s="395">
        <v>46</v>
      </c>
      <c r="D1510" s="395">
        <v>6</v>
      </c>
      <c r="E1510" s="510" t="s">
        <v>536</v>
      </c>
      <c r="F1510" s="512">
        <v>12</v>
      </c>
      <c r="G1510" s="511">
        <v>1050</v>
      </c>
      <c r="H1510" s="512">
        <f t="shared" si="367"/>
        <v>2585</v>
      </c>
      <c r="I1510" s="512">
        <f t="shared" si="368"/>
        <v>29.542857142857144</v>
      </c>
      <c r="J1510" s="512">
        <f t="shared" si="369"/>
        <v>41.542857142857144</v>
      </c>
      <c r="K1510" s="513">
        <v>0.3</v>
      </c>
      <c r="L1510" s="512">
        <f t="shared" ref="L1510:L1531" si="370">+J1510*K1510+J1510</f>
        <v>54.005714285714291</v>
      </c>
      <c r="M1510" s="512">
        <v>65</v>
      </c>
      <c r="N1510" s="504"/>
      <c r="O1510" s="362"/>
      <c r="P1510" s="495"/>
      <c r="Q1510" s="833"/>
      <c r="R1510" s="396"/>
    </row>
    <row r="1511" spans="1:21" s="395" customFormat="1" ht="15.75" hidden="1" outlineLevel="1" x14ac:dyDescent="0.25">
      <c r="A1511" s="393"/>
      <c r="B1511" s="395" t="s">
        <v>532</v>
      </c>
      <c r="C1511" s="395">
        <v>47</v>
      </c>
      <c r="D1511" s="395">
        <v>37</v>
      </c>
      <c r="E1511" s="510" t="s">
        <v>539</v>
      </c>
      <c r="F1511" s="512">
        <v>12</v>
      </c>
      <c r="G1511" s="511">
        <v>1050</v>
      </c>
      <c r="H1511" s="512">
        <f t="shared" si="367"/>
        <v>2585</v>
      </c>
      <c r="I1511" s="512">
        <f t="shared" si="368"/>
        <v>29.542857142857144</v>
      </c>
      <c r="J1511" s="512">
        <f t="shared" si="369"/>
        <v>41.542857142857144</v>
      </c>
      <c r="K1511" s="513">
        <v>0.3</v>
      </c>
      <c r="L1511" s="512">
        <f t="shared" si="370"/>
        <v>54.005714285714291</v>
      </c>
      <c r="M1511" s="512">
        <v>65</v>
      </c>
      <c r="N1511" s="504"/>
      <c r="O1511" s="362"/>
      <c r="P1511" s="495"/>
      <c r="Q1511" s="833"/>
      <c r="R1511" s="396"/>
    </row>
    <row r="1512" spans="1:21" s="395" customFormat="1" ht="15.75" outlineLevel="1" x14ac:dyDescent="0.25">
      <c r="A1512" s="393"/>
      <c r="B1512" s="395" t="s">
        <v>537</v>
      </c>
      <c r="C1512" s="395">
        <v>48</v>
      </c>
      <c r="D1512" s="395">
        <v>37</v>
      </c>
      <c r="E1512" s="395" t="s">
        <v>726</v>
      </c>
      <c r="F1512" s="394">
        <v>12</v>
      </c>
      <c r="G1512" s="179">
        <v>1050</v>
      </c>
      <c r="H1512" s="394">
        <f t="shared" si="367"/>
        <v>2585</v>
      </c>
      <c r="I1512" s="394">
        <f t="shared" si="368"/>
        <v>29.542857142857144</v>
      </c>
      <c r="J1512" s="394">
        <f t="shared" si="369"/>
        <v>41.542857142857144</v>
      </c>
      <c r="K1512" s="492">
        <v>0.3</v>
      </c>
      <c r="L1512" s="394">
        <f t="shared" si="370"/>
        <v>54.005714285714291</v>
      </c>
      <c r="M1512" s="394">
        <v>55</v>
      </c>
      <c r="N1512" s="504"/>
      <c r="O1512" s="362"/>
      <c r="P1512" s="495"/>
      <c r="Q1512" s="833"/>
      <c r="R1512" s="396"/>
    </row>
    <row r="1513" spans="1:21" s="395" customFormat="1" ht="15.75" hidden="1" outlineLevel="1" x14ac:dyDescent="0.25">
      <c r="A1513" s="145"/>
      <c r="B1513" s="377" t="s">
        <v>272</v>
      </c>
      <c r="C1513" s="395">
        <v>49</v>
      </c>
      <c r="D1513" s="377"/>
      <c r="E1513" s="960" t="s">
        <v>116</v>
      </c>
      <c r="F1513" s="830"/>
      <c r="G1513" s="941"/>
      <c r="H1513" s="941"/>
      <c r="I1513" s="941"/>
      <c r="J1513" s="941"/>
      <c r="K1513" s="961"/>
      <c r="L1513" s="493">
        <f t="shared" si="370"/>
        <v>0</v>
      </c>
      <c r="M1513" s="941">
        <v>70</v>
      </c>
      <c r="N1513" s="745"/>
      <c r="O1513" s="373"/>
      <c r="P1513" s="522" t="s">
        <v>12</v>
      </c>
      <c r="Q1513" s="832">
        <v>45454</v>
      </c>
      <c r="R1513" s="911">
        <f>+M1513*14.5</f>
        <v>1015</v>
      </c>
      <c r="S1513" s="388"/>
      <c r="T1513" s="388"/>
    </row>
    <row r="1514" spans="1:21" s="395" customFormat="1" ht="15.75" hidden="1" outlineLevel="1" x14ac:dyDescent="0.25">
      <c r="A1514" s="145"/>
      <c r="B1514" s="377" t="s">
        <v>272</v>
      </c>
      <c r="C1514" s="395">
        <v>50</v>
      </c>
      <c r="D1514" s="377"/>
      <c r="E1514" s="960" t="s">
        <v>116</v>
      </c>
      <c r="F1514" s="830"/>
      <c r="G1514" s="941"/>
      <c r="H1514" s="941"/>
      <c r="I1514" s="941"/>
      <c r="J1514" s="941"/>
      <c r="K1514" s="961"/>
      <c r="L1514" s="493">
        <f t="shared" si="370"/>
        <v>0</v>
      </c>
      <c r="M1514" s="941">
        <v>70</v>
      </c>
      <c r="N1514" s="745"/>
      <c r="O1514" s="373"/>
      <c r="P1514" s="522" t="s">
        <v>12</v>
      </c>
      <c r="Q1514" s="832">
        <v>45469</v>
      </c>
      <c r="R1514" s="911"/>
      <c r="S1514" s="388"/>
      <c r="T1514" s="388"/>
    </row>
    <row r="1515" spans="1:21" s="395" customFormat="1" ht="15.75" outlineLevel="1" x14ac:dyDescent="0.25">
      <c r="A1515" s="145"/>
      <c r="B1515" s="377" t="s">
        <v>272</v>
      </c>
      <c r="C1515" s="395">
        <v>51</v>
      </c>
      <c r="D1515" s="377"/>
      <c r="E1515" s="528" t="s">
        <v>116</v>
      </c>
      <c r="F1515" s="520"/>
      <c r="G1515" s="326"/>
      <c r="H1515" s="326"/>
      <c r="I1515" s="326"/>
      <c r="J1515" s="326"/>
      <c r="K1515" s="346"/>
      <c r="L1515" s="394">
        <f t="shared" si="370"/>
        <v>0</v>
      </c>
      <c r="M1515" s="326">
        <v>70</v>
      </c>
      <c r="N1515" s="745"/>
      <c r="O1515" s="373"/>
      <c r="P1515" s="522"/>
      <c r="Q1515" s="832"/>
      <c r="R1515" s="911"/>
      <c r="S1515" s="388"/>
      <c r="T1515" s="388"/>
    </row>
    <row r="1516" spans="1:21" s="395" customFormat="1" ht="15.75" outlineLevel="1" x14ac:dyDescent="0.25">
      <c r="A1516" s="393"/>
      <c r="B1516" s="393" t="s">
        <v>643</v>
      </c>
      <c r="F1516" s="394"/>
      <c r="G1516" s="179"/>
      <c r="H1516" s="394"/>
      <c r="I1516" s="394"/>
      <c r="J1516" s="394"/>
      <c r="K1516" s="492"/>
      <c r="L1516" s="394">
        <f t="shared" si="370"/>
        <v>0</v>
      </c>
      <c r="M1516" s="394"/>
      <c r="N1516" s="504"/>
      <c r="P1516" s="495"/>
      <c r="Q1516" s="833"/>
      <c r="R1516" s="396"/>
    </row>
    <row r="1517" spans="1:21" s="395" customFormat="1" ht="15.75" outlineLevel="1" x14ac:dyDescent="0.25">
      <c r="A1517" s="393"/>
      <c r="B1517" s="395" t="s">
        <v>271</v>
      </c>
      <c r="C1517" s="395">
        <v>52</v>
      </c>
      <c r="D1517" s="395">
        <v>36</v>
      </c>
      <c r="E1517" s="395" t="s">
        <v>298</v>
      </c>
      <c r="F1517" s="394">
        <v>13</v>
      </c>
      <c r="G1517" s="395">
        <v>844</v>
      </c>
      <c r="H1517" s="394">
        <v>1496</v>
      </c>
      <c r="I1517" s="394">
        <f t="shared" ref="I1517:I1529" si="371">+F1517/G1517*H1517</f>
        <v>23.042654028436019</v>
      </c>
      <c r="J1517" s="394">
        <f t="shared" ref="J1517:J1529" si="372">+F1517+I1517</f>
        <v>36.042654028436019</v>
      </c>
      <c r="K1517" s="492">
        <v>0.3</v>
      </c>
      <c r="L1517" s="394">
        <f t="shared" si="370"/>
        <v>46.855450236966824</v>
      </c>
      <c r="M1517" s="394">
        <v>55</v>
      </c>
      <c r="N1517" s="504"/>
      <c r="O1517" s="362"/>
      <c r="Q1517" s="833"/>
      <c r="R1517" s="396"/>
    </row>
    <row r="1518" spans="1:21" s="395" customFormat="1" ht="15.75" outlineLevel="1" x14ac:dyDescent="0.25">
      <c r="A1518" s="393"/>
      <c r="B1518" s="395" t="s">
        <v>271</v>
      </c>
      <c r="C1518" s="395">
        <v>53</v>
      </c>
      <c r="D1518" s="395">
        <v>37</v>
      </c>
      <c r="E1518" s="395" t="s">
        <v>298</v>
      </c>
      <c r="F1518" s="394">
        <v>13</v>
      </c>
      <c r="G1518" s="395">
        <v>844</v>
      </c>
      <c r="H1518" s="394">
        <v>1496</v>
      </c>
      <c r="I1518" s="394">
        <f t="shared" si="371"/>
        <v>23.042654028436019</v>
      </c>
      <c r="J1518" s="394">
        <f t="shared" si="372"/>
        <v>36.042654028436019</v>
      </c>
      <c r="K1518" s="492">
        <v>0.3</v>
      </c>
      <c r="L1518" s="394">
        <f t="shared" si="370"/>
        <v>46.855450236966824</v>
      </c>
      <c r="M1518" s="394">
        <v>55</v>
      </c>
      <c r="N1518" s="504"/>
      <c r="O1518" s="362"/>
      <c r="Q1518" s="833"/>
      <c r="R1518" s="396"/>
    </row>
    <row r="1519" spans="1:21" s="395" customFormat="1" ht="15.75" outlineLevel="1" x14ac:dyDescent="0.25">
      <c r="A1519" s="393"/>
      <c r="B1519" s="395" t="s">
        <v>271</v>
      </c>
      <c r="C1519" s="395">
        <v>54</v>
      </c>
      <c r="D1519" s="395">
        <v>38</v>
      </c>
      <c r="E1519" s="395" t="s">
        <v>298</v>
      </c>
      <c r="F1519" s="394">
        <v>13</v>
      </c>
      <c r="G1519" s="395">
        <v>844</v>
      </c>
      <c r="H1519" s="394">
        <v>1496</v>
      </c>
      <c r="I1519" s="394">
        <f t="shared" si="371"/>
        <v>23.042654028436019</v>
      </c>
      <c r="J1519" s="394">
        <f t="shared" si="372"/>
        <v>36.042654028436019</v>
      </c>
      <c r="K1519" s="492">
        <v>0.3</v>
      </c>
      <c r="L1519" s="394">
        <f t="shared" si="370"/>
        <v>46.855450236966824</v>
      </c>
      <c r="M1519" s="394">
        <v>55</v>
      </c>
      <c r="N1519" s="504"/>
      <c r="O1519" s="362"/>
      <c r="Q1519" s="833"/>
      <c r="R1519" s="396"/>
    </row>
    <row r="1520" spans="1:21" s="395" customFormat="1" ht="15.75" outlineLevel="1" x14ac:dyDescent="0.25">
      <c r="A1520" s="393"/>
      <c r="B1520" s="395" t="s">
        <v>271</v>
      </c>
      <c r="C1520" s="395">
        <v>55</v>
      </c>
      <c r="D1520" s="395">
        <v>38</v>
      </c>
      <c r="E1520" s="395" t="s">
        <v>298</v>
      </c>
      <c r="F1520" s="394">
        <v>13</v>
      </c>
      <c r="G1520" s="395">
        <v>844</v>
      </c>
      <c r="H1520" s="394">
        <v>1496</v>
      </c>
      <c r="I1520" s="394">
        <f t="shared" si="371"/>
        <v>23.042654028436019</v>
      </c>
      <c r="J1520" s="394">
        <f t="shared" si="372"/>
        <v>36.042654028436019</v>
      </c>
      <c r="K1520" s="492">
        <v>0.3</v>
      </c>
      <c r="L1520" s="394">
        <f t="shared" si="370"/>
        <v>46.855450236966824</v>
      </c>
      <c r="M1520" s="394">
        <v>55</v>
      </c>
      <c r="N1520" s="504"/>
      <c r="O1520" s="362"/>
      <c r="Q1520" s="833"/>
      <c r="R1520" s="396"/>
    </row>
    <row r="1521" spans="1:18" s="395" customFormat="1" ht="15.75" outlineLevel="1" x14ac:dyDescent="0.25">
      <c r="A1521" s="393"/>
      <c r="B1521" s="395" t="s">
        <v>271</v>
      </c>
      <c r="C1521" s="395">
        <v>56</v>
      </c>
      <c r="D1521" s="395">
        <v>38</v>
      </c>
      <c r="E1521" s="395" t="s">
        <v>298</v>
      </c>
      <c r="F1521" s="394">
        <v>13</v>
      </c>
      <c r="G1521" s="395">
        <v>844</v>
      </c>
      <c r="H1521" s="394">
        <v>1496</v>
      </c>
      <c r="I1521" s="394">
        <f t="shared" si="371"/>
        <v>23.042654028436019</v>
      </c>
      <c r="J1521" s="394">
        <f t="shared" si="372"/>
        <v>36.042654028436019</v>
      </c>
      <c r="K1521" s="492">
        <v>0.3</v>
      </c>
      <c r="L1521" s="394">
        <f t="shared" si="370"/>
        <v>46.855450236966824</v>
      </c>
      <c r="M1521" s="394">
        <v>55</v>
      </c>
      <c r="N1521" s="504"/>
      <c r="O1521" s="362"/>
      <c r="Q1521" s="833"/>
      <c r="R1521" s="396"/>
    </row>
    <row r="1522" spans="1:18" s="395" customFormat="1" ht="15.75" outlineLevel="1" x14ac:dyDescent="0.25">
      <c r="A1522" s="393"/>
      <c r="B1522" s="395" t="s">
        <v>271</v>
      </c>
      <c r="C1522" s="395">
        <v>57</v>
      </c>
      <c r="D1522" s="395">
        <v>39</v>
      </c>
      <c r="E1522" s="395" t="s">
        <v>298</v>
      </c>
      <c r="F1522" s="394">
        <v>13</v>
      </c>
      <c r="G1522" s="395">
        <v>844</v>
      </c>
      <c r="H1522" s="394">
        <v>1496</v>
      </c>
      <c r="I1522" s="394">
        <f t="shared" si="371"/>
        <v>23.042654028436019</v>
      </c>
      <c r="J1522" s="394">
        <f t="shared" si="372"/>
        <v>36.042654028436019</v>
      </c>
      <c r="K1522" s="492">
        <v>0.3</v>
      </c>
      <c r="L1522" s="394">
        <f t="shared" si="370"/>
        <v>46.855450236966824</v>
      </c>
      <c r="M1522" s="394">
        <v>55</v>
      </c>
      <c r="N1522" s="504"/>
      <c r="O1522" s="362"/>
      <c r="Q1522" s="833"/>
      <c r="R1522" s="396"/>
    </row>
    <row r="1523" spans="1:18" s="395" customFormat="1" ht="15.75" outlineLevel="1" x14ac:dyDescent="0.25">
      <c r="A1523" s="393"/>
      <c r="B1523" s="395" t="s">
        <v>271</v>
      </c>
      <c r="C1523" s="395">
        <v>58</v>
      </c>
      <c r="D1523" s="395">
        <v>39</v>
      </c>
      <c r="E1523" s="395" t="s">
        <v>298</v>
      </c>
      <c r="F1523" s="394">
        <v>13</v>
      </c>
      <c r="G1523" s="395">
        <v>844</v>
      </c>
      <c r="H1523" s="394">
        <v>1496</v>
      </c>
      <c r="I1523" s="394">
        <f t="shared" si="371"/>
        <v>23.042654028436019</v>
      </c>
      <c r="J1523" s="394">
        <f t="shared" si="372"/>
        <v>36.042654028436019</v>
      </c>
      <c r="K1523" s="492">
        <v>0.3</v>
      </c>
      <c r="L1523" s="394">
        <f t="shared" si="370"/>
        <v>46.855450236966824</v>
      </c>
      <c r="M1523" s="394">
        <v>55</v>
      </c>
      <c r="N1523" s="504"/>
      <c r="O1523" s="362"/>
      <c r="Q1523" s="833"/>
      <c r="R1523" s="396"/>
    </row>
    <row r="1524" spans="1:18" s="395" customFormat="1" ht="15.75" hidden="1" outlineLevel="1" x14ac:dyDescent="0.25">
      <c r="A1524" s="393"/>
      <c r="B1524" s="395" t="s">
        <v>271</v>
      </c>
      <c r="C1524" s="395">
        <v>59</v>
      </c>
      <c r="D1524" s="395">
        <v>37</v>
      </c>
      <c r="E1524" s="317" t="s">
        <v>640</v>
      </c>
      <c r="F1524" s="493">
        <v>13</v>
      </c>
      <c r="G1524" s="317">
        <v>844</v>
      </c>
      <c r="H1524" s="493">
        <v>1496</v>
      </c>
      <c r="I1524" s="493">
        <f t="shared" si="371"/>
        <v>23.042654028436019</v>
      </c>
      <c r="J1524" s="493">
        <f t="shared" si="372"/>
        <v>36.042654028436019</v>
      </c>
      <c r="K1524" s="692">
        <v>0.3</v>
      </c>
      <c r="L1524" s="493">
        <f t="shared" si="370"/>
        <v>46.855450236966824</v>
      </c>
      <c r="M1524" s="493">
        <v>65</v>
      </c>
      <c r="N1524" s="504">
        <v>45</v>
      </c>
      <c r="O1524" s="362"/>
      <c r="P1524" s="395" t="s">
        <v>12</v>
      </c>
      <c r="Q1524" s="833">
        <v>45341</v>
      </c>
      <c r="R1524" s="396">
        <f>+N1524*10000</f>
        <v>450000</v>
      </c>
    </row>
    <row r="1525" spans="1:18" s="395" customFormat="1" ht="15.75" outlineLevel="1" x14ac:dyDescent="0.25">
      <c r="A1525" s="393"/>
      <c r="B1525" s="395" t="s">
        <v>271</v>
      </c>
      <c r="C1525" s="395">
        <v>60</v>
      </c>
      <c r="D1525" s="395">
        <v>37</v>
      </c>
      <c r="E1525" s="395" t="s">
        <v>640</v>
      </c>
      <c r="F1525" s="394">
        <v>13</v>
      </c>
      <c r="G1525" s="395">
        <v>844</v>
      </c>
      <c r="H1525" s="394">
        <v>1496</v>
      </c>
      <c r="I1525" s="394">
        <f t="shared" si="371"/>
        <v>23.042654028436019</v>
      </c>
      <c r="J1525" s="394">
        <f t="shared" si="372"/>
        <v>36.042654028436019</v>
      </c>
      <c r="K1525" s="492">
        <v>0.3</v>
      </c>
      <c r="L1525" s="394">
        <f t="shared" si="370"/>
        <v>46.855450236966824</v>
      </c>
      <c r="M1525" s="394">
        <v>65</v>
      </c>
      <c r="N1525" s="504"/>
      <c r="O1525" s="362"/>
      <c r="Q1525" s="833"/>
      <c r="R1525" s="396"/>
    </row>
    <row r="1526" spans="1:18" s="395" customFormat="1" ht="15.75" hidden="1" outlineLevel="1" x14ac:dyDescent="0.25">
      <c r="A1526" s="393"/>
      <c r="B1526" s="395" t="s">
        <v>271</v>
      </c>
      <c r="C1526" s="395">
        <v>61</v>
      </c>
      <c r="D1526" s="395">
        <v>37</v>
      </c>
      <c r="E1526" s="317" t="s">
        <v>641</v>
      </c>
      <c r="F1526" s="493">
        <v>13</v>
      </c>
      <c r="G1526" s="317">
        <v>844</v>
      </c>
      <c r="H1526" s="493">
        <v>1496</v>
      </c>
      <c r="I1526" s="493">
        <f t="shared" si="371"/>
        <v>23.042654028436019</v>
      </c>
      <c r="J1526" s="493">
        <f t="shared" si="372"/>
        <v>36.042654028436019</v>
      </c>
      <c r="K1526" s="692">
        <v>0.3</v>
      </c>
      <c r="L1526" s="493">
        <f t="shared" si="370"/>
        <v>46.855450236966824</v>
      </c>
      <c r="M1526" s="493">
        <v>45</v>
      </c>
      <c r="N1526" s="504">
        <v>25</v>
      </c>
      <c r="O1526" s="362"/>
      <c r="P1526" s="395" t="s">
        <v>12</v>
      </c>
      <c r="Q1526" s="833">
        <v>45293</v>
      </c>
      <c r="R1526" s="396">
        <f>+N1526*7000</f>
        <v>175000</v>
      </c>
    </row>
    <row r="1527" spans="1:18" s="395" customFormat="1" ht="15.75" outlineLevel="1" x14ac:dyDescent="0.25">
      <c r="A1527" s="393"/>
      <c r="B1527" s="395" t="s">
        <v>271</v>
      </c>
      <c r="C1527" s="395">
        <v>62</v>
      </c>
      <c r="D1527" s="395">
        <v>37</v>
      </c>
      <c r="E1527" s="395" t="s">
        <v>641</v>
      </c>
      <c r="F1527" s="394">
        <v>13</v>
      </c>
      <c r="G1527" s="395">
        <v>844</v>
      </c>
      <c r="H1527" s="394">
        <v>1496</v>
      </c>
      <c r="I1527" s="394">
        <f t="shared" si="371"/>
        <v>23.042654028436019</v>
      </c>
      <c r="J1527" s="394">
        <f t="shared" si="372"/>
        <v>36.042654028436019</v>
      </c>
      <c r="K1527" s="492">
        <v>0.3</v>
      </c>
      <c r="L1527" s="394">
        <f t="shared" si="370"/>
        <v>46.855450236966824</v>
      </c>
      <c r="M1527" s="394">
        <v>45</v>
      </c>
      <c r="N1527" s="504"/>
      <c r="O1527" s="362"/>
      <c r="Q1527" s="833"/>
      <c r="R1527" s="396"/>
    </row>
    <row r="1528" spans="1:18" s="395" customFormat="1" ht="15.75" outlineLevel="1" x14ac:dyDescent="0.25">
      <c r="A1528" s="393"/>
      <c r="B1528" s="395" t="s">
        <v>271</v>
      </c>
      <c r="C1528" s="395">
        <v>63</v>
      </c>
      <c r="D1528" s="395">
        <v>36</v>
      </c>
      <c r="E1528" s="395" t="s">
        <v>642</v>
      </c>
      <c r="F1528" s="394">
        <v>13</v>
      </c>
      <c r="G1528" s="395">
        <v>844</v>
      </c>
      <c r="H1528" s="394">
        <v>1496</v>
      </c>
      <c r="I1528" s="394">
        <f t="shared" si="371"/>
        <v>23.042654028436019</v>
      </c>
      <c r="J1528" s="394">
        <f t="shared" si="372"/>
        <v>36.042654028436019</v>
      </c>
      <c r="K1528" s="492">
        <v>0.3</v>
      </c>
      <c r="L1528" s="394">
        <f t="shared" si="370"/>
        <v>46.855450236966824</v>
      </c>
      <c r="M1528" s="394">
        <v>45</v>
      </c>
      <c r="N1528" s="504"/>
      <c r="O1528" s="362"/>
      <c r="Q1528" s="833"/>
      <c r="R1528" s="396"/>
    </row>
    <row r="1529" spans="1:18" s="395" customFormat="1" ht="15.75" hidden="1" outlineLevel="1" x14ac:dyDescent="0.25">
      <c r="A1529" s="393"/>
      <c r="B1529" s="395" t="s">
        <v>271</v>
      </c>
      <c r="C1529" s="395">
        <v>64</v>
      </c>
      <c r="D1529" s="395">
        <v>37</v>
      </c>
      <c r="E1529" s="317" t="s">
        <v>642</v>
      </c>
      <c r="F1529" s="493">
        <v>13</v>
      </c>
      <c r="G1529" s="317">
        <v>844</v>
      </c>
      <c r="H1529" s="493">
        <v>1496</v>
      </c>
      <c r="I1529" s="493">
        <f t="shared" si="371"/>
        <v>23.042654028436019</v>
      </c>
      <c r="J1529" s="493">
        <f t="shared" si="372"/>
        <v>36.042654028436019</v>
      </c>
      <c r="K1529" s="692">
        <v>0.3</v>
      </c>
      <c r="L1529" s="493">
        <f t="shared" si="370"/>
        <v>46.855450236966824</v>
      </c>
      <c r="M1529" s="493">
        <v>45</v>
      </c>
      <c r="N1529" s="504">
        <v>25</v>
      </c>
      <c r="O1529" s="362"/>
      <c r="P1529" s="395" t="s">
        <v>12</v>
      </c>
      <c r="Q1529" s="833">
        <v>45356</v>
      </c>
      <c r="R1529" s="396">
        <f>+N1529*18000</f>
        <v>450000</v>
      </c>
    </row>
    <row r="1530" spans="1:18" s="395" customFormat="1" ht="15.75" outlineLevel="1" x14ac:dyDescent="0.25">
      <c r="A1530" s="393"/>
      <c r="B1530" s="395" t="s">
        <v>676</v>
      </c>
      <c r="C1530" s="395">
        <v>65</v>
      </c>
      <c r="D1530" s="395">
        <v>40</v>
      </c>
      <c r="E1530" s="395" t="s">
        <v>646</v>
      </c>
      <c r="F1530" s="394">
        <v>38</v>
      </c>
      <c r="H1530" s="394"/>
      <c r="I1530" s="394"/>
      <c r="J1530" s="394"/>
      <c r="K1530" s="492"/>
      <c r="L1530" s="394">
        <f t="shared" si="370"/>
        <v>0</v>
      </c>
      <c r="M1530" s="394">
        <v>55</v>
      </c>
      <c r="N1530" s="504"/>
      <c r="O1530" s="362"/>
      <c r="Q1530" s="833"/>
      <c r="R1530" s="396"/>
    </row>
    <row r="1531" spans="1:18" s="395" customFormat="1" ht="15.75" outlineLevel="1" x14ac:dyDescent="0.25">
      <c r="A1531" s="393"/>
      <c r="B1531" s="395" t="s">
        <v>676</v>
      </c>
      <c r="C1531" s="395">
        <v>66</v>
      </c>
      <c r="D1531" s="395">
        <v>40</v>
      </c>
      <c r="E1531" s="395" t="s">
        <v>647</v>
      </c>
      <c r="F1531" s="394">
        <v>38</v>
      </c>
      <c r="H1531" s="394"/>
      <c r="I1531" s="394"/>
      <c r="J1531" s="394"/>
      <c r="K1531" s="492"/>
      <c r="L1531" s="394">
        <f t="shared" si="370"/>
        <v>0</v>
      </c>
      <c r="M1531" s="394">
        <v>55</v>
      </c>
      <c r="N1531" s="504"/>
      <c r="O1531" s="362"/>
      <c r="Q1531" s="833"/>
      <c r="R1531" s="396"/>
    </row>
    <row r="1532" spans="1:18" s="395" customFormat="1" ht="15.75" hidden="1" outlineLevel="1" x14ac:dyDescent="0.25">
      <c r="A1532" s="393"/>
      <c r="B1532" s="395" t="s">
        <v>676</v>
      </c>
      <c r="C1532" s="395">
        <v>67</v>
      </c>
      <c r="D1532" s="395">
        <v>41</v>
      </c>
      <c r="E1532" s="317" t="s">
        <v>647</v>
      </c>
      <c r="F1532" s="493">
        <v>38</v>
      </c>
      <c r="G1532" s="317"/>
      <c r="H1532" s="493"/>
      <c r="I1532" s="493"/>
      <c r="J1532" s="493"/>
      <c r="K1532" s="692"/>
      <c r="L1532" s="493">
        <f t="shared" ref="L1532:L1547" si="373">+J1532*K1532+J1532</f>
        <v>0</v>
      </c>
      <c r="M1532" s="493">
        <v>55</v>
      </c>
      <c r="N1532" s="504">
        <v>25</v>
      </c>
      <c r="O1532" s="362"/>
      <c r="P1532" s="395" t="s">
        <v>12</v>
      </c>
      <c r="Q1532" s="833">
        <v>45478</v>
      </c>
      <c r="R1532" s="396"/>
    </row>
    <row r="1533" spans="1:18" s="395" customFormat="1" ht="15.75" outlineLevel="1" x14ac:dyDescent="0.25">
      <c r="A1533" s="393"/>
      <c r="B1533" s="393" t="s">
        <v>648</v>
      </c>
      <c r="F1533" s="394"/>
      <c r="H1533" s="394"/>
      <c r="I1533" s="394"/>
      <c r="J1533" s="394"/>
      <c r="K1533" s="492"/>
      <c r="L1533" s="394">
        <f t="shared" si="373"/>
        <v>0</v>
      </c>
      <c r="M1533" s="394"/>
      <c r="N1533" s="504"/>
      <c r="Q1533" s="833"/>
      <c r="R1533" s="396"/>
    </row>
    <row r="1534" spans="1:18" s="395" customFormat="1" ht="15.75" outlineLevel="1" x14ac:dyDescent="0.25">
      <c r="A1534" s="393"/>
      <c r="B1534" s="395" t="s">
        <v>650</v>
      </c>
      <c r="C1534" s="395">
        <v>68</v>
      </c>
      <c r="D1534" s="395">
        <v>8</v>
      </c>
      <c r="E1534" s="395" t="s">
        <v>649</v>
      </c>
      <c r="F1534" s="394"/>
      <c r="H1534" s="394"/>
      <c r="I1534" s="394"/>
      <c r="J1534" s="394"/>
      <c r="K1534" s="492"/>
      <c r="L1534" s="394">
        <f t="shared" si="373"/>
        <v>0</v>
      </c>
      <c r="M1534" s="394">
        <v>100</v>
      </c>
      <c r="N1534" s="504"/>
      <c r="O1534" s="362"/>
      <c r="Q1534" s="833"/>
      <c r="R1534" s="396"/>
    </row>
    <row r="1535" spans="1:18" s="395" customFormat="1" ht="15.75" outlineLevel="1" x14ac:dyDescent="0.25">
      <c r="A1535" s="393"/>
      <c r="B1535" s="393" t="s">
        <v>681</v>
      </c>
      <c r="F1535" s="394"/>
      <c r="H1535" s="394"/>
      <c r="I1535" s="394"/>
      <c r="J1535" s="394"/>
      <c r="K1535" s="492"/>
      <c r="L1535" s="394">
        <f t="shared" si="373"/>
        <v>0</v>
      </c>
      <c r="M1535" s="394"/>
      <c r="N1535" s="504"/>
      <c r="Q1535" s="833"/>
      <c r="R1535" s="396"/>
    </row>
    <row r="1536" spans="1:18" s="395" customFormat="1" ht="15.75" outlineLevel="1" x14ac:dyDescent="0.25">
      <c r="B1536" s="395" t="s">
        <v>339</v>
      </c>
      <c r="C1536" s="395">
        <v>69</v>
      </c>
      <c r="D1536" s="395">
        <v>39</v>
      </c>
      <c r="E1536" s="395" t="s">
        <v>974</v>
      </c>
      <c r="F1536" s="394">
        <v>11</v>
      </c>
      <c r="G1536" s="395">
        <v>6556</v>
      </c>
      <c r="H1536" s="394">
        <v>9750</v>
      </c>
      <c r="I1536" s="394">
        <f t="shared" ref="I1536:I1547" si="374">+F1536/G1536*H1536</f>
        <v>16.359060402684563</v>
      </c>
      <c r="J1536" s="394">
        <f t="shared" ref="J1536:J1547" si="375">+F1536+I1536</f>
        <v>27.359060402684563</v>
      </c>
      <c r="K1536" s="492">
        <v>0.3</v>
      </c>
      <c r="L1536" s="394">
        <f t="shared" si="373"/>
        <v>35.56677852348993</v>
      </c>
      <c r="M1536" s="394">
        <v>65</v>
      </c>
      <c r="N1536" s="504">
        <v>45</v>
      </c>
      <c r="O1536" s="362"/>
      <c r="Q1536" s="833"/>
      <c r="R1536" s="396"/>
    </row>
    <row r="1537" spans="1:18" s="395" customFormat="1" ht="15.75" outlineLevel="1" x14ac:dyDescent="0.25">
      <c r="B1537" s="395" t="s">
        <v>339</v>
      </c>
      <c r="C1537" s="395">
        <v>70</v>
      </c>
      <c r="D1537" s="395">
        <v>39</v>
      </c>
      <c r="E1537" s="395" t="s">
        <v>974</v>
      </c>
      <c r="F1537" s="394">
        <v>11</v>
      </c>
      <c r="G1537" s="395">
        <v>6556</v>
      </c>
      <c r="H1537" s="394">
        <v>9750</v>
      </c>
      <c r="I1537" s="394">
        <f t="shared" si="374"/>
        <v>16.359060402684563</v>
      </c>
      <c r="J1537" s="394">
        <f t="shared" si="375"/>
        <v>27.359060402684563</v>
      </c>
      <c r="K1537" s="492">
        <v>0.3</v>
      </c>
      <c r="L1537" s="394">
        <f t="shared" si="373"/>
        <v>35.56677852348993</v>
      </c>
      <c r="M1537" s="394">
        <v>65</v>
      </c>
      <c r="N1537" s="504">
        <v>45</v>
      </c>
      <c r="O1537" s="362"/>
      <c r="Q1537" s="833"/>
      <c r="R1537" s="396"/>
    </row>
    <row r="1538" spans="1:18" s="395" customFormat="1" ht="15.75" outlineLevel="1" x14ac:dyDescent="0.25">
      <c r="B1538" s="395" t="s">
        <v>339</v>
      </c>
      <c r="C1538" s="395">
        <v>71</v>
      </c>
      <c r="D1538" s="395">
        <v>40</v>
      </c>
      <c r="E1538" s="395" t="s">
        <v>974</v>
      </c>
      <c r="F1538" s="394">
        <v>11</v>
      </c>
      <c r="G1538" s="395">
        <v>6556</v>
      </c>
      <c r="H1538" s="394">
        <v>9750</v>
      </c>
      <c r="I1538" s="394">
        <f t="shared" si="374"/>
        <v>16.359060402684563</v>
      </c>
      <c r="J1538" s="394">
        <f t="shared" si="375"/>
        <v>27.359060402684563</v>
      </c>
      <c r="K1538" s="492">
        <v>0.3</v>
      </c>
      <c r="L1538" s="394">
        <f t="shared" si="373"/>
        <v>35.56677852348993</v>
      </c>
      <c r="M1538" s="394">
        <v>65</v>
      </c>
      <c r="N1538" s="504">
        <v>45</v>
      </c>
      <c r="O1538" s="362"/>
      <c r="Q1538" s="833"/>
      <c r="R1538" s="396"/>
    </row>
    <row r="1539" spans="1:18" s="395" customFormat="1" ht="15" customHeight="1" outlineLevel="2" x14ac:dyDescent="0.25">
      <c r="B1539" s="395" t="s">
        <v>339</v>
      </c>
      <c r="C1539" s="395">
        <v>72</v>
      </c>
      <c r="D1539" s="395">
        <v>41</v>
      </c>
      <c r="E1539" s="395" t="s">
        <v>974</v>
      </c>
      <c r="F1539" s="394">
        <v>11</v>
      </c>
      <c r="G1539" s="395">
        <v>6556</v>
      </c>
      <c r="H1539" s="394">
        <v>9750</v>
      </c>
      <c r="I1539" s="394">
        <f t="shared" si="374"/>
        <v>16.359060402684563</v>
      </c>
      <c r="J1539" s="394">
        <f t="shared" si="375"/>
        <v>27.359060402684563</v>
      </c>
      <c r="K1539" s="492">
        <v>0.3</v>
      </c>
      <c r="L1539" s="394">
        <f t="shared" si="373"/>
        <v>35.56677852348993</v>
      </c>
      <c r="M1539" s="394">
        <v>65</v>
      </c>
      <c r="N1539" s="504">
        <v>45</v>
      </c>
      <c r="O1539" s="362"/>
      <c r="Q1539" s="833"/>
      <c r="R1539" s="396"/>
    </row>
    <row r="1540" spans="1:18" s="395" customFormat="1" ht="15" customHeight="1" outlineLevel="1" x14ac:dyDescent="0.25">
      <c r="B1540" s="395" t="s">
        <v>339</v>
      </c>
      <c r="C1540" s="395">
        <v>73</v>
      </c>
      <c r="D1540" s="395">
        <v>41</v>
      </c>
      <c r="E1540" s="395" t="s">
        <v>974</v>
      </c>
      <c r="F1540" s="394">
        <v>11</v>
      </c>
      <c r="G1540" s="395">
        <v>6556</v>
      </c>
      <c r="H1540" s="394">
        <v>9750</v>
      </c>
      <c r="I1540" s="394">
        <f t="shared" si="374"/>
        <v>16.359060402684563</v>
      </c>
      <c r="J1540" s="394">
        <f t="shared" si="375"/>
        <v>27.359060402684563</v>
      </c>
      <c r="K1540" s="492">
        <v>0.3</v>
      </c>
      <c r="L1540" s="394">
        <f t="shared" si="373"/>
        <v>35.56677852348993</v>
      </c>
      <c r="M1540" s="394">
        <v>65</v>
      </c>
      <c r="N1540" s="504">
        <v>45</v>
      </c>
      <c r="O1540" s="362"/>
      <c r="Q1540" s="833"/>
      <c r="R1540" s="396"/>
    </row>
    <row r="1541" spans="1:18" s="395" customFormat="1" ht="15" customHeight="1" outlineLevel="1" x14ac:dyDescent="0.25">
      <c r="B1541" s="395" t="s">
        <v>668</v>
      </c>
      <c r="C1541" s="395">
        <v>74</v>
      </c>
      <c r="D1541" s="395">
        <v>36</v>
      </c>
      <c r="E1541" s="395" t="s">
        <v>669</v>
      </c>
      <c r="F1541" s="394">
        <v>12</v>
      </c>
      <c r="G1541" s="395">
        <v>6556</v>
      </c>
      <c r="H1541" s="394">
        <v>9750</v>
      </c>
      <c r="I1541" s="394">
        <f t="shared" si="374"/>
        <v>17.846247712019526</v>
      </c>
      <c r="J1541" s="394">
        <f t="shared" si="375"/>
        <v>29.846247712019526</v>
      </c>
      <c r="K1541" s="492">
        <v>0.3</v>
      </c>
      <c r="L1541" s="394">
        <f t="shared" si="373"/>
        <v>38.800122025625384</v>
      </c>
      <c r="M1541" s="394">
        <v>65</v>
      </c>
      <c r="N1541" s="504">
        <v>45</v>
      </c>
      <c r="O1541" s="362"/>
      <c r="Q1541" s="833"/>
      <c r="R1541" s="396"/>
    </row>
    <row r="1542" spans="1:18" s="395" customFormat="1" ht="15" hidden="1" customHeight="1" outlineLevel="1" x14ac:dyDescent="0.25">
      <c r="B1542" s="395" t="s">
        <v>668</v>
      </c>
      <c r="C1542" s="395">
        <v>75</v>
      </c>
      <c r="D1542" s="395">
        <v>37</v>
      </c>
      <c r="E1542" s="317" t="s">
        <v>669</v>
      </c>
      <c r="F1542" s="493">
        <v>12</v>
      </c>
      <c r="G1542" s="317">
        <v>6556</v>
      </c>
      <c r="H1542" s="493">
        <v>9750</v>
      </c>
      <c r="I1542" s="493">
        <f t="shared" si="374"/>
        <v>17.846247712019526</v>
      </c>
      <c r="J1542" s="493">
        <f t="shared" si="375"/>
        <v>29.846247712019526</v>
      </c>
      <c r="K1542" s="692">
        <v>0.3</v>
      </c>
      <c r="L1542" s="493">
        <f t="shared" si="373"/>
        <v>38.800122025625384</v>
      </c>
      <c r="M1542" s="493">
        <v>65</v>
      </c>
      <c r="N1542" s="504">
        <v>45</v>
      </c>
      <c r="O1542" s="362"/>
      <c r="P1542" s="395" t="s">
        <v>12</v>
      </c>
      <c r="Q1542" s="833">
        <v>45483</v>
      </c>
      <c r="R1542" s="396"/>
    </row>
    <row r="1543" spans="1:18" s="395" customFormat="1" ht="15" customHeight="1" outlineLevel="1" x14ac:dyDescent="0.25">
      <c r="B1543" s="395" t="s">
        <v>668</v>
      </c>
      <c r="C1543" s="395">
        <v>76</v>
      </c>
      <c r="D1543" s="395">
        <v>37</v>
      </c>
      <c r="E1543" s="395" t="s">
        <v>669</v>
      </c>
      <c r="F1543" s="394">
        <v>12</v>
      </c>
      <c r="G1543" s="395">
        <v>6556</v>
      </c>
      <c r="H1543" s="394">
        <v>9750</v>
      </c>
      <c r="I1543" s="394">
        <f t="shared" si="374"/>
        <v>17.846247712019526</v>
      </c>
      <c r="J1543" s="394">
        <f t="shared" si="375"/>
        <v>29.846247712019526</v>
      </c>
      <c r="K1543" s="492">
        <v>0.3</v>
      </c>
      <c r="L1543" s="394">
        <f t="shared" si="373"/>
        <v>38.800122025625384</v>
      </c>
      <c r="M1543" s="167">
        <v>65</v>
      </c>
      <c r="N1543" s="504">
        <v>45</v>
      </c>
      <c r="O1543" s="362"/>
      <c r="Q1543" s="833"/>
      <c r="R1543" s="396"/>
    </row>
    <row r="1544" spans="1:18" s="395" customFormat="1" ht="15" customHeight="1" outlineLevel="1" x14ac:dyDescent="0.25">
      <c r="B1544" s="395" t="s">
        <v>668</v>
      </c>
      <c r="C1544" s="395">
        <v>77</v>
      </c>
      <c r="D1544" s="395">
        <v>36</v>
      </c>
      <c r="E1544" s="395" t="s">
        <v>670</v>
      </c>
      <c r="F1544" s="394">
        <v>14</v>
      </c>
      <c r="G1544" s="395">
        <v>6556</v>
      </c>
      <c r="H1544" s="394">
        <v>9750</v>
      </c>
      <c r="I1544" s="394">
        <f t="shared" si="374"/>
        <v>20.820622330689446</v>
      </c>
      <c r="J1544" s="394">
        <f t="shared" si="375"/>
        <v>34.820622330689446</v>
      </c>
      <c r="K1544" s="492">
        <v>0.3</v>
      </c>
      <c r="L1544" s="394">
        <f t="shared" si="373"/>
        <v>45.26680902989628</v>
      </c>
      <c r="M1544" s="394">
        <v>65</v>
      </c>
      <c r="N1544" s="504">
        <v>45</v>
      </c>
      <c r="O1544" s="362"/>
      <c r="Q1544" s="833"/>
      <c r="R1544" s="396"/>
    </row>
    <row r="1545" spans="1:18" s="395" customFormat="1" ht="15" hidden="1" customHeight="1" outlineLevel="1" x14ac:dyDescent="0.25">
      <c r="B1545" s="395" t="s">
        <v>668</v>
      </c>
      <c r="C1545" s="395">
        <v>78</v>
      </c>
      <c r="D1545" s="395">
        <v>37</v>
      </c>
      <c r="E1545" s="317" t="s">
        <v>670</v>
      </c>
      <c r="F1545" s="493">
        <v>14</v>
      </c>
      <c r="G1545" s="317">
        <v>6556</v>
      </c>
      <c r="H1545" s="493">
        <v>9750</v>
      </c>
      <c r="I1545" s="493">
        <f t="shared" si="374"/>
        <v>20.820622330689446</v>
      </c>
      <c r="J1545" s="493">
        <f t="shared" si="375"/>
        <v>34.820622330689446</v>
      </c>
      <c r="K1545" s="692">
        <v>0.3</v>
      </c>
      <c r="L1545" s="493">
        <f t="shared" si="373"/>
        <v>45.26680902989628</v>
      </c>
      <c r="M1545" s="493">
        <v>65</v>
      </c>
      <c r="N1545" s="504">
        <v>40</v>
      </c>
      <c r="O1545" s="362"/>
      <c r="P1545" s="395" t="s">
        <v>12</v>
      </c>
      <c r="Q1545" s="833">
        <v>45334</v>
      </c>
      <c r="R1545" s="396">
        <f>+N1545*8000</f>
        <v>320000</v>
      </c>
    </row>
    <row r="1546" spans="1:18" s="395" customFormat="1" ht="15" customHeight="1" outlineLevel="1" x14ac:dyDescent="0.25">
      <c r="B1546" s="395" t="s">
        <v>668</v>
      </c>
      <c r="C1546" s="395">
        <v>79</v>
      </c>
      <c r="D1546" s="395">
        <v>37</v>
      </c>
      <c r="E1546" s="395" t="s">
        <v>683</v>
      </c>
      <c r="F1546" s="394">
        <v>14</v>
      </c>
      <c r="G1546" s="395">
        <v>6556</v>
      </c>
      <c r="H1546" s="394">
        <v>9750</v>
      </c>
      <c r="I1546" s="394">
        <f t="shared" si="374"/>
        <v>20.820622330689446</v>
      </c>
      <c r="J1546" s="394">
        <f t="shared" si="375"/>
        <v>34.820622330689446</v>
      </c>
      <c r="K1546" s="492">
        <v>0.3</v>
      </c>
      <c r="L1546" s="394">
        <f t="shared" si="373"/>
        <v>45.26680902989628</v>
      </c>
      <c r="M1546" s="394">
        <v>65</v>
      </c>
      <c r="N1546" s="504">
        <v>45</v>
      </c>
      <c r="O1546" s="362"/>
      <c r="Q1546" s="833"/>
      <c r="R1546" s="396"/>
    </row>
    <row r="1547" spans="1:18" s="395" customFormat="1" ht="15" customHeight="1" outlineLevel="1" x14ac:dyDescent="0.25">
      <c r="B1547" s="395" t="s">
        <v>668</v>
      </c>
      <c r="C1547" s="395">
        <v>80</v>
      </c>
      <c r="D1547" s="395">
        <v>38</v>
      </c>
      <c r="E1547" s="395" t="s">
        <v>683</v>
      </c>
      <c r="F1547" s="394">
        <v>14</v>
      </c>
      <c r="G1547" s="395">
        <v>6556</v>
      </c>
      <c r="H1547" s="394">
        <v>9750</v>
      </c>
      <c r="I1547" s="394">
        <f t="shared" si="374"/>
        <v>20.820622330689446</v>
      </c>
      <c r="J1547" s="394">
        <f t="shared" si="375"/>
        <v>34.820622330689446</v>
      </c>
      <c r="K1547" s="492">
        <v>0.3</v>
      </c>
      <c r="L1547" s="394">
        <f t="shared" si="373"/>
        <v>45.26680902989628</v>
      </c>
      <c r="M1547" s="394">
        <v>65</v>
      </c>
      <c r="N1547" s="504">
        <v>45</v>
      </c>
      <c r="O1547" s="362"/>
      <c r="P1547" s="495"/>
      <c r="Q1547" s="833"/>
      <c r="R1547" s="396"/>
    </row>
    <row r="1548" spans="1:18" s="395" customFormat="1" ht="15" customHeight="1" outlineLevel="1" x14ac:dyDescent="0.25">
      <c r="E1548" s="393" t="s">
        <v>752</v>
      </c>
      <c r="F1548" s="394"/>
      <c r="H1548" s="394"/>
      <c r="I1548" s="394"/>
      <c r="J1548" s="394"/>
      <c r="K1548" s="492"/>
      <c r="L1548" s="394"/>
      <c r="M1548" s="394"/>
      <c r="N1548" s="504"/>
      <c r="P1548" s="495"/>
      <c r="Q1548" s="833"/>
      <c r="R1548" s="396"/>
    </row>
    <row r="1549" spans="1:18" s="395" customFormat="1" ht="15.75" outlineLevel="1" x14ac:dyDescent="0.25">
      <c r="B1549" s="395" t="s">
        <v>734</v>
      </c>
      <c r="C1549" s="395">
        <v>81</v>
      </c>
      <c r="D1549" s="395">
        <v>40</v>
      </c>
      <c r="E1549" s="395" t="s">
        <v>738</v>
      </c>
      <c r="F1549" s="395">
        <v>35</v>
      </c>
      <c r="G1549" s="179">
        <v>1079</v>
      </c>
      <c r="H1549" s="394">
        <f t="shared" ref="H1549:H1556" si="376">+G1549+552</f>
        <v>1631</v>
      </c>
      <c r="I1549" s="394">
        <f t="shared" ref="I1549:I1556" si="377">+F1549/G1549*H1549</f>
        <v>52.905468025949951</v>
      </c>
      <c r="J1549" s="394">
        <f t="shared" ref="J1549:J1556" si="378">+F1549+I1549</f>
        <v>87.905468025949943</v>
      </c>
      <c r="K1549" s="492">
        <v>0.3</v>
      </c>
      <c r="L1549" s="394">
        <f t="shared" ref="L1549:L1556" si="379">+J1549*K1549+J1549</f>
        <v>114.27710843373492</v>
      </c>
      <c r="M1549" s="394">
        <v>120</v>
      </c>
      <c r="N1549" s="504"/>
      <c r="O1549" s="362"/>
      <c r="Q1549" s="833"/>
      <c r="R1549" s="396"/>
    </row>
    <row r="1550" spans="1:18" s="395" customFormat="1" ht="15.75" hidden="1" outlineLevel="1" x14ac:dyDescent="0.25">
      <c r="A1550" s="395" t="s">
        <v>735</v>
      </c>
      <c r="B1550" s="395" t="s">
        <v>751</v>
      </c>
      <c r="C1550" s="395">
        <v>82</v>
      </c>
      <c r="D1550" s="395">
        <v>37</v>
      </c>
      <c r="E1550" s="317" t="s">
        <v>736</v>
      </c>
      <c r="F1550" s="317">
        <v>16</v>
      </c>
      <c r="G1550" s="509">
        <v>1079</v>
      </c>
      <c r="H1550" s="493">
        <f t="shared" si="376"/>
        <v>1631</v>
      </c>
      <c r="I1550" s="493">
        <f t="shared" si="377"/>
        <v>24.185356811862835</v>
      </c>
      <c r="J1550" s="493">
        <f t="shared" si="378"/>
        <v>40.185356811862832</v>
      </c>
      <c r="K1550" s="692">
        <v>0.3</v>
      </c>
      <c r="L1550" s="493">
        <f t="shared" si="379"/>
        <v>52.240963855421683</v>
      </c>
      <c r="M1550" s="493">
        <v>65</v>
      </c>
      <c r="N1550" s="504"/>
      <c r="O1550" s="362"/>
      <c r="P1550" s="395" t="s">
        <v>12</v>
      </c>
      <c r="Q1550" s="833">
        <v>45454</v>
      </c>
      <c r="R1550" s="396">
        <f>+M1550*14.5</f>
        <v>942.5</v>
      </c>
    </row>
    <row r="1551" spans="1:18" s="395" customFormat="1" ht="15.75" outlineLevel="1" x14ac:dyDescent="0.25">
      <c r="B1551" s="395" t="s">
        <v>751</v>
      </c>
      <c r="C1551" s="395">
        <v>83</v>
      </c>
      <c r="D1551" s="395">
        <v>37</v>
      </c>
      <c r="E1551" s="395" t="s">
        <v>736</v>
      </c>
      <c r="F1551" s="395">
        <v>16</v>
      </c>
      <c r="G1551" s="179">
        <v>1079</v>
      </c>
      <c r="H1551" s="394">
        <f t="shared" si="376"/>
        <v>1631</v>
      </c>
      <c r="I1551" s="394">
        <f t="shared" si="377"/>
        <v>24.185356811862835</v>
      </c>
      <c r="J1551" s="394">
        <f t="shared" si="378"/>
        <v>40.185356811862832</v>
      </c>
      <c r="K1551" s="492">
        <v>0.3</v>
      </c>
      <c r="L1551" s="394">
        <f t="shared" si="379"/>
        <v>52.240963855421683</v>
      </c>
      <c r="M1551" s="394">
        <v>65</v>
      </c>
      <c r="N1551" s="504"/>
      <c r="O1551" s="362"/>
      <c r="Q1551" s="833"/>
      <c r="R1551" s="396"/>
    </row>
    <row r="1552" spans="1:18" s="395" customFormat="1" ht="15.75" outlineLevel="1" x14ac:dyDescent="0.25">
      <c r="B1552" s="395" t="s">
        <v>751</v>
      </c>
      <c r="C1552" s="395">
        <v>84</v>
      </c>
      <c r="D1552" s="395">
        <v>38</v>
      </c>
      <c r="E1552" s="395" t="s">
        <v>736</v>
      </c>
      <c r="F1552" s="395">
        <v>16</v>
      </c>
      <c r="G1552" s="179">
        <v>1079</v>
      </c>
      <c r="H1552" s="394">
        <f t="shared" si="376"/>
        <v>1631</v>
      </c>
      <c r="I1552" s="394">
        <f t="shared" si="377"/>
        <v>24.185356811862835</v>
      </c>
      <c r="J1552" s="394">
        <f t="shared" si="378"/>
        <v>40.185356811862832</v>
      </c>
      <c r="K1552" s="492">
        <v>0.3</v>
      </c>
      <c r="L1552" s="394">
        <f t="shared" si="379"/>
        <v>52.240963855421683</v>
      </c>
      <c r="M1552" s="394">
        <v>65</v>
      </c>
      <c r="N1552" s="504"/>
      <c r="O1552" s="362"/>
      <c r="Q1552" s="833"/>
      <c r="R1552" s="396"/>
    </row>
    <row r="1553" spans="1:18" s="395" customFormat="1" ht="15.75" outlineLevel="1" x14ac:dyDescent="0.25">
      <c r="B1553" s="395" t="s">
        <v>751</v>
      </c>
      <c r="C1553" s="395">
        <v>85</v>
      </c>
      <c r="D1553" s="395">
        <v>38</v>
      </c>
      <c r="E1553" s="395" t="s">
        <v>736</v>
      </c>
      <c r="F1553" s="395">
        <v>16</v>
      </c>
      <c r="G1553" s="179">
        <v>1079</v>
      </c>
      <c r="H1553" s="394">
        <f t="shared" si="376"/>
        <v>1631</v>
      </c>
      <c r="I1553" s="394">
        <f t="shared" si="377"/>
        <v>24.185356811862835</v>
      </c>
      <c r="J1553" s="394">
        <f t="shared" si="378"/>
        <v>40.185356811862832</v>
      </c>
      <c r="K1553" s="492">
        <v>0.3</v>
      </c>
      <c r="L1553" s="394">
        <f t="shared" si="379"/>
        <v>52.240963855421683</v>
      </c>
      <c r="M1553" s="394">
        <v>65</v>
      </c>
      <c r="N1553" s="504"/>
      <c r="O1553" s="362"/>
      <c r="Q1553" s="833"/>
      <c r="R1553" s="396"/>
    </row>
    <row r="1554" spans="1:18" s="395" customFormat="1" ht="15.75" outlineLevel="1" x14ac:dyDescent="0.25">
      <c r="B1554" s="395" t="s">
        <v>751</v>
      </c>
      <c r="C1554" s="395">
        <v>86</v>
      </c>
      <c r="D1554" s="395">
        <v>36</v>
      </c>
      <c r="E1554" s="395" t="s">
        <v>736</v>
      </c>
      <c r="F1554" s="395">
        <v>16</v>
      </c>
      <c r="G1554" s="179">
        <v>1079</v>
      </c>
      <c r="H1554" s="394">
        <f t="shared" si="376"/>
        <v>1631</v>
      </c>
      <c r="I1554" s="394">
        <f t="shared" si="377"/>
        <v>24.185356811862835</v>
      </c>
      <c r="J1554" s="394">
        <f t="shared" si="378"/>
        <v>40.185356811862832</v>
      </c>
      <c r="K1554" s="492">
        <v>0.3</v>
      </c>
      <c r="L1554" s="394">
        <f t="shared" si="379"/>
        <v>52.240963855421683</v>
      </c>
      <c r="M1554" s="394">
        <v>65</v>
      </c>
      <c r="N1554" s="504"/>
      <c r="O1554" s="362"/>
      <c r="Q1554" s="833"/>
      <c r="R1554" s="396"/>
    </row>
    <row r="1555" spans="1:18" s="395" customFormat="1" ht="15.75" outlineLevel="1" x14ac:dyDescent="0.25">
      <c r="B1555" s="395" t="s">
        <v>751</v>
      </c>
      <c r="C1555" s="395">
        <v>87</v>
      </c>
      <c r="D1555" s="395">
        <v>40</v>
      </c>
      <c r="E1555" s="395" t="s">
        <v>737</v>
      </c>
      <c r="F1555" s="395">
        <v>15</v>
      </c>
      <c r="G1555" s="179">
        <v>1079</v>
      </c>
      <c r="H1555" s="394">
        <f t="shared" si="376"/>
        <v>1631</v>
      </c>
      <c r="I1555" s="394">
        <f t="shared" si="377"/>
        <v>22.673772011121407</v>
      </c>
      <c r="J1555" s="394">
        <f t="shared" si="378"/>
        <v>37.673772011121407</v>
      </c>
      <c r="K1555" s="492">
        <v>0.3</v>
      </c>
      <c r="L1555" s="394">
        <f t="shared" si="379"/>
        <v>48.975903614457827</v>
      </c>
      <c r="M1555" s="394">
        <v>70</v>
      </c>
      <c r="N1555" s="504"/>
      <c r="O1555" s="362"/>
      <c r="Q1555" s="833"/>
      <c r="R1555" s="396"/>
    </row>
    <row r="1556" spans="1:18" s="395" customFormat="1" ht="15.75" outlineLevel="1" x14ac:dyDescent="0.25">
      <c r="B1556" s="395" t="s">
        <v>751</v>
      </c>
      <c r="C1556" s="395">
        <v>88</v>
      </c>
      <c r="D1556" s="395">
        <v>44</v>
      </c>
      <c r="E1556" s="395" t="s">
        <v>737</v>
      </c>
      <c r="F1556" s="395">
        <v>15</v>
      </c>
      <c r="G1556" s="179">
        <v>1079</v>
      </c>
      <c r="H1556" s="394">
        <f t="shared" si="376"/>
        <v>1631</v>
      </c>
      <c r="I1556" s="394">
        <f t="shared" si="377"/>
        <v>22.673772011121407</v>
      </c>
      <c r="J1556" s="394">
        <f t="shared" si="378"/>
        <v>37.673772011121407</v>
      </c>
      <c r="K1556" s="492">
        <v>0.3</v>
      </c>
      <c r="L1556" s="394">
        <f t="shared" si="379"/>
        <v>48.975903614457827</v>
      </c>
      <c r="M1556" s="394">
        <v>70</v>
      </c>
      <c r="N1556" s="504"/>
      <c r="O1556" s="362"/>
      <c r="Q1556" s="833"/>
      <c r="R1556" s="396"/>
    </row>
    <row r="1557" spans="1:18" s="395" customFormat="1" ht="15.75" outlineLevel="1" x14ac:dyDescent="0.25">
      <c r="A1557" s="393"/>
      <c r="E1557" s="393" t="s">
        <v>742</v>
      </c>
      <c r="F1557" s="167"/>
      <c r="G1557" s="167"/>
      <c r="H1557" s="167"/>
      <c r="I1557" s="167"/>
      <c r="J1557" s="167"/>
      <c r="K1557" s="167"/>
      <c r="L1557" s="167"/>
      <c r="M1557" s="167"/>
      <c r="N1557" s="404"/>
      <c r="Q1557" s="833"/>
      <c r="R1557" s="396"/>
    </row>
    <row r="1558" spans="1:18" s="395" customFormat="1" ht="15.75" outlineLevel="1" x14ac:dyDescent="0.25">
      <c r="A1558" s="393" t="s">
        <v>750</v>
      </c>
      <c r="B1558" s="393" t="s">
        <v>743</v>
      </c>
      <c r="C1558" s="395">
        <v>89</v>
      </c>
      <c r="D1558" s="395">
        <v>7</v>
      </c>
      <c r="E1558" s="395" t="s">
        <v>744</v>
      </c>
      <c r="F1558" s="167">
        <v>7.52</v>
      </c>
      <c r="G1558" s="167">
        <v>376</v>
      </c>
      <c r="H1558" s="167">
        <f>+G1558+488</f>
        <v>864</v>
      </c>
      <c r="I1558" s="394">
        <f t="shared" ref="I1558:I1575" si="380">+F1558/G1558*H1558</f>
        <v>17.28</v>
      </c>
      <c r="J1558" s="394">
        <f t="shared" ref="J1558:J1575" si="381">+F1558+I1558</f>
        <v>24.8</v>
      </c>
      <c r="K1558" s="492">
        <v>0.3</v>
      </c>
      <c r="L1558" s="394">
        <f t="shared" ref="L1558:L1582" si="382">+J1558*K1558+J1558</f>
        <v>32.24</v>
      </c>
      <c r="M1558" s="167">
        <v>50</v>
      </c>
      <c r="N1558" s="404"/>
      <c r="O1558" s="362"/>
      <c r="Q1558" s="833"/>
      <c r="R1558" s="396"/>
    </row>
    <row r="1559" spans="1:18" s="395" customFormat="1" ht="15.75" outlineLevel="1" x14ac:dyDescent="0.25">
      <c r="A1559" s="393" t="s">
        <v>750</v>
      </c>
      <c r="B1559" s="393" t="s">
        <v>743</v>
      </c>
      <c r="C1559" s="395">
        <v>90</v>
      </c>
      <c r="D1559" s="395">
        <v>7</v>
      </c>
      <c r="E1559" s="395" t="s">
        <v>744</v>
      </c>
      <c r="F1559" s="167">
        <v>7.52</v>
      </c>
      <c r="G1559" s="167">
        <v>376</v>
      </c>
      <c r="H1559" s="167">
        <v>864</v>
      </c>
      <c r="I1559" s="394">
        <f t="shared" si="380"/>
        <v>17.28</v>
      </c>
      <c r="J1559" s="394">
        <f t="shared" si="381"/>
        <v>24.8</v>
      </c>
      <c r="K1559" s="492">
        <v>0.3</v>
      </c>
      <c r="L1559" s="394">
        <f t="shared" si="382"/>
        <v>32.24</v>
      </c>
      <c r="M1559" s="167">
        <v>50</v>
      </c>
      <c r="N1559" s="404"/>
      <c r="O1559" s="362"/>
      <c r="Q1559" s="833"/>
      <c r="R1559" s="396"/>
    </row>
    <row r="1560" spans="1:18" s="395" customFormat="1" ht="15.75" outlineLevel="1" x14ac:dyDescent="0.25">
      <c r="A1560" s="393" t="s">
        <v>750</v>
      </c>
      <c r="B1560" s="393" t="s">
        <v>743</v>
      </c>
      <c r="C1560" s="395">
        <v>91</v>
      </c>
      <c r="D1560" s="395">
        <v>8</v>
      </c>
      <c r="E1560" s="395" t="s">
        <v>744</v>
      </c>
      <c r="F1560" s="167">
        <v>7.52</v>
      </c>
      <c r="G1560" s="167">
        <v>376</v>
      </c>
      <c r="H1560" s="167">
        <v>864</v>
      </c>
      <c r="I1560" s="394">
        <f t="shared" si="380"/>
        <v>17.28</v>
      </c>
      <c r="J1560" s="394">
        <f t="shared" si="381"/>
        <v>24.8</v>
      </c>
      <c r="K1560" s="492">
        <v>0.3</v>
      </c>
      <c r="L1560" s="394">
        <f t="shared" si="382"/>
        <v>32.24</v>
      </c>
      <c r="M1560" s="167">
        <v>50</v>
      </c>
      <c r="N1560" s="404"/>
      <c r="O1560" s="362"/>
      <c r="Q1560" s="833"/>
      <c r="R1560" s="396"/>
    </row>
    <row r="1561" spans="1:18" s="395" customFormat="1" ht="15.75" outlineLevel="1" x14ac:dyDescent="0.25">
      <c r="A1561" s="393" t="s">
        <v>750</v>
      </c>
      <c r="B1561" s="393" t="s">
        <v>743</v>
      </c>
      <c r="C1561" s="395">
        <v>92</v>
      </c>
      <c r="D1561" s="395">
        <v>9</v>
      </c>
      <c r="E1561" s="395" t="s">
        <v>744</v>
      </c>
      <c r="F1561" s="167">
        <v>7.52</v>
      </c>
      <c r="G1561" s="167">
        <v>376</v>
      </c>
      <c r="H1561" s="167">
        <v>864</v>
      </c>
      <c r="I1561" s="394">
        <f t="shared" si="380"/>
        <v>17.28</v>
      </c>
      <c r="J1561" s="394">
        <f t="shared" si="381"/>
        <v>24.8</v>
      </c>
      <c r="K1561" s="492">
        <v>0.3</v>
      </c>
      <c r="L1561" s="394">
        <f t="shared" si="382"/>
        <v>32.24</v>
      </c>
      <c r="M1561" s="167">
        <v>50</v>
      </c>
      <c r="N1561" s="404"/>
      <c r="O1561" s="362"/>
      <c r="Q1561" s="833"/>
      <c r="R1561" s="396"/>
    </row>
    <row r="1562" spans="1:18" s="395" customFormat="1" ht="15.75" outlineLevel="1" x14ac:dyDescent="0.25">
      <c r="A1562" s="393" t="s">
        <v>750</v>
      </c>
      <c r="B1562" s="393" t="s">
        <v>743</v>
      </c>
      <c r="C1562" s="395">
        <v>93</v>
      </c>
      <c r="D1562" s="395">
        <v>11</v>
      </c>
      <c r="E1562" s="317" t="s">
        <v>744</v>
      </c>
      <c r="F1562" s="545">
        <v>7.52</v>
      </c>
      <c r="G1562" s="545">
        <v>376</v>
      </c>
      <c r="H1562" s="545">
        <v>864</v>
      </c>
      <c r="I1562" s="493">
        <f t="shared" si="380"/>
        <v>17.28</v>
      </c>
      <c r="J1562" s="493">
        <f t="shared" si="381"/>
        <v>24.8</v>
      </c>
      <c r="K1562" s="692">
        <v>0.3</v>
      </c>
      <c r="L1562" s="493">
        <f t="shared" si="382"/>
        <v>32.24</v>
      </c>
      <c r="M1562" s="545">
        <v>35</v>
      </c>
      <c r="N1562" s="404"/>
      <c r="O1562" s="362"/>
      <c r="P1562" s="395" t="s">
        <v>12</v>
      </c>
      <c r="Q1562" s="833">
        <v>45356</v>
      </c>
      <c r="R1562" s="396">
        <f>+M1562*18000</f>
        <v>630000</v>
      </c>
    </row>
    <row r="1563" spans="1:18" s="395" customFormat="1" ht="15.75" outlineLevel="1" x14ac:dyDescent="0.25">
      <c r="A1563" s="393" t="s">
        <v>750</v>
      </c>
      <c r="B1563" s="393" t="s">
        <v>743</v>
      </c>
      <c r="C1563" s="395">
        <v>94</v>
      </c>
      <c r="D1563" s="395">
        <v>11</v>
      </c>
      <c r="E1563" s="395" t="s">
        <v>744</v>
      </c>
      <c r="F1563" s="167">
        <v>7.52</v>
      </c>
      <c r="G1563" s="167">
        <v>376</v>
      </c>
      <c r="H1563" s="167">
        <v>864</v>
      </c>
      <c r="I1563" s="394">
        <f t="shared" si="380"/>
        <v>17.28</v>
      </c>
      <c r="J1563" s="394">
        <f t="shared" si="381"/>
        <v>24.8</v>
      </c>
      <c r="K1563" s="492">
        <v>0.3</v>
      </c>
      <c r="L1563" s="394">
        <f t="shared" si="382"/>
        <v>32.24</v>
      </c>
      <c r="M1563" s="167">
        <v>50</v>
      </c>
      <c r="N1563" s="404"/>
      <c r="O1563" s="362"/>
      <c r="Q1563" s="833"/>
      <c r="R1563" s="396"/>
    </row>
    <row r="1564" spans="1:18" s="395" customFormat="1" ht="15.75" outlineLevel="1" x14ac:dyDescent="0.25">
      <c r="A1564" s="393" t="s">
        <v>750</v>
      </c>
      <c r="B1564" s="393" t="s">
        <v>743</v>
      </c>
      <c r="C1564" s="395">
        <v>95</v>
      </c>
      <c r="D1564" s="395">
        <v>12</v>
      </c>
      <c r="E1564" s="395" t="s">
        <v>973</v>
      </c>
      <c r="F1564" s="167">
        <v>7.52</v>
      </c>
      <c r="G1564" s="167">
        <v>376</v>
      </c>
      <c r="H1564" s="167">
        <v>864</v>
      </c>
      <c r="I1564" s="394">
        <f t="shared" si="380"/>
        <v>17.28</v>
      </c>
      <c r="J1564" s="394">
        <f t="shared" si="381"/>
        <v>24.8</v>
      </c>
      <c r="K1564" s="492">
        <v>0.3</v>
      </c>
      <c r="L1564" s="394">
        <f t="shared" si="382"/>
        <v>32.24</v>
      </c>
      <c r="M1564" s="167">
        <v>50</v>
      </c>
      <c r="N1564" s="404"/>
      <c r="O1564" s="362"/>
      <c r="Q1564" s="833"/>
      <c r="R1564" s="396"/>
    </row>
    <row r="1565" spans="1:18" s="395" customFormat="1" ht="15.75" outlineLevel="1" x14ac:dyDescent="0.25">
      <c r="A1565" s="393" t="s">
        <v>750</v>
      </c>
      <c r="B1565" s="393" t="s">
        <v>743</v>
      </c>
      <c r="C1565" s="395">
        <v>96</v>
      </c>
      <c r="D1565" s="395">
        <v>12</v>
      </c>
      <c r="E1565" s="395" t="s">
        <v>973</v>
      </c>
      <c r="F1565" s="167">
        <v>7.52</v>
      </c>
      <c r="G1565" s="167">
        <v>376</v>
      </c>
      <c r="H1565" s="167">
        <v>864</v>
      </c>
      <c r="I1565" s="394">
        <f t="shared" si="380"/>
        <v>17.28</v>
      </c>
      <c r="J1565" s="394">
        <f t="shared" si="381"/>
        <v>24.8</v>
      </c>
      <c r="K1565" s="492">
        <v>0.3</v>
      </c>
      <c r="L1565" s="394">
        <f t="shared" si="382"/>
        <v>32.24</v>
      </c>
      <c r="M1565" s="167">
        <v>50</v>
      </c>
      <c r="N1565" s="404"/>
      <c r="O1565" s="362"/>
      <c r="Q1565" s="833"/>
      <c r="R1565" s="396"/>
    </row>
    <row r="1566" spans="1:18" s="395" customFormat="1" ht="15.75" outlineLevel="1" x14ac:dyDescent="0.25">
      <c r="A1566" s="393" t="s">
        <v>750</v>
      </c>
      <c r="B1566" s="393" t="s">
        <v>743</v>
      </c>
      <c r="C1566" s="395">
        <v>97</v>
      </c>
      <c r="D1566" s="395">
        <v>7</v>
      </c>
      <c r="E1566" s="395" t="s">
        <v>745</v>
      </c>
      <c r="F1566" s="167">
        <v>7.52</v>
      </c>
      <c r="G1566" s="167">
        <v>376</v>
      </c>
      <c r="H1566" s="167">
        <v>864</v>
      </c>
      <c r="I1566" s="394">
        <f t="shared" si="380"/>
        <v>17.28</v>
      </c>
      <c r="J1566" s="394">
        <f t="shared" si="381"/>
        <v>24.8</v>
      </c>
      <c r="K1566" s="492">
        <v>0.3</v>
      </c>
      <c r="L1566" s="394">
        <f t="shared" si="382"/>
        <v>32.24</v>
      </c>
      <c r="M1566" s="167">
        <v>50</v>
      </c>
      <c r="N1566" s="404"/>
      <c r="O1566" s="362"/>
      <c r="Q1566" s="833"/>
      <c r="R1566" s="396"/>
    </row>
    <row r="1567" spans="1:18" s="395" customFormat="1" ht="15.75" outlineLevel="1" x14ac:dyDescent="0.25">
      <c r="A1567" s="393" t="s">
        <v>750</v>
      </c>
      <c r="B1567" s="393" t="s">
        <v>743</v>
      </c>
      <c r="C1567" s="395">
        <v>98</v>
      </c>
      <c r="D1567" s="395">
        <v>7</v>
      </c>
      <c r="E1567" s="395" t="s">
        <v>745</v>
      </c>
      <c r="F1567" s="167">
        <v>7.52</v>
      </c>
      <c r="G1567" s="167">
        <v>376</v>
      </c>
      <c r="H1567" s="167">
        <v>864</v>
      </c>
      <c r="I1567" s="394">
        <f t="shared" si="380"/>
        <v>17.28</v>
      </c>
      <c r="J1567" s="394">
        <f t="shared" si="381"/>
        <v>24.8</v>
      </c>
      <c r="K1567" s="492">
        <v>0.3</v>
      </c>
      <c r="L1567" s="394">
        <f t="shared" si="382"/>
        <v>32.24</v>
      </c>
      <c r="M1567" s="167">
        <v>50</v>
      </c>
      <c r="N1567" s="404"/>
      <c r="O1567" s="362"/>
      <c r="Q1567" s="833"/>
      <c r="R1567" s="396"/>
    </row>
    <row r="1568" spans="1:18" s="395" customFormat="1" ht="15.75" outlineLevel="1" x14ac:dyDescent="0.25">
      <c r="A1568" s="393" t="s">
        <v>750</v>
      </c>
      <c r="B1568" s="393" t="s">
        <v>743</v>
      </c>
      <c r="C1568" s="395">
        <v>99</v>
      </c>
      <c r="D1568" s="395">
        <v>8</v>
      </c>
      <c r="E1568" s="395" t="s">
        <v>745</v>
      </c>
      <c r="F1568" s="167">
        <v>7.52</v>
      </c>
      <c r="G1568" s="167">
        <v>376</v>
      </c>
      <c r="H1568" s="167">
        <v>864</v>
      </c>
      <c r="I1568" s="394">
        <f t="shared" si="380"/>
        <v>17.28</v>
      </c>
      <c r="J1568" s="394">
        <f t="shared" si="381"/>
        <v>24.8</v>
      </c>
      <c r="K1568" s="492">
        <v>0.3</v>
      </c>
      <c r="L1568" s="394">
        <f t="shared" si="382"/>
        <v>32.24</v>
      </c>
      <c r="M1568" s="167">
        <v>50</v>
      </c>
      <c r="N1568" s="404"/>
      <c r="O1568" s="362"/>
      <c r="Q1568" s="833"/>
      <c r="R1568" s="396"/>
    </row>
    <row r="1569" spans="1:20" s="395" customFormat="1" ht="15.75" outlineLevel="1" x14ac:dyDescent="0.25">
      <c r="A1569" s="393" t="s">
        <v>750</v>
      </c>
      <c r="B1569" s="393" t="s">
        <v>743</v>
      </c>
      <c r="C1569" s="395">
        <v>100</v>
      </c>
      <c r="D1569" s="395">
        <v>10</v>
      </c>
      <c r="E1569" s="395" t="s">
        <v>745</v>
      </c>
      <c r="F1569" s="167">
        <v>7.52</v>
      </c>
      <c r="G1569" s="167">
        <v>376</v>
      </c>
      <c r="H1569" s="167">
        <v>864</v>
      </c>
      <c r="I1569" s="394">
        <f t="shared" si="380"/>
        <v>17.28</v>
      </c>
      <c r="J1569" s="394">
        <f t="shared" si="381"/>
        <v>24.8</v>
      </c>
      <c r="K1569" s="492">
        <v>0.3</v>
      </c>
      <c r="L1569" s="394">
        <f t="shared" si="382"/>
        <v>32.24</v>
      </c>
      <c r="M1569" s="167">
        <v>50</v>
      </c>
      <c r="N1569" s="404"/>
      <c r="O1569" s="362"/>
      <c r="Q1569" s="833"/>
      <c r="R1569" s="396"/>
    </row>
    <row r="1570" spans="1:20" s="395" customFormat="1" ht="15.75" outlineLevel="1" x14ac:dyDescent="0.25">
      <c r="A1570" s="393" t="s">
        <v>750</v>
      </c>
      <c r="B1570" s="393" t="s">
        <v>743</v>
      </c>
      <c r="C1570" s="395">
        <v>101</v>
      </c>
      <c r="D1570" s="395">
        <v>12</v>
      </c>
      <c r="E1570" s="395" t="s">
        <v>745</v>
      </c>
      <c r="F1570" s="167">
        <v>7.52</v>
      </c>
      <c r="G1570" s="167">
        <v>376</v>
      </c>
      <c r="H1570" s="167">
        <v>864</v>
      </c>
      <c r="I1570" s="394">
        <f t="shared" si="380"/>
        <v>17.28</v>
      </c>
      <c r="J1570" s="394">
        <f t="shared" si="381"/>
        <v>24.8</v>
      </c>
      <c r="K1570" s="492">
        <v>0.3</v>
      </c>
      <c r="L1570" s="394">
        <f t="shared" si="382"/>
        <v>32.24</v>
      </c>
      <c r="M1570" s="167">
        <v>50</v>
      </c>
      <c r="N1570" s="404"/>
      <c r="O1570" s="362"/>
      <c r="Q1570" s="833"/>
      <c r="R1570" s="396"/>
    </row>
    <row r="1571" spans="1:20" s="395" customFormat="1" ht="15.75" outlineLevel="1" x14ac:dyDescent="0.25">
      <c r="A1571" s="393" t="s">
        <v>750</v>
      </c>
      <c r="B1571" s="393" t="s">
        <v>743</v>
      </c>
      <c r="C1571" s="395">
        <v>102</v>
      </c>
      <c r="D1571" s="395">
        <v>12</v>
      </c>
      <c r="E1571" s="395" t="s">
        <v>745</v>
      </c>
      <c r="F1571" s="167">
        <v>7.52</v>
      </c>
      <c r="G1571" s="167">
        <v>376</v>
      </c>
      <c r="H1571" s="167">
        <v>864</v>
      </c>
      <c r="I1571" s="394">
        <f t="shared" si="380"/>
        <v>17.28</v>
      </c>
      <c r="J1571" s="394">
        <f t="shared" si="381"/>
        <v>24.8</v>
      </c>
      <c r="K1571" s="492">
        <v>0.3</v>
      </c>
      <c r="L1571" s="394">
        <f t="shared" si="382"/>
        <v>32.24</v>
      </c>
      <c r="M1571" s="167">
        <v>50</v>
      </c>
      <c r="N1571" s="404"/>
      <c r="O1571" s="362"/>
      <c r="Q1571" s="833"/>
      <c r="R1571" s="396"/>
    </row>
    <row r="1572" spans="1:20" s="395" customFormat="1" ht="15.75" outlineLevel="1" x14ac:dyDescent="0.25">
      <c r="A1572" s="393" t="s">
        <v>750</v>
      </c>
      <c r="B1572" s="393" t="s">
        <v>743</v>
      </c>
      <c r="C1572" s="395">
        <v>103</v>
      </c>
      <c r="D1572" s="395">
        <v>12</v>
      </c>
      <c r="E1572" s="395" t="s">
        <v>746</v>
      </c>
      <c r="F1572" s="167">
        <v>7.52</v>
      </c>
      <c r="G1572" s="167">
        <v>376</v>
      </c>
      <c r="H1572" s="167">
        <v>864</v>
      </c>
      <c r="I1572" s="394">
        <f t="shared" si="380"/>
        <v>17.28</v>
      </c>
      <c r="J1572" s="394">
        <f t="shared" si="381"/>
        <v>24.8</v>
      </c>
      <c r="K1572" s="492">
        <v>0.3</v>
      </c>
      <c r="L1572" s="394">
        <f t="shared" si="382"/>
        <v>32.24</v>
      </c>
      <c r="M1572" s="167">
        <v>50</v>
      </c>
      <c r="N1572" s="404"/>
      <c r="O1572" s="362"/>
      <c r="Q1572" s="833"/>
      <c r="R1572" s="396"/>
    </row>
    <row r="1573" spans="1:20" s="395" customFormat="1" ht="15.75" outlineLevel="1" x14ac:dyDescent="0.25">
      <c r="A1573" s="393" t="s">
        <v>750</v>
      </c>
      <c r="B1573" s="393" t="s">
        <v>743</v>
      </c>
      <c r="C1573" s="395">
        <v>104</v>
      </c>
      <c r="D1573" s="395">
        <v>7</v>
      </c>
      <c r="E1573" s="395" t="s">
        <v>747</v>
      </c>
      <c r="F1573" s="167">
        <v>7.52</v>
      </c>
      <c r="G1573" s="167">
        <v>376</v>
      </c>
      <c r="H1573" s="167">
        <v>864</v>
      </c>
      <c r="I1573" s="394">
        <f t="shared" si="380"/>
        <v>17.28</v>
      </c>
      <c r="J1573" s="394">
        <f t="shared" si="381"/>
        <v>24.8</v>
      </c>
      <c r="K1573" s="492">
        <v>0.3</v>
      </c>
      <c r="L1573" s="394">
        <f t="shared" si="382"/>
        <v>32.24</v>
      </c>
      <c r="M1573" s="167">
        <v>60</v>
      </c>
      <c r="N1573" s="404"/>
      <c r="O1573" s="362"/>
      <c r="Q1573" s="833"/>
      <c r="R1573" s="396"/>
    </row>
    <row r="1574" spans="1:20" s="395" customFormat="1" ht="15.75" outlineLevel="1" x14ac:dyDescent="0.25">
      <c r="A1574" s="393" t="s">
        <v>750</v>
      </c>
      <c r="B1574" s="393" t="s">
        <v>743</v>
      </c>
      <c r="C1574" s="395">
        <v>105</v>
      </c>
      <c r="D1574" s="395">
        <v>12</v>
      </c>
      <c r="E1574" s="395" t="s">
        <v>747</v>
      </c>
      <c r="F1574" s="167">
        <v>7.52</v>
      </c>
      <c r="G1574" s="167">
        <v>376</v>
      </c>
      <c r="H1574" s="167">
        <v>864</v>
      </c>
      <c r="I1574" s="394">
        <f t="shared" si="380"/>
        <v>17.28</v>
      </c>
      <c r="J1574" s="394">
        <f t="shared" si="381"/>
        <v>24.8</v>
      </c>
      <c r="K1574" s="492">
        <v>0.3</v>
      </c>
      <c r="L1574" s="394">
        <f t="shared" si="382"/>
        <v>32.24</v>
      </c>
      <c r="M1574" s="167">
        <v>60</v>
      </c>
      <c r="N1574" s="404"/>
      <c r="O1574" s="362"/>
      <c r="Q1574" s="833"/>
      <c r="R1574" s="396"/>
    </row>
    <row r="1575" spans="1:20" s="395" customFormat="1" ht="15.75" outlineLevel="1" x14ac:dyDescent="0.25">
      <c r="A1575" s="393" t="s">
        <v>750</v>
      </c>
      <c r="B1575" s="393" t="s">
        <v>743</v>
      </c>
      <c r="C1575" s="395">
        <v>106</v>
      </c>
      <c r="D1575" s="395">
        <v>7</v>
      </c>
      <c r="E1575" s="395" t="s">
        <v>972</v>
      </c>
      <c r="F1575" s="167">
        <v>7.52</v>
      </c>
      <c r="G1575" s="167">
        <v>376</v>
      </c>
      <c r="H1575" s="167">
        <v>864</v>
      </c>
      <c r="I1575" s="394">
        <f t="shared" si="380"/>
        <v>17.28</v>
      </c>
      <c r="J1575" s="394">
        <f t="shared" si="381"/>
        <v>24.8</v>
      </c>
      <c r="K1575" s="492">
        <v>0.3</v>
      </c>
      <c r="L1575" s="394">
        <f t="shared" si="382"/>
        <v>32.24</v>
      </c>
      <c r="M1575" s="167">
        <v>60</v>
      </c>
      <c r="N1575" s="404"/>
      <c r="O1575" s="362"/>
      <c r="Q1575" s="833"/>
      <c r="R1575" s="396"/>
    </row>
    <row r="1576" spans="1:20" s="395" customFormat="1" ht="15.75" outlineLevel="1" x14ac:dyDescent="0.25">
      <c r="A1576" s="393" t="s">
        <v>750</v>
      </c>
      <c r="B1576" s="393" t="s">
        <v>743</v>
      </c>
      <c r="C1576" s="395">
        <v>107</v>
      </c>
      <c r="D1576" s="395">
        <v>7</v>
      </c>
      <c r="E1576" s="395" t="s">
        <v>748</v>
      </c>
      <c r="F1576" s="167">
        <v>7.52</v>
      </c>
      <c r="G1576" s="167">
        <v>376</v>
      </c>
      <c r="H1576" s="167">
        <v>864</v>
      </c>
      <c r="I1576" s="394">
        <f t="shared" ref="I1576:I1582" si="383">+F1576/G1576*H1576</f>
        <v>17.28</v>
      </c>
      <c r="J1576" s="394">
        <f t="shared" ref="J1576:J1582" si="384">+F1576+I1576</f>
        <v>24.8</v>
      </c>
      <c r="K1576" s="492">
        <v>0.3</v>
      </c>
      <c r="L1576" s="394">
        <f t="shared" si="382"/>
        <v>32.24</v>
      </c>
      <c r="M1576" s="167">
        <v>60</v>
      </c>
      <c r="N1576" s="404"/>
      <c r="O1576" s="362"/>
      <c r="Q1576" s="833"/>
      <c r="R1576" s="396"/>
    </row>
    <row r="1577" spans="1:20" s="395" customFormat="1" ht="15.75" outlineLevel="1" x14ac:dyDescent="0.25">
      <c r="A1577" s="393" t="s">
        <v>750</v>
      </c>
      <c r="B1577" s="393" t="s">
        <v>743</v>
      </c>
      <c r="C1577" s="395">
        <v>108</v>
      </c>
      <c r="D1577" s="395">
        <v>8</v>
      </c>
      <c r="E1577" s="395" t="s">
        <v>748</v>
      </c>
      <c r="F1577" s="167">
        <v>7.52</v>
      </c>
      <c r="G1577" s="167">
        <v>376</v>
      </c>
      <c r="H1577" s="167">
        <v>864</v>
      </c>
      <c r="I1577" s="394">
        <f t="shared" si="383"/>
        <v>17.28</v>
      </c>
      <c r="J1577" s="394">
        <f t="shared" si="384"/>
        <v>24.8</v>
      </c>
      <c r="K1577" s="492">
        <v>0.3</v>
      </c>
      <c r="L1577" s="394">
        <f t="shared" si="382"/>
        <v>32.24</v>
      </c>
      <c r="M1577" s="167">
        <v>60</v>
      </c>
      <c r="N1577" s="404"/>
      <c r="O1577" s="362"/>
      <c r="P1577" s="395" t="s">
        <v>811</v>
      </c>
      <c r="Q1577" s="833">
        <v>44664</v>
      </c>
      <c r="R1577" s="396">
        <f>+M1577*250</f>
        <v>15000</v>
      </c>
    </row>
    <row r="1578" spans="1:20" s="395" customFormat="1" ht="15.75" outlineLevel="1" x14ac:dyDescent="0.25">
      <c r="A1578" s="393" t="s">
        <v>750</v>
      </c>
      <c r="B1578" s="393" t="s">
        <v>743</v>
      </c>
      <c r="C1578" s="395">
        <v>109</v>
      </c>
      <c r="D1578" s="395">
        <v>12</v>
      </c>
      <c r="E1578" s="395" t="s">
        <v>748</v>
      </c>
      <c r="F1578" s="167">
        <v>7.52</v>
      </c>
      <c r="G1578" s="167">
        <v>376</v>
      </c>
      <c r="H1578" s="167">
        <v>864</v>
      </c>
      <c r="I1578" s="394">
        <f t="shared" si="383"/>
        <v>17.28</v>
      </c>
      <c r="J1578" s="394">
        <f t="shared" si="384"/>
        <v>24.8</v>
      </c>
      <c r="K1578" s="492">
        <v>0.3</v>
      </c>
      <c r="L1578" s="394">
        <f t="shared" si="382"/>
        <v>32.24</v>
      </c>
      <c r="M1578" s="167">
        <v>60</v>
      </c>
      <c r="N1578" s="404"/>
      <c r="O1578" s="362"/>
      <c r="Q1578" s="833"/>
      <c r="R1578" s="396"/>
    </row>
    <row r="1579" spans="1:20" s="395" customFormat="1" ht="15.75" outlineLevel="1" x14ac:dyDescent="0.25">
      <c r="A1579" s="393" t="s">
        <v>750</v>
      </c>
      <c r="B1579" s="393" t="s">
        <v>743</v>
      </c>
      <c r="C1579" s="395">
        <v>110</v>
      </c>
      <c r="D1579" s="395">
        <v>7</v>
      </c>
      <c r="E1579" s="395" t="s">
        <v>749</v>
      </c>
      <c r="F1579" s="167">
        <v>7.52</v>
      </c>
      <c r="G1579" s="167">
        <v>376</v>
      </c>
      <c r="H1579" s="167">
        <v>864</v>
      </c>
      <c r="I1579" s="394">
        <f t="shared" si="383"/>
        <v>17.28</v>
      </c>
      <c r="J1579" s="394">
        <f t="shared" si="384"/>
        <v>24.8</v>
      </c>
      <c r="K1579" s="492">
        <v>0.3</v>
      </c>
      <c r="L1579" s="394">
        <f t="shared" si="382"/>
        <v>32.24</v>
      </c>
      <c r="M1579" s="167">
        <v>60</v>
      </c>
      <c r="N1579" s="404"/>
      <c r="O1579" s="362"/>
      <c r="Q1579" s="833"/>
      <c r="R1579" s="396"/>
    </row>
    <row r="1580" spans="1:20" s="395" customFormat="1" ht="15.75" outlineLevel="1" x14ac:dyDescent="0.25">
      <c r="A1580" s="393" t="s">
        <v>750</v>
      </c>
      <c r="B1580" s="393" t="s">
        <v>743</v>
      </c>
      <c r="C1580" s="395">
        <v>111</v>
      </c>
      <c r="D1580" s="395">
        <v>8</v>
      </c>
      <c r="E1580" s="395" t="s">
        <v>749</v>
      </c>
      <c r="F1580" s="167">
        <v>7.52</v>
      </c>
      <c r="G1580" s="167">
        <v>376</v>
      </c>
      <c r="H1580" s="167">
        <v>864</v>
      </c>
      <c r="I1580" s="394">
        <f t="shared" si="383"/>
        <v>17.28</v>
      </c>
      <c r="J1580" s="394">
        <f t="shared" si="384"/>
        <v>24.8</v>
      </c>
      <c r="K1580" s="492">
        <v>0.3</v>
      </c>
      <c r="L1580" s="394">
        <f t="shared" si="382"/>
        <v>32.24</v>
      </c>
      <c r="M1580" s="167">
        <v>60</v>
      </c>
      <c r="N1580" s="404"/>
      <c r="O1580" s="362"/>
      <c r="Q1580" s="833"/>
      <c r="R1580" s="396"/>
    </row>
    <row r="1581" spans="1:20" s="395" customFormat="1" ht="15.75" outlineLevel="1" x14ac:dyDescent="0.25">
      <c r="A1581" s="393" t="s">
        <v>750</v>
      </c>
      <c r="B1581" s="393" t="s">
        <v>743</v>
      </c>
      <c r="C1581" s="395">
        <v>112</v>
      </c>
      <c r="D1581" s="395">
        <v>10</v>
      </c>
      <c r="E1581" s="395" t="s">
        <v>749</v>
      </c>
      <c r="F1581" s="167">
        <v>7.52</v>
      </c>
      <c r="G1581" s="167">
        <v>376</v>
      </c>
      <c r="H1581" s="167">
        <v>864</v>
      </c>
      <c r="I1581" s="394">
        <f t="shared" si="383"/>
        <v>17.28</v>
      </c>
      <c r="J1581" s="394">
        <f t="shared" si="384"/>
        <v>24.8</v>
      </c>
      <c r="K1581" s="492">
        <v>0.3</v>
      </c>
      <c r="L1581" s="394">
        <f t="shared" si="382"/>
        <v>32.24</v>
      </c>
      <c r="M1581" s="167">
        <v>60</v>
      </c>
      <c r="N1581" s="404"/>
      <c r="O1581" s="362"/>
      <c r="Q1581" s="833"/>
      <c r="R1581" s="396"/>
    </row>
    <row r="1582" spans="1:20" s="395" customFormat="1" ht="15.75" x14ac:dyDescent="0.25">
      <c r="A1582" s="393" t="s">
        <v>750</v>
      </c>
      <c r="B1582" s="393" t="s">
        <v>743</v>
      </c>
      <c r="C1582" s="395">
        <v>113</v>
      </c>
      <c r="D1582" s="395">
        <v>12</v>
      </c>
      <c r="E1582" s="395" t="s">
        <v>749</v>
      </c>
      <c r="F1582" s="167">
        <v>7.52</v>
      </c>
      <c r="G1582" s="167">
        <v>376</v>
      </c>
      <c r="H1582" s="167">
        <v>864</v>
      </c>
      <c r="I1582" s="394">
        <f t="shared" si="383"/>
        <v>17.28</v>
      </c>
      <c r="J1582" s="394">
        <f t="shared" si="384"/>
        <v>24.8</v>
      </c>
      <c r="K1582" s="492">
        <v>0.3</v>
      </c>
      <c r="L1582" s="394">
        <f t="shared" si="382"/>
        <v>32.24</v>
      </c>
      <c r="M1582" s="167">
        <v>60</v>
      </c>
      <c r="N1582" s="404"/>
      <c r="O1582" s="362"/>
      <c r="Q1582" s="833"/>
      <c r="R1582" s="396"/>
    </row>
    <row r="1583" spans="1:20" s="395" customFormat="1" ht="15.75" x14ac:dyDescent="0.25">
      <c r="A1583" s="393"/>
      <c r="D1583" s="393"/>
      <c r="E1583" s="393" t="s">
        <v>869</v>
      </c>
      <c r="F1583" s="394"/>
      <c r="H1583" s="394"/>
      <c r="I1583" s="394"/>
      <c r="J1583" s="394"/>
      <c r="K1583" s="491"/>
      <c r="L1583" s="394"/>
      <c r="M1583" s="167"/>
      <c r="N1583" s="404"/>
      <c r="O1583" s="393"/>
      <c r="P1583" s="393"/>
      <c r="Q1583" s="850"/>
      <c r="R1583" s="930"/>
      <c r="S1583" s="393"/>
      <c r="T1583" s="393"/>
    </row>
    <row r="1584" spans="1:20" s="395" customFormat="1" ht="15.75" x14ac:dyDescent="0.25">
      <c r="A1584" s="393"/>
      <c r="B1584" s="395" t="s">
        <v>846</v>
      </c>
      <c r="C1584" s="395">
        <v>114</v>
      </c>
      <c r="D1584" s="395">
        <v>7</v>
      </c>
      <c r="E1584" s="395" t="s">
        <v>970</v>
      </c>
      <c r="F1584" s="394">
        <v>20</v>
      </c>
      <c r="H1584" s="394"/>
      <c r="I1584" s="394"/>
      <c r="J1584" s="394"/>
      <c r="K1584" s="492"/>
      <c r="L1584" s="394"/>
      <c r="M1584" s="394">
        <v>65</v>
      </c>
      <c r="N1584" s="504"/>
      <c r="O1584" s="362"/>
      <c r="Q1584" s="833"/>
      <c r="R1584" s="396"/>
    </row>
    <row r="1585" spans="1:20" s="395" customFormat="1" ht="15.75" x14ac:dyDescent="0.25">
      <c r="A1585" s="393"/>
      <c r="F1585" s="394"/>
      <c r="H1585" s="394"/>
      <c r="I1585" s="394"/>
      <c r="J1585" s="394"/>
      <c r="K1585" s="492"/>
      <c r="L1585" s="394"/>
      <c r="M1585" s="394"/>
      <c r="N1585" s="504"/>
      <c r="Q1585" s="833"/>
      <c r="R1585" s="396"/>
    </row>
    <row r="1586" spans="1:20" s="395" customFormat="1" ht="15.75" x14ac:dyDescent="0.25">
      <c r="A1586" s="393"/>
      <c r="E1586" s="393" t="s">
        <v>870</v>
      </c>
      <c r="F1586" s="394"/>
      <c r="H1586" s="394"/>
      <c r="I1586" s="394"/>
      <c r="J1586" s="394"/>
      <c r="K1586" s="492"/>
      <c r="L1586" s="394"/>
      <c r="M1586" s="394"/>
      <c r="N1586" s="504"/>
      <c r="Q1586" s="833"/>
      <c r="R1586" s="396"/>
    </row>
    <row r="1587" spans="1:20" s="395" customFormat="1" ht="15" customHeight="1" x14ac:dyDescent="0.25">
      <c r="A1587" s="393"/>
      <c r="B1587" s="395" t="s">
        <v>846</v>
      </c>
      <c r="C1587" s="395">
        <v>115</v>
      </c>
      <c r="D1587" s="395">
        <v>7</v>
      </c>
      <c r="E1587" s="395" t="s">
        <v>971</v>
      </c>
      <c r="F1587" s="394">
        <f>500/16.5</f>
        <v>30.303030303030305</v>
      </c>
      <c r="H1587" s="394"/>
      <c r="I1587" s="394"/>
      <c r="J1587" s="394"/>
      <c r="K1587" s="492"/>
      <c r="L1587" s="394"/>
      <c r="M1587" s="394">
        <v>70</v>
      </c>
      <c r="N1587" s="504"/>
      <c r="O1587" s="362"/>
      <c r="Q1587" s="833"/>
      <c r="R1587" s="396"/>
    </row>
    <row r="1588" spans="1:20" s="395" customFormat="1" ht="15" customHeight="1" x14ac:dyDescent="0.25">
      <c r="A1588" s="393"/>
      <c r="B1588" s="393" t="s">
        <v>937</v>
      </c>
      <c r="F1588" s="394"/>
      <c r="H1588" s="394"/>
      <c r="I1588" s="394"/>
      <c r="J1588" s="394"/>
      <c r="K1588" s="492"/>
      <c r="L1588" s="394"/>
      <c r="M1588" s="394"/>
      <c r="N1588" s="504"/>
      <c r="Q1588" s="833"/>
      <c r="R1588" s="396"/>
    </row>
    <row r="1589" spans="1:20" s="395" customFormat="1" ht="15" customHeight="1" x14ac:dyDescent="0.25">
      <c r="A1589" s="393"/>
      <c r="B1589" s="395" t="s">
        <v>871</v>
      </c>
      <c r="C1589" s="395">
        <v>116</v>
      </c>
      <c r="D1589" s="395">
        <v>6</v>
      </c>
      <c r="E1589" s="395" t="s">
        <v>873</v>
      </c>
      <c r="F1589" s="394">
        <v>11.1875</v>
      </c>
      <c r="H1589" s="394"/>
      <c r="I1589" s="394">
        <v>2.1739130434782608</v>
      </c>
      <c r="J1589" s="394">
        <f>+F1589+I1589</f>
        <v>13.361413043478262</v>
      </c>
      <c r="K1589" s="492">
        <v>0.3</v>
      </c>
      <c r="L1589" s="394">
        <f>+J1589*1.3</f>
        <v>17.369836956521741</v>
      </c>
      <c r="M1589" s="394">
        <v>25</v>
      </c>
      <c r="N1589" s="504"/>
      <c r="O1589" s="362"/>
      <c r="Q1589" s="833"/>
      <c r="R1589" s="396"/>
    </row>
    <row r="1590" spans="1:20" s="395" customFormat="1" ht="15" customHeight="1" x14ac:dyDescent="0.25">
      <c r="A1590" s="393"/>
      <c r="D1590" s="395">
        <v>7</v>
      </c>
      <c r="E1590" s="395" t="s">
        <v>873</v>
      </c>
      <c r="F1590" s="394">
        <v>11.1875</v>
      </c>
      <c r="H1590" s="394"/>
      <c r="I1590" s="394">
        <v>2.1739130434782608</v>
      </c>
      <c r="J1590" s="394">
        <f>+F1590+I1590</f>
        <v>13.361413043478262</v>
      </c>
      <c r="K1590" s="492">
        <v>0.3</v>
      </c>
      <c r="L1590" s="394">
        <f>+J1590*1.3</f>
        <v>17.369836956521741</v>
      </c>
      <c r="M1590" s="394">
        <v>25</v>
      </c>
      <c r="N1590" s="504"/>
      <c r="O1590" s="362"/>
      <c r="P1590" s="395" t="s">
        <v>1731</v>
      </c>
      <c r="Q1590" s="833"/>
      <c r="R1590" s="396"/>
    </row>
    <row r="1591" spans="1:20" s="395" customFormat="1" ht="15" customHeight="1" x14ac:dyDescent="0.25">
      <c r="A1591" s="393"/>
      <c r="B1591" s="395" t="s">
        <v>871</v>
      </c>
      <c r="C1591" s="395">
        <v>117</v>
      </c>
      <c r="D1591" s="395">
        <v>6</v>
      </c>
      <c r="E1591" s="395" t="s">
        <v>872</v>
      </c>
      <c r="F1591" s="394">
        <v>11.1875</v>
      </c>
      <c r="H1591" s="394"/>
      <c r="I1591" s="394">
        <v>2.1739130434782608</v>
      </c>
      <c r="J1591" s="394">
        <f t="shared" ref="J1591:J1597" si="385">+F1591+I1591</f>
        <v>13.361413043478262</v>
      </c>
      <c r="K1591" s="492">
        <v>0.3</v>
      </c>
      <c r="L1591" s="394">
        <f t="shared" ref="L1591:L1598" si="386">+J1591*1.3</f>
        <v>17.369836956521741</v>
      </c>
      <c r="M1591" s="394">
        <v>25</v>
      </c>
      <c r="N1591" s="504"/>
      <c r="O1591" s="362"/>
      <c r="Q1591" s="833"/>
      <c r="R1591" s="396"/>
    </row>
    <row r="1592" spans="1:20" s="395" customFormat="1" ht="15" customHeight="1" x14ac:dyDescent="0.25">
      <c r="A1592" s="393"/>
      <c r="B1592" s="395" t="s">
        <v>871</v>
      </c>
      <c r="C1592" s="395">
        <v>118</v>
      </c>
      <c r="D1592" s="395">
        <v>8</v>
      </c>
      <c r="E1592" s="395" t="s">
        <v>874</v>
      </c>
      <c r="F1592" s="394">
        <v>11.1875</v>
      </c>
      <c r="H1592" s="394"/>
      <c r="I1592" s="394">
        <v>2.1739130434782608</v>
      </c>
      <c r="J1592" s="394">
        <f t="shared" si="385"/>
        <v>13.361413043478262</v>
      </c>
      <c r="K1592" s="492">
        <v>0.3</v>
      </c>
      <c r="L1592" s="394">
        <f t="shared" si="386"/>
        <v>17.369836956521741</v>
      </c>
      <c r="M1592" s="394">
        <v>25</v>
      </c>
      <c r="N1592" s="504"/>
      <c r="O1592" s="362"/>
      <c r="Q1592" s="833"/>
      <c r="R1592" s="396"/>
    </row>
    <row r="1593" spans="1:20" s="395" customFormat="1" ht="15.75" x14ac:dyDescent="0.25">
      <c r="A1593" s="393"/>
      <c r="B1593" s="395" t="s">
        <v>875</v>
      </c>
      <c r="C1593" s="395">
        <v>119</v>
      </c>
      <c r="D1593" s="395">
        <v>7</v>
      </c>
      <c r="E1593" s="395" t="s">
        <v>876</v>
      </c>
      <c r="F1593" s="394">
        <v>10</v>
      </c>
      <c r="I1593" s="394">
        <v>2.1739130434782608</v>
      </c>
      <c r="J1593" s="394">
        <f t="shared" si="385"/>
        <v>12.173913043478262</v>
      </c>
      <c r="K1593" s="492">
        <v>0.3</v>
      </c>
      <c r="L1593" s="394">
        <f t="shared" si="386"/>
        <v>15.82608695652174</v>
      </c>
      <c r="M1593" s="394">
        <v>25</v>
      </c>
      <c r="N1593" s="504"/>
      <c r="O1593" s="362"/>
      <c r="Q1593" s="833"/>
      <c r="R1593" s="396"/>
    </row>
    <row r="1594" spans="1:20" s="395" customFormat="1" ht="15.75" x14ac:dyDescent="0.25">
      <c r="A1594" s="393"/>
      <c r="B1594" s="395" t="s">
        <v>875</v>
      </c>
      <c r="C1594" s="395">
        <v>120</v>
      </c>
      <c r="D1594" s="395">
        <v>6</v>
      </c>
      <c r="E1594" s="276" t="s">
        <v>877</v>
      </c>
      <c r="F1594" s="394">
        <v>10</v>
      </c>
      <c r="I1594" s="394">
        <v>2.1739130434782608</v>
      </c>
      <c r="J1594" s="394">
        <f t="shared" si="385"/>
        <v>12.173913043478262</v>
      </c>
      <c r="K1594" s="492">
        <v>0.3</v>
      </c>
      <c r="L1594" s="394">
        <f t="shared" si="386"/>
        <v>15.82608695652174</v>
      </c>
      <c r="M1594" s="394">
        <v>25</v>
      </c>
      <c r="N1594" s="504"/>
      <c r="O1594" s="362"/>
      <c r="Q1594" s="833"/>
      <c r="R1594" s="396"/>
    </row>
    <row r="1595" spans="1:20" s="395" customFormat="1" ht="15.75" x14ac:dyDescent="0.25">
      <c r="A1595" s="393"/>
      <c r="B1595" s="395" t="s">
        <v>875</v>
      </c>
      <c r="C1595" s="395">
        <v>121</v>
      </c>
      <c r="D1595" s="395">
        <v>6</v>
      </c>
      <c r="E1595" s="276" t="s">
        <v>878</v>
      </c>
      <c r="F1595" s="394">
        <v>10</v>
      </c>
      <c r="I1595" s="394">
        <v>2.1739130434782608</v>
      </c>
      <c r="J1595" s="394">
        <f t="shared" si="385"/>
        <v>12.173913043478262</v>
      </c>
      <c r="K1595" s="492">
        <v>0.3</v>
      </c>
      <c r="L1595" s="394">
        <f t="shared" si="386"/>
        <v>15.82608695652174</v>
      </c>
      <c r="M1595" s="394">
        <v>25</v>
      </c>
      <c r="N1595" s="504"/>
      <c r="O1595" s="362"/>
      <c r="Q1595" s="833"/>
      <c r="R1595" s="396"/>
    </row>
    <row r="1596" spans="1:20" s="395" customFormat="1" ht="15.75" x14ac:dyDescent="0.25">
      <c r="A1596" s="393"/>
      <c r="B1596" s="395" t="s">
        <v>875</v>
      </c>
      <c r="C1596" s="395">
        <v>122</v>
      </c>
      <c r="D1596" s="395">
        <v>7</v>
      </c>
      <c r="E1596" s="276" t="s">
        <v>878</v>
      </c>
      <c r="F1596" s="394">
        <v>10</v>
      </c>
      <c r="I1596" s="394">
        <v>2.1739130434782608</v>
      </c>
      <c r="J1596" s="394">
        <f t="shared" si="385"/>
        <v>12.173913043478262</v>
      </c>
      <c r="K1596" s="492">
        <v>0.3</v>
      </c>
      <c r="L1596" s="394">
        <f t="shared" si="386"/>
        <v>15.82608695652174</v>
      </c>
      <c r="M1596" s="394">
        <v>25</v>
      </c>
      <c r="N1596" s="504"/>
      <c r="O1596" s="362"/>
      <c r="Q1596" s="833"/>
      <c r="R1596" s="396"/>
    </row>
    <row r="1597" spans="1:20" s="169" customFormat="1" ht="15.75" hidden="1" x14ac:dyDescent="0.25">
      <c r="A1597" s="393"/>
      <c r="B1597" s="395" t="s">
        <v>846</v>
      </c>
      <c r="C1597" s="395">
        <v>123</v>
      </c>
      <c r="D1597" s="395">
        <v>6</v>
      </c>
      <c r="E1597" s="693" t="s">
        <v>879</v>
      </c>
      <c r="F1597" s="493">
        <v>12.5</v>
      </c>
      <c r="G1597" s="317"/>
      <c r="H1597" s="317"/>
      <c r="I1597" s="493">
        <v>2.1739130434782608</v>
      </c>
      <c r="J1597" s="493">
        <f t="shared" si="385"/>
        <v>14.673913043478262</v>
      </c>
      <c r="K1597" s="692">
        <v>0.3</v>
      </c>
      <c r="L1597" s="493">
        <f t="shared" si="386"/>
        <v>19.076086956521742</v>
      </c>
      <c r="M1597" s="493">
        <v>45</v>
      </c>
      <c r="N1597" s="504"/>
      <c r="O1597" s="362"/>
      <c r="P1597" s="395" t="s">
        <v>12</v>
      </c>
      <c r="Q1597" s="833">
        <v>45337</v>
      </c>
      <c r="R1597" s="396">
        <f>+M1597*10000</f>
        <v>450000</v>
      </c>
      <c r="S1597" s="395"/>
      <c r="T1597" s="395"/>
    </row>
    <row r="1598" spans="1:20" s="169" customFormat="1" ht="15.75" x14ac:dyDescent="0.25">
      <c r="A1598" s="393"/>
      <c r="B1598" s="395" t="s">
        <v>846</v>
      </c>
      <c r="C1598" s="395">
        <v>124</v>
      </c>
      <c r="D1598" s="395">
        <v>6</v>
      </c>
      <c r="E1598" s="276" t="s">
        <v>879</v>
      </c>
      <c r="F1598" s="394">
        <v>12.5</v>
      </c>
      <c r="G1598" s="395"/>
      <c r="H1598" s="395"/>
      <c r="I1598" s="394">
        <v>2.1739130434782608</v>
      </c>
      <c r="J1598" s="394">
        <f>+F1598+I1598</f>
        <v>14.673913043478262</v>
      </c>
      <c r="K1598" s="492">
        <v>0.3</v>
      </c>
      <c r="L1598" s="394">
        <f t="shared" si="386"/>
        <v>19.076086956521742</v>
      </c>
      <c r="M1598" s="394">
        <v>45</v>
      </c>
      <c r="N1598" s="504"/>
      <c r="O1598" s="362"/>
      <c r="P1598" s="395"/>
      <c r="Q1598" s="833"/>
      <c r="R1598" s="396"/>
      <c r="S1598" s="395"/>
      <c r="T1598" s="395"/>
    </row>
    <row r="1599" spans="1:20" s="169" customFormat="1" ht="15.75" x14ac:dyDescent="0.25">
      <c r="A1599" s="393"/>
      <c r="B1599" s="395"/>
      <c r="C1599" s="395"/>
      <c r="D1599" s="395"/>
      <c r="E1599" s="429" t="s">
        <v>962</v>
      </c>
      <c r="F1599" s="394"/>
      <c r="G1599" s="395"/>
      <c r="H1599" s="395"/>
      <c r="I1599" s="394"/>
      <c r="J1599" s="394"/>
      <c r="K1599" s="492"/>
      <c r="L1599" s="394"/>
      <c r="M1599" s="394"/>
      <c r="N1599" s="504"/>
      <c r="O1599" s="395"/>
      <c r="P1599" s="395"/>
      <c r="Q1599" s="833"/>
      <c r="R1599" s="396"/>
      <c r="S1599" s="395"/>
      <c r="T1599" s="395"/>
    </row>
    <row r="1600" spans="1:20" s="395" customFormat="1" ht="15.75" hidden="1" x14ac:dyDescent="0.25">
      <c r="A1600" s="393"/>
      <c r="B1600" s="395" t="s">
        <v>871</v>
      </c>
      <c r="C1600" s="395">
        <v>125</v>
      </c>
      <c r="D1600" s="395">
        <v>7</v>
      </c>
      <c r="E1600" s="317" t="s">
        <v>880</v>
      </c>
      <c r="F1600" s="493">
        <v>40</v>
      </c>
      <c r="G1600" s="317"/>
      <c r="H1600" s="493"/>
      <c r="I1600" s="493"/>
      <c r="J1600" s="493"/>
      <c r="K1600" s="533"/>
      <c r="L1600" s="545"/>
      <c r="M1600" s="493">
        <v>65</v>
      </c>
      <c r="N1600" s="504"/>
      <c r="O1600" s="362"/>
      <c r="P1600" s="395" t="s">
        <v>2908</v>
      </c>
      <c r="Q1600" s="833">
        <v>45469</v>
      </c>
      <c r="R1600" s="396"/>
    </row>
    <row r="1601" spans="1:20" s="395" customFormat="1" ht="15.75" x14ac:dyDescent="0.25">
      <c r="A1601" s="393"/>
      <c r="E1601" s="393" t="s">
        <v>958</v>
      </c>
      <c r="F1601" s="394"/>
      <c r="H1601" s="394"/>
      <c r="I1601" s="394"/>
      <c r="J1601" s="394"/>
      <c r="K1601" s="491"/>
      <c r="L1601" s="394"/>
      <c r="M1601" s="394"/>
      <c r="N1601" s="504"/>
      <c r="Q1601" s="833"/>
      <c r="R1601" s="396"/>
    </row>
    <row r="1602" spans="1:20" s="395" customFormat="1" ht="15.75" hidden="1" outlineLevel="1" x14ac:dyDescent="0.25">
      <c r="A1602" s="169" t="s">
        <v>905</v>
      </c>
      <c r="B1602" s="169" t="s">
        <v>905</v>
      </c>
      <c r="C1602" s="169">
        <v>126</v>
      </c>
      <c r="D1602" s="169">
        <v>39</v>
      </c>
      <c r="E1602" s="699" t="s">
        <v>906</v>
      </c>
      <c r="F1602" s="700">
        <v>23</v>
      </c>
      <c r="G1602" s="509">
        <v>6911</v>
      </c>
      <c r="H1602" s="493">
        <v>4716</v>
      </c>
      <c r="I1602" s="493">
        <f t="shared" ref="I1602:I1604" si="387">+F1602/G1602*H1602</f>
        <v>15.694979018955289</v>
      </c>
      <c r="J1602" s="493">
        <f t="shared" ref="J1602:J1604" si="388">+F1602+I1602</f>
        <v>38.694979018955287</v>
      </c>
      <c r="K1602" s="692">
        <v>0.3</v>
      </c>
      <c r="L1602" s="493">
        <f t="shared" ref="L1602:L1604" si="389">+J1602*K1602+J1602</f>
        <v>50.303472724641871</v>
      </c>
      <c r="M1602" s="700">
        <v>55</v>
      </c>
      <c r="N1602" s="525"/>
      <c r="O1602" s="361"/>
      <c r="P1602" s="169" t="s">
        <v>12</v>
      </c>
      <c r="Q1602" s="838">
        <v>45449</v>
      </c>
      <c r="R1602" s="580">
        <f>+M1602*14.5</f>
        <v>797.5</v>
      </c>
      <c r="S1602" s="169"/>
      <c r="T1602" s="169"/>
    </row>
    <row r="1603" spans="1:20" s="169" customFormat="1" ht="15.75" x14ac:dyDescent="0.25">
      <c r="A1603" s="169" t="s">
        <v>905</v>
      </c>
      <c r="B1603" s="169" t="s">
        <v>905</v>
      </c>
      <c r="C1603" s="169">
        <v>127</v>
      </c>
      <c r="D1603" s="169">
        <v>40</v>
      </c>
      <c r="E1603" s="169" t="s">
        <v>906</v>
      </c>
      <c r="F1603" s="180">
        <v>23</v>
      </c>
      <c r="G1603" s="179">
        <v>6911</v>
      </c>
      <c r="H1603" s="394">
        <v>4716</v>
      </c>
      <c r="I1603" s="394">
        <f t="shared" si="387"/>
        <v>15.694979018955289</v>
      </c>
      <c r="J1603" s="394">
        <f t="shared" si="388"/>
        <v>38.694979018955287</v>
      </c>
      <c r="K1603" s="492">
        <v>0.3</v>
      </c>
      <c r="L1603" s="394">
        <f t="shared" si="389"/>
        <v>50.303472724641871</v>
      </c>
      <c r="M1603" s="180">
        <v>55</v>
      </c>
      <c r="N1603" s="525"/>
      <c r="O1603" s="361"/>
      <c r="Q1603" s="838"/>
      <c r="R1603" s="580"/>
    </row>
    <row r="1604" spans="1:20" s="169" customFormat="1" ht="15.75" x14ac:dyDescent="0.25">
      <c r="A1604" s="169" t="s">
        <v>905</v>
      </c>
      <c r="B1604" s="169" t="s">
        <v>905</v>
      </c>
      <c r="C1604" s="169">
        <v>128</v>
      </c>
      <c r="D1604" s="169">
        <v>41</v>
      </c>
      <c r="E1604" s="169" t="s">
        <v>906</v>
      </c>
      <c r="F1604" s="180">
        <v>23</v>
      </c>
      <c r="G1604" s="179">
        <v>6911</v>
      </c>
      <c r="H1604" s="394">
        <v>4716</v>
      </c>
      <c r="I1604" s="394">
        <f t="shared" si="387"/>
        <v>15.694979018955289</v>
      </c>
      <c r="J1604" s="394">
        <f t="shared" si="388"/>
        <v>38.694979018955287</v>
      </c>
      <c r="K1604" s="492">
        <v>0.3</v>
      </c>
      <c r="L1604" s="394">
        <f t="shared" si="389"/>
        <v>50.303472724641871</v>
      </c>
      <c r="M1604" s="180">
        <v>55</v>
      </c>
      <c r="N1604" s="525"/>
      <c r="O1604" s="361"/>
      <c r="Q1604" s="838"/>
      <c r="R1604" s="580"/>
    </row>
    <row r="1605" spans="1:20" s="169" customFormat="1" ht="15.75" x14ac:dyDescent="0.25">
      <c r="A1605" s="393"/>
      <c r="B1605" s="395"/>
      <c r="C1605" s="395"/>
      <c r="D1605" s="395"/>
      <c r="E1605" s="393" t="s">
        <v>944</v>
      </c>
      <c r="F1605" s="394"/>
      <c r="G1605" s="179"/>
      <c r="H1605" s="394"/>
      <c r="I1605" s="394"/>
      <c r="J1605" s="394"/>
      <c r="K1605" s="492"/>
      <c r="L1605" s="394"/>
      <c r="M1605" s="394"/>
      <c r="N1605" s="504"/>
      <c r="O1605" s="395"/>
      <c r="P1605" s="395"/>
      <c r="Q1605" s="833"/>
      <c r="R1605" s="396"/>
      <c r="S1605" s="395"/>
      <c r="T1605" s="395"/>
    </row>
    <row r="1606" spans="1:20" s="169" customFormat="1" ht="15.75" x14ac:dyDescent="0.25">
      <c r="A1606" s="393"/>
      <c r="B1606" s="395" t="s">
        <v>946</v>
      </c>
      <c r="C1606" s="169">
        <v>129</v>
      </c>
      <c r="D1606" s="395">
        <v>7</v>
      </c>
      <c r="E1606" s="395" t="s">
        <v>945</v>
      </c>
      <c r="F1606" s="394">
        <v>23.470588235294116</v>
      </c>
      <c r="G1606" s="179">
        <v>119</v>
      </c>
      <c r="H1606" s="394">
        <v>30</v>
      </c>
      <c r="I1606" s="498">
        <f t="shared" ref="I1606:I1608" si="390">+F1606/G1606*H1606</f>
        <v>5.9169550173010377</v>
      </c>
      <c r="J1606" s="394">
        <f t="shared" ref="J1606:J1608" si="391">+F1606+I1606</f>
        <v>29.387543252595155</v>
      </c>
      <c r="K1606" s="492">
        <v>0.3</v>
      </c>
      <c r="L1606" s="394">
        <f t="shared" ref="L1606:L1608" si="392">+J1606*1.3</f>
        <v>38.203806228373701</v>
      </c>
      <c r="M1606" s="394">
        <v>30</v>
      </c>
      <c r="N1606" s="504"/>
      <c r="O1606" s="362"/>
      <c r="P1606" s="395"/>
      <c r="Q1606" s="833"/>
      <c r="R1606" s="396"/>
      <c r="S1606" s="395"/>
      <c r="T1606" s="395"/>
    </row>
    <row r="1607" spans="1:20" s="169" customFormat="1" ht="15.75" x14ac:dyDescent="0.25">
      <c r="A1607" s="393"/>
      <c r="B1607" s="395" t="s">
        <v>947</v>
      </c>
      <c r="C1607" s="169">
        <v>130</v>
      </c>
      <c r="D1607" s="395">
        <v>8</v>
      </c>
      <c r="E1607" s="395" t="s">
        <v>948</v>
      </c>
      <c r="F1607" s="394">
        <v>20.529411764705884</v>
      </c>
      <c r="G1607" s="179">
        <v>119</v>
      </c>
      <c r="H1607" s="394">
        <v>30</v>
      </c>
      <c r="I1607" s="498">
        <f t="shared" si="390"/>
        <v>5.1754819574888788</v>
      </c>
      <c r="J1607" s="394">
        <f t="shared" si="391"/>
        <v>25.704893722194761</v>
      </c>
      <c r="K1607" s="492">
        <v>0.3</v>
      </c>
      <c r="L1607" s="394">
        <f t="shared" si="392"/>
        <v>33.416361838853192</v>
      </c>
      <c r="M1607" s="394">
        <v>35</v>
      </c>
      <c r="N1607" s="504"/>
      <c r="O1607" s="362"/>
      <c r="P1607" s="395"/>
      <c r="Q1607" s="833"/>
      <c r="R1607" s="396"/>
      <c r="S1607" s="395"/>
      <c r="T1607" s="395"/>
    </row>
    <row r="1608" spans="1:20" s="365" customFormat="1" ht="15.75" x14ac:dyDescent="0.25">
      <c r="A1608" s="428"/>
      <c r="B1608" s="494" t="s">
        <v>875</v>
      </c>
      <c r="D1608" s="494">
        <v>7</v>
      </c>
      <c r="E1608" s="494" t="s">
        <v>949</v>
      </c>
      <c r="F1608" s="504">
        <v>8.1764705882352935</v>
      </c>
      <c r="G1608" s="585">
        <v>119</v>
      </c>
      <c r="H1608" s="504">
        <v>30</v>
      </c>
      <c r="I1608" s="688">
        <f t="shared" si="390"/>
        <v>2.0612951062778051</v>
      </c>
      <c r="J1608" s="504">
        <f t="shared" si="391"/>
        <v>10.237765694513099</v>
      </c>
      <c r="K1608" s="586">
        <v>0.3</v>
      </c>
      <c r="L1608" s="504">
        <f t="shared" si="392"/>
        <v>13.30909540286703</v>
      </c>
      <c r="M1608" s="504">
        <v>25</v>
      </c>
      <c r="N1608" s="504"/>
      <c r="O1608" s="428"/>
      <c r="P1608" s="428"/>
      <c r="Q1608" s="855"/>
      <c r="R1608" s="931"/>
      <c r="S1608" s="428"/>
      <c r="T1608" s="689"/>
    </row>
    <row r="1609" spans="1:20" s="169" customFormat="1" ht="15.75" x14ac:dyDescent="0.25">
      <c r="A1609" s="393"/>
      <c r="B1609" s="393"/>
      <c r="D1609" s="393"/>
      <c r="E1609" s="393" t="s">
        <v>1001</v>
      </c>
      <c r="F1609" s="394"/>
      <c r="G1609" s="179"/>
      <c r="H1609" s="394"/>
      <c r="I1609" s="394"/>
      <c r="J1609" s="394"/>
      <c r="K1609" s="492"/>
      <c r="L1609" s="394"/>
      <c r="M1609" s="394"/>
      <c r="N1609" s="504"/>
      <c r="O1609" s="395"/>
      <c r="P1609" s="395"/>
      <c r="Q1609" s="833"/>
      <c r="R1609" s="396"/>
      <c r="S1609" s="395"/>
      <c r="T1609" s="395"/>
    </row>
    <row r="1610" spans="1:20" s="169" customFormat="1" ht="15.75" x14ac:dyDescent="0.25">
      <c r="B1610" s="169" t="s">
        <v>1051</v>
      </c>
      <c r="C1610" s="169">
        <v>131</v>
      </c>
      <c r="D1610" s="169">
        <v>40</v>
      </c>
      <c r="E1610" s="169" t="s">
        <v>1052</v>
      </c>
      <c r="F1610" s="180">
        <v>6</v>
      </c>
      <c r="G1610" s="499">
        <v>4607</v>
      </c>
      <c r="H1610" s="180">
        <f t="shared" ref="H1610:H1617" si="393">7503-G1610</f>
        <v>2896</v>
      </c>
      <c r="I1610" s="180">
        <f t="shared" ref="I1610:I1617" si="394">+F1610/G1610*H1610</f>
        <v>3.7716518341654006</v>
      </c>
      <c r="J1610" s="180">
        <f t="shared" ref="J1610:J1617" si="395">+F1610+I1610</f>
        <v>9.7716518341654002</v>
      </c>
      <c r="K1610" s="345">
        <v>0.3</v>
      </c>
      <c r="L1610" s="180">
        <f t="shared" ref="L1610:L1617" si="396">+J1610*K1610+J1610</f>
        <v>12.70314738441502</v>
      </c>
      <c r="M1610" s="170">
        <v>25</v>
      </c>
      <c r="N1610" s="532"/>
      <c r="O1610" s="361"/>
      <c r="Q1610" s="838"/>
      <c r="R1610" s="580"/>
    </row>
    <row r="1611" spans="1:20" s="365" customFormat="1" ht="15.75" x14ac:dyDescent="0.25">
      <c r="B1611" s="365" t="s">
        <v>1050</v>
      </c>
      <c r="D1611" s="365">
        <v>37</v>
      </c>
      <c r="E1611" s="365" t="s">
        <v>1053</v>
      </c>
      <c r="F1611" s="525">
        <v>6</v>
      </c>
      <c r="G1611" s="666">
        <v>4607</v>
      </c>
      <c r="H1611" s="525">
        <f t="shared" si="393"/>
        <v>2896</v>
      </c>
      <c r="I1611" s="525">
        <f t="shared" si="394"/>
        <v>3.7716518341654006</v>
      </c>
      <c r="J1611" s="525">
        <f t="shared" si="395"/>
        <v>9.7716518341654002</v>
      </c>
      <c r="K1611" s="667">
        <v>0.3</v>
      </c>
      <c r="L1611" s="525">
        <f t="shared" si="396"/>
        <v>12.70314738441502</v>
      </c>
      <c r="M1611" s="532">
        <v>25</v>
      </c>
      <c r="N1611" s="532"/>
      <c r="Q1611" s="846"/>
      <c r="R1611" s="919"/>
    </row>
    <row r="1612" spans="1:20" s="169" customFormat="1" ht="15.75" x14ac:dyDescent="0.25">
      <c r="B1612" s="169" t="s">
        <v>1050</v>
      </c>
      <c r="C1612" s="169">
        <v>132</v>
      </c>
      <c r="D1612" s="169">
        <v>39</v>
      </c>
      <c r="E1612" s="169" t="s">
        <v>1054</v>
      </c>
      <c r="F1612" s="180">
        <v>6</v>
      </c>
      <c r="G1612" s="499">
        <v>4607</v>
      </c>
      <c r="H1612" s="180">
        <f t="shared" si="393"/>
        <v>2896</v>
      </c>
      <c r="I1612" s="180">
        <f t="shared" si="394"/>
        <v>3.7716518341654006</v>
      </c>
      <c r="J1612" s="180">
        <f t="shared" si="395"/>
        <v>9.7716518341654002</v>
      </c>
      <c r="K1612" s="345">
        <v>0.3</v>
      </c>
      <c r="L1612" s="180">
        <f t="shared" si="396"/>
        <v>12.70314738441502</v>
      </c>
      <c r="M1612" s="170">
        <v>25</v>
      </c>
      <c r="N1612" s="532"/>
      <c r="O1612" s="361"/>
      <c r="Q1612" s="838"/>
      <c r="R1612" s="580"/>
    </row>
    <row r="1613" spans="1:20" s="169" customFormat="1" ht="15.75" x14ac:dyDescent="0.25">
      <c r="B1613" s="169" t="s">
        <v>1050</v>
      </c>
      <c r="C1613" s="169">
        <v>133</v>
      </c>
      <c r="D1613" s="169">
        <v>37</v>
      </c>
      <c r="E1613" s="169" t="s">
        <v>1055</v>
      </c>
      <c r="F1613" s="180">
        <v>6</v>
      </c>
      <c r="G1613" s="499">
        <v>4607</v>
      </c>
      <c r="H1613" s="180">
        <f t="shared" si="393"/>
        <v>2896</v>
      </c>
      <c r="I1613" s="180">
        <f t="shared" si="394"/>
        <v>3.7716518341654006</v>
      </c>
      <c r="J1613" s="180">
        <f t="shared" si="395"/>
        <v>9.7716518341654002</v>
      </c>
      <c r="K1613" s="345">
        <v>0.3</v>
      </c>
      <c r="L1613" s="180">
        <f t="shared" si="396"/>
        <v>12.70314738441502</v>
      </c>
      <c r="M1613" s="170">
        <v>25</v>
      </c>
      <c r="N1613" s="532"/>
      <c r="O1613" s="361"/>
      <c r="Q1613" s="838"/>
      <c r="R1613" s="580"/>
    </row>
    <row r="1614" spans="1:20" s="169" customFormat="1" ht="15.75" x14ac:dyDescent="0.25">
      <c r="B1614" s="169" t="s">
        <v>1049</v>
      </c>
      <c r="C1614" s="169">
        <v>134</v>
      </c>
      <c r="D1614" s="169">
        <v>40</v>
      </c>
      <c r="E1614" s="169" t="s">
        <v>1014</v>
      </c>
      <c r="F1614" s="180">
        <v>15</v>
      </c>
      <c r="G1614" s="499">
        <v>4607</v>
      </c>
      <c r="H1614" s="180">
        <f t="shared" si="393"/>
        <v>2896</v>
      </c>
      <c r="I1614" s="180">
        <f t="shared" si="394"/>
        <v>9.4291295854135004</v>
      </c>
      <c r="J1614" s="180">
        <f t="shared" si="395"/>
        <v>24.429129585413499</v>
      </c>
      <c r="K1614" s="345">
        <v>0.3</v>
      </c>
      <c r="L1614" s="180">
        <f t="shared" si="396"/>
        <v>31.757868461037546</v>
      </c>
      <c r="M1614" s="170">
        <v>55</v>
      </c>
      <c r="N1614" s="532"/>
      <c r="O1614" s="361"/>
      <c r="Q1614" s="838"/>
      <c r="R1614" s="580"/>
    </row>
    <row r="1615" spans="1:20" s="169" customFormat="1" ht="15.75" hidden="1" x14ac:dyDescent="0.25">
      <c r="B1615" s="169" t="s">
        <v>1015</v>
      </c>
      <c r="C1615" s="169">
        <v>135</v>
      </c>
      <c r="D1615" s="169">
        <v>41</v>
      </c>
      <c r="E1615" s="699" t="s">
        <v>1057</v>
      </c>
      <c r="F1615" s="700">
        <v>14</v>
      </c>
      <c r="G1615" s="701">
        <v>4607</v>
      </c>
      <c r="H1615" s="700">
        <f t="shared" si="393"/>
        <v>2896</v>
      </c>
      <c r="I1615" s="700">
        <f t="shared" si="394"/>
        <v>8.8005209463859337</v>
      </c>
      <c r="J1615" s="700">
        <f t="shared" si="395"/>
        <v>22.800520946385934</v>
      </c>
      <c r="K1615" s="702">
        <v>0.3</v>
      </c>
      <c r="L1615" s="700">
        <f t="shared" si="396"/>
        <v>29.640677230301712</v>
      </c>
      <c r="M1615" s="703">
        <v>55</v>
      </c>
      <c r="N1615" s="532"/>
      <c r="O1615" s="361"/>
      <c r="P1615" s="169" t="s">
        <v>1943</v>
      </c>
      <c r="Q1615" s="838">
        <v>45313</v>
      </c>
      <c r="R1615" s="580"/>
    </row>
    <row r="1616" spans="1:20" s="169" customFormat="1" ht="15.75" hidden="1" x14ac:dyDescent="0.25">
      <c r="B1616" s="169" t="s">
        <v>1015</v>
      </c>
      <c r="C1616" s="169">
        <v>136</v>
      </c>
      <c r="D1616" s="169">
        <v>39</v>
      </c>
      <c r="E1616" s="699" t="s">
        <v>1016</v>
      </c>
      <c r="F1616" s="700">
        <v>14</v>
      </c>
      <c r="G1616" s="701">
        <v>4607</v>
      </c>
      <c r="H1616" s="700">
        <f t="shared" si="393"/>
        <v>2896</v>
      </c>
      <c r="I1616" s="700">
        <f t="shared" si="394"/>
        <v>8.8005209463859337</v>
      </c>
      <c r="J1616" s="700">
        <f t="shared" si="395"/>
        <v>22.800520946385934</v>
      </c>
      <c r="K1616" s="702">
        <v>0.3</v>
      </c>
      <c r="L1616" s="700">
        <f t="shared" si="396"/>
        <v>29.640677230301712</v>
      </c>
      <c r="M1616" s="703">
        <v>55</v>
      </c>
      <c r="N1616" s="532"/>
      <c r="O1616" s="361"/>
      <c r="P1616" s="169" t="s">
        <v>2955</v>
      </c>
      <c r="Q1616" s="838">
        <v>45476</v>
      </c>
      <c r="R1616" s="580"/>
    </row>
    <row r="1617" spans="1:20" s="337" customFormat="1" ht="15.75" x14ac:dyDescent="0.25">
      <c r="A1617" s="169"/>
      <c r="B1617" s="169" t="s">
        <v>1029</v>
      </c>
      <c r="C1617" s="169">
        <v>137</v>
      </c>
      <c r="D1617" s="169">
        <v>39</v>
      </c>
      <c r="E1617" s="169" t="s">
        <v>1030</v>
      </c>
      <c r="F1617" s="180">
        <v>16</v>
      </c>
      <c r="G1617" s="499">
        <v>4607</v>
      </c>
      <c r="H1617" s="180">
        <f t="shared" si="393"/>
        <v>2896</v>
      </c>
      <c r="I1617" s="180">
        <f t="shared" si="394"/>
        <v>10.057738224441067</v>
      </c>
      <c r="J1617" s="180">
        <f t="shared" si="395"/>
        <v>26.057738224441067</v>
      </c>
      <c r="K1617" s="345">
        <v>0.3</v>
      </c>
      <c r="L1617" s="180">
        <f t="shared" si="396"/>
        <v>33.875059691773387</v>
      </c>
      <c r="M1617" s="170">
        <v>55</v>
      </c>
      <c r="N1617" s="532"/>
      <c r="O1617" s="361"/>
      <c r="P1617" s="169"/>
      <c r="Q1617" s="838"/>
      <c r="R1617" s="580"/>
      <c r="S1617" s="169"/>
      <c r="T1617" s="169"/>
    </row>
    <row r="1618" spans="1:20" s="337" customFormat="1" ht="15.75" x14ac:dyDescent="0.25">
      <c r="A1618" s="169"/>
      <c r="B1618" s="331"/>
      <c r="E1618" s="549" t="s">
        <v>1150</v>
      </c>
      <c r="F1618" s="338"/>
      <c r="G1618" s="339"/>
      <c r="H1618" s="338"/>
      <c r="I1618" s="338"/>
      <c r="J1618" s="338"/>
      <c r="K1618" s="340"/>
      <c r="L1618" s="338"/>
      <c r="M1618" s="341"/>
      <c r="N1618" s="675"/>
      <c r="O1618" s="169"/>
      <c r="P1618" s="169"/>
      <c r="Q1618" s="835"/>
      <c r="R1618" s="580"/>
    </row>
    <row r="1619" spans="1:20" s="337" customFormat="1" ht="15.75" hidden="1" x14ac:dyDescent="0.25">
      <c r="A1619" s="169" t="s">
        <v>1151</v>
      </c>
      <c r="B1619" s="331" t="s">
        <v>1766</v>
      </c>
      <c r="C1619" s="337">
        <v>138</v>
      </c>
      <c r="D1619" s="337">
        <v>8</v>
      </c>
      <c r="E1619" s="704" t="s">
        <v>1152</v>
      </c>
      <c r="F1619" s="695">
        <v>47</v>
      </c>
      <c r="G1619" s="705"/>
      <c r="H1619" s="695"/>
      <c r="I1619" s="695"/>
      <c r="J1619" s="695"/>
      <c r="K1619" s="706"/>
      <c r="L1619" s="695"/>
      <c r="M1619" s="707">
        <v>85</v>
      </c>
      <c r="N1619" s="675"/>
      <c r="O1619" s="361"/>
      <c r="P1619" s="169" t="s">
        <v>396</v>
      </c>
      <c r="Q1619" s="835">
        <v>45336</v>
      </c>
      <c r="R1619" s="580">
        <f>+M1619*8000</f>
        <v>680000</v>
      </c>
    </row>
    <row r="1620" spans="1:20" s="337" customFormat="1" ht="15.75" hidden="1" x14ac:dyDescent="0.25">
      <c r="A1620" s="169"/>
      <c r="B1620" s="331" t="s">
        <v>1766</v>
      </c>
      <c r="C1620" s="337">
        <v>139</v>
      </c>
      <c r="D1620" s="337">
        <v>8</v>
      </c>
      <c r="E1620" s="704" t="s">
        <v>1153</v>
      </c>
      <c r="F1620" s="695">
        <v>38.176470588235297</v>
      </c>
      <c r="G1620" s="695"/>
      <c r="H1620" s="695"/>
      <c r="I1620" s="695"/>
      <c r="J1620" s="695"/>
      <c r="K1620" s="695"/>
      <c r="L1620" s="695"/>
      <c r="M1620" s="695">
        <v>75</v>
      </c>
      <c r="N1620" s="660"/>
      <c r="O1620" s="361"/>
      <c r="P1620" s="169" t="s">
        <v>12</v>
      </c>
      <c r="Q1620" s="835">
        <v>45457</v>
      </c>
      <c r="R1620" s="580">
        <f>+M1620*14.5</f>
        <v>1087.5</v>
      </c>
    </row>
    <row r="1621" spans="1:20" s="337" customFormat="1" ht="15.75" x14ac:dyDescent="0.25">
      <c r="A1621" s="169"/>
      <c r="B1621" s="331"/>
      <c r="F1621" s="338"/>
      <c r="G1621" s="338"/>
      <c r="H1621" s="338"/>
      <c r="I1621" s="338"/>
      <c r="J1621" s="338"/>
      <c r="K1621" s="338"/>
      <c r="L1621" s="338"/>
      <c r="M1621" s="338"/>
      <c r="N1621" s="660"/>
      <c r="O1621" s="169"/>
      <c r="P1621" s="169"/>
      <c r="Q1621" s="835"/>
      <c r="R1621" s="580"/>
    </row>
    <row r="1622" spans="1:20" s="337" customFormat="1" ht="15.75" x14ac:dyDescent="0.25">
      <c r="A1622" s="169"/>
      <c r="B1622" s="575" t="s">
        <v>1193</v>
      </c>
      <c r="E1622" s="589">
        <v>44986</v>
      </c>
      <c r="F1622" s="338"/>
      <c r="G1622" s="339"/>
      <c r="H1622" s="338"/>
      <c r="I1622" s="338"/>
      <c r="J1622" s="338"/>
      <c r="K1622" s="340"/>
      <c r="L1622" s="338"/>
      <c r="M1622" s="341"/>
      <c r="N1622" s="675"/>
      <c r="O1622" s="169"/>
      <c r="P1622" s="169"/>
      <c r="Q1622" s="835"/>
      <c r="R1622" s="580"/>
    </row>
    <row r="1623" spans="1:20" s="238" customFormat="1" ht="15.75" x14ac:dyDescent="0.25">
      <c r="A1623" s="365" t="s">
        <v>66</v>
      </c>
      <c r="B1623" s="672" t="s">
        <v>1056</v>
      </c>
      <c r="C1623" s="632"/>
      <c r="D1623" s="632"/>
      <c r="E1623" s="632" t="s">
        <v>1194</v>
      </c>
      <c r="F1623" s="660">
        <v>20</v>
      </c>
      <c r="G1623" s="673">
        <v>8267</v>
      </c>
      <c r="H1623" s="660">
        <v>7400</v>
      </c>
      <c r="I1623" s="660">
        <f t="shared" ref="I1623:I1625" si="397">+F1623/G1623*H1623</f>
        <v>17.902503931293094</v>
      </c>
      <c r="J1623" s="660">
        <f t="shared" ref="J1623:J1625" si="398">+F1623+I1623</f>
        <v>37.902503931293097</v>
      </c>
      <c r="K1623" s="674">
        <v>0.3</v>
      </c>
      <c r="L1623" s="660">
        <f t="shared" ref="L1623:L1625" si="399">+J1623*1.3</f>
        <v>49.273255110681028</v>
      </c>
      <c r="M1623" s="675">
        <v>35</v>
      </c>
      <c r="N1623" s="675"/>
      <c r="O1623" s="365"/>
      <c r="P1623" s="365"/>
      <c r="Q1623" s="842"/>
      <c r="R1623" s="919"/>
      <c r="S1623" s="632"/>
      <c r="T1623" s="632"/>
    </row>
    <row r="1624" spans="1:20" s="337" customFormat="1" ht="15.75" x14ac:dyDescent="0.25">
      <c r="A1624" s="169"/>
      <c r="B1624" s="575" t="s">
        <v>1254</v>
      </c>
      <c r="F1624" s="338"/>
      <c r="G1624" s="339"/>
      <c r="H1624" s="338"/>
      <c r="I1624" s="338"/>
      <c r="J1624" s="338"/>
      <c r="K1624" s="340"/>
      <c r="L1624" s="338"/>
      <c r="M1624" s="341"/>
      <c r="N1624" s="675"/>
      <c r="O1624" s="169"/>
      <c r="P1624" s="169"/>
      <c r="Q1624" s="835"/>
      <c r="R1624" s="580"/>
    </row>
    <row r="1625" spans="1:20" ht="15" hidden="1" customHeight="1" outlineLevel="1" x14ac:dyDescent="0.25">
      <c r="A1625" s="319"/>
      <c r="B1625" s="149" t="s">
        <v>1766</v>
      </c>
      <c r="C1625" s="178">
        <v>140</v>
      </c>
      <c r="D1625" s="178">
        <v>6</v>
      </c>
      <c r="E1625" s="704" t="s">
        <v>1767</v>
      </c>
      <c r="F1625" s="232">
        <v>49</v>
      </c>
      <c r="G1625" s="305">
        <f>+(700+612+375)*1.5</f>
        <v>2530.5</v>
      </c>
      <c r="H1625" s="232">
        <v>631</v>
      </c>
      <c r="I1625" s="695">
        <f t="shared" si="397"/>
        <v>12.21853388658368</v>
      </c>
      <c r="J1625" s="695">
        <f t="shared" si="398"/>
        <v>61.218533886583678</v>
      </c>
      <c r="K1625" s="706">
        <v>0.4</v>
      </c>
      <c r="L1625" s="695">
        <f t="shared" si="399"/>
        <v>79.584094052558783</v>
      </c>
      <c r="M1625" s="698">
        <v>85</v>
      </c>
      <c r="N1625" s="633"/>
      <c r="O1625" s="362"/>
      <c r="P1625" s="395" t="s">
        <v>12</v>
      </c>
      <c r="Q1625" s="836">
        <v>45347</v>
      </c>
      <c r="R1625" s="914">
        <f>+M1625*15000</f>
        <v>1275000</v>
      </c>
      <c r="S1625" s="178"/>
      <c r="T1625" s="178"/>
    </row>
    <row r="1626" spans="1:20" ht="15" hidden="1" customHeight="1" outlineLevel="1" x14ac:dyDescent="0.25">
      <c r="A1626" s="319"/>
      <c r="B1626" s="319"/>
      <c r="C1626" s="178"/>
      <c r="D1626" s="178"/>
      <c r="E1626" s="602" t="s">
        <v>1259</v>
      </c>
      <c r="F1626" s="226"/>
      <c r="G1626" s="227"/>
      <c r="H1626" s="226"/>
      <c r="I1626" s="338"/>
      <c r="J1626" s="338"/>
      <c r="K1626" s="340"/>
      <c r="L1626" s="338"/>
      <c r="M1626" s="175"/>
      <c r="N1626" s="633"/>
      <c r="O1626" s="395"/>
      <c r="P1626" s="395"/>
      <c r="Q1626" s="836"/>
      <c r="R1626" s="914"/>
      <c r="S1626" s="178"/>
      <c r="T1626" s="178"/>
    </row>
    <row r="1627" spans="1:20" s="395" customFormat="1" ht="15.75" hidden="1" outlineLevel="1" x14ac:dyDescent="0.25">
      <c r="A1627" s="319"/>
      <c r="B1627" s="319" t="s">
        <v>846</v>
      </c>
      <c r="C1627" s="178">
        <v>141</v>
      </c>
      <c r="D1627" s="178"/>
      <c r="E1627" s="704" t="s">
        <v>1260</v>
      </c>
      <c r="F1627" s="232">
        <v>47.166666666666664</v>
      </c>
      <c r="G1627" s="305"/>
      <c r="H1627" s="232"/>
      <c r="I1627" s="611"/>
      <c r="J1627" s="611">
        <f>+F1627*1.15</f>
        <v>54.24166666666666</v>
      </c>
      <c r="K1627" s="612">
        <v>0.4</v>
      </c>
      <c r="L1627" s="611">
        <f>+J1627*1.4</f>
        <v>75.938333333333318</v>
      </c>
      <c r="M1627" s="698">
        <v>80</v>
      </c>
      <c r="N1627" s="633"/>
      <c r="O1627" s="362"/>
      <c r="P1627" s="462" t="s">
        <v>2911</v>
      </c>
      <c r="Q1627" s="836">
        <v>45469</v>
      </c>
      <c r="R1627" s="914">
        <f>+M1627*1000</f>
        <v>80000</v>
      </c>
      <c r="S1627" s="178"/>
      <c r="T1627" s="178"/>
    </row>
    <row r="1628" spans="1:20" s="395" customFormat="1" ht="15.75" outlineLevel="1" x14ac:dyDescent="0.25">
      <c r="A1628" s="169"/>
      <c r="B1628" s="331"/>
      <c r="C1628" s="337"/>
      <c r="D1628" s="337"/>
      <c r="E1628" s="549" t="s">
        <v>1452</v>
      </c>
      <c r="F1628" s="338"/>
      <c r="G1628" s="339"/>
      <c r="H1628" s="338"/>
      <c r="I1628" s="338"/>
      <c r="J1628" s="338"/>
      <c r="K1628" s="340"/>
      <c r="L1628" s="338"/>
      <c r="M1628" s="341"/>
      <c r="N1628" s="675"/>
      <c r="O1628" s="169"/>
      <c r="P1628" s="169"/>
      <c r="Q1628" s="835"/>
      <c r="R1628" s="580"/>
      <c r="S1628" s="337"/>
      <c r="T1628" s="337"/>
    </row>
    <row r="1629" spans="1:20" s="178" customFormat="1" x14ac:dyDescent="0.25">
      <c r="B1629" s="178" t="s">
        <v>1769</v>
      </c>
      <c r="C1629" s="178">
        <v>142</v>
      </c>
      <c r="E1629" s="214" t="s">
        <v>1770</v>
      </c>
      <c r="F1629" s="174"/>
      <c r="H1629" s="226"/>
      <c r="I1629" s="338"/>
      <c r="J1629" s="614"/>
      <c r="K1629" s="316"/>
      <c r="L1629" s="174"/>
      <c r="M1629" s="226"/>
      <c r="N1629" s="631"/>
      <c r="O1629" s="590"/>
      <c r="Q1629" s="836"/>
      <c r="R1629" s="914"/>
    </row>
    <row r="1630" spans="1:20" s="178" customFormat="1" x14ac:dyDescent="0.25">
      <c r="E1630" s="225" t="s">
        <v>1622</v>
      </c>
      <c r="F1630" s="174"/>
      <c r="H1630" s="226"/>
      <c r="I1630" s="338"/>
      <c r="J1630" s="614"/>
      <c r="K1630" s="316"/>
      <c r="L1630" s="174"/>
      <c r="M1630" s="226"/>
      <c r="N1630" s="631"/>
      <c r="Q1630" s="836"/>
      <c r="R1630" s="914"/>
    </row>
    <row r="1631" spans="1:20" s="178" customFormat="1" x14ac:dyDescent="0.25">
      <c r="B1631" s="319" t="s">
        <v>1585</v>
      </c>
      <c r="C1631" s="178">
        <v>143</v>
      </c>
      <c r="D1631" s="178">
        <v>38</v>
      </c>
      <c r="E1631" s="347" t="s">
        <v>1527</v>
      </c>
      <c r="F1631" s="175">
        <v>8</v>
      </c>
      <c r="G1631" s="227">
        <v>5278</v>
      </c>
      <c r="H1631" s="226">
        <v>7702</v>
      </c>
      <c r="I1631" s="338">
        <f t="shared" ref="I1631:I1637" si="400">+F1631/G1631*H1631</f>
        <v>11.674118984463812</v>
      </c>
      <c r="J1631" s="614">
        <f t="shared" ref="J1631:J1637" si="401">+F1631+I1631</f>
        <v>19.67411898446381</v>
      </c>
      <c r="K1631" s="316">
        <v>0.4</v>
      </c>
      <c r="L1631" s="174">
        <f t="shared" ref="L1631:L1637" si="402">+J1631*1.4</f>
        <v>27.543766578249333</v>
      </c>
      <c r="M1631" s="226">
        <v>25</v>
      </c>
      <c r="N1631" s="631"/>
      <c r="O1631" s="590"/>
      <c r="Q1631" s="836"/>
      <c r="R1631" s="914"/>
    </row>
    <row r="1632" spans="1:20" s="178" customFormat="1" hidden="1" x14ac:dyDescent="0.25">
      <c r="B1632" s="319" t="s">
        <v>1585</v>
      </c>
      <c r="C1632" s="178">
        <v>144</v>
      </c>
      <c r="D1632" s="178">
        <v>39</v>
      </c>
      <c r="E1632" s="752" t="s">
        <v>1527</v>
      </c>
      <c r="F1632" s="698">
        <v>8</v>
      </c>
      <c r="G1632" s="305">
        <v>5278</v>
      </c>
      <c r="H1632" s="232">
        <v>7702</v>
      </c>
      <c r="I1632" s="695">
        <f t="shared" si="400"/>
        <v>11.674118984463812</v>
      </c>
      <c r="J1632" s="696">
        <f t="shared" si="401"/>
        <v>19.67411898446381</v>
      </c>
      <c r="K1632" s="612">
        <v>0.4</v>
      </c>
      <c r="L1632" s="611">
        <f t="shared" si="402"/>
        <v>27.543766578249333</v>
      </c>
      <c r="M1632" s="232">
        <v>25</v>
      </c>
      <c r="N1632" s="631"/>
      <c r="O1632" s="590"/>
      <c r="P1632" s="178" t="s">
        <v>12</v>
      </c>
      <c r="Q1632" s="836">
        <v>45321</v>
      </c>
      <c r="R1632" s="914">
        <f>+M1632*7000</f>
        <v>175000</v>
      </c>
    </row>
    <row r="1633" spans="1:20" s="178" customFormat="1" x14ac:dyDescent="0.25">
      <c r="B1633" s="319" t="s">
        <v>1585</v>
      </c>
      <c r="C1633" s="178">
        <v>145</v>
      </c>
      <c r="D1633" s="178">
        <v>39</v>
      </c>
      <c r="E1633" s="347" t="s">
        <v>1527</v>
      </c>
      <c r="F1633" s="175">
        <v>8</v>
      </c>
      <c r="G1633" s="227">
        <v>5278</v>
      </c>
      <c r="H1633" s="226">
        <v>7702</v>
      </c>
      <c r="I1633" s="338">
        <f t="shared" si="400"/>
        <v>11.674118984463812</v>
      </c>
      <c r="J1633" s="614">
        <f t="shared" si="401"/>
        <v>19.67411898446381</v>
      </c>
      <c r="K1633" s="316">
        <v>0.4</v>
      </c>
      <c r="L1633" s="174">
        <f t="shared" si="402"/>
        <v>27.543766578249333</v>
      </c>
      <c r="M1633" s="226">
        <v>25</v>
      </c>
      <c r="N1633" s="631"/>
      <c r="O1633" s="590"/>
      <c r="Q1633" s="836"/>
      <c r="R1633" s="914"/>
    </row>
    <row r="1634" spans="1:20" s="178" customFormat="1" hidden="1" x14ac:dyDescent="0.25">
      <c r="B1634" s="319" t="s">
        <v>1585</v>
      </c>
      <c r="C1634" s="178">
        <v>146</v>
      </c>
      <c r="D1634" s="178">
        <v>40</v>
      </c>
      <c r="E1634" s="752" t="s">
        <v>1527</v>
      </c>
      <c r="F1634" s="698">
        <v>8</v>
      </c>
      <c r="G1634" s="305">
        <v>5278</v>
      </c>
      <c r="H1634" s="232">
        <v>7702</v>
      </c>
      <c r="I1634" s="695">
        <f t="shared" si="400"/>
        <v>11.674118984463812</v>
      </c>
      <c r="J1634" s="696">
        <f t="shared" si="401"/>
        <v>19.67411898446381</v>
      </c>
      <c r="K1634" s="612">
        <v>0.4</v>
      </c>
      <c r="L1634" s="611">
        <f t="shared" si="402"/>
        <v>27.543766578249333</v>
      </c>
      <c r="M1634" s="232">
        <v>25</v>
      </c>
      <c r="N1634" s="631"/>
      <c r="O1634" s="590"/>
      <c r="P1634" s="178" t="s">
        <v>2029</v>
      </c>
      <c r="Q1634" s="836">
        <v>45339</v>
      </c>
      <c r="R1634" s="914">
        <f>+M1634*10000</f>
        <v>250000</v>
      </c>
    </row>
    <row r="1635" spans="1:20" s="178" customFormat="1" hidden="1" x14ac:dyDescent="0.25">
      <c r="B1635" s="319" t="s">
        <v>1585</v>
      </c>
      <c r="C1635" s="178">
        <v>147</v>
      </c>
      <c r="D1635" s="178">
        <v>40</v>
      </c>
      <c r="E1635" s="752" t="s">
        <v>1527</v>
      </c>
      <c r="F1635" s="698">
        <v>8</v>
      </c>
      <c r="G1635" s="305">
        <v>5278</v>
      </c>
      <c r="H1635" s="232">
        <v>7702</v>
      </c>
      <c r="I1635" s="695">
        <f t="shared" si="400"/>
        <v>11.674118984463812</v>
      </c>
      <c r="J1635" s="696">
        <f t="shared" si="401"/>
        <v>19.67411898446381</v>
      </c>
      <c r="K1635" s="612">
        <v>0.4</v>
      </c>
      <c r="L1635" s="611">
        <f t="shared" si="402"/>
        <v>27.543766578249333</v>
      </c>
      <c r="M1635" s="232">
        <v>25</v>
      </c>
      <c r="N1635" s="631"/>
      <c r="O1635" s="590"/>
      <c r="P1635" s="178" t="s">
        <v>2412</v>
      </c>
      <c r="Q1635" s="836">
        <v>45449</v>
      </c>
      <c r="R1635" s="914">
        <f>+M1635*14.5</f>
        <v>362.5</v>
      </c>
    </row>
    <row r="1636" spans="1:20" s="178" customFormat="1" x14ac:dyDescent="0.25">
      <c r="B1636" s="319" t="s">
        <v>1585</v>
      </c>
      <c r="C1636" s="178">
        <v>148</v>
      </c>
      <c r="E1636" s="679" t="s">
        <v>1527</v>
      </c>
      <c r="F1636" s="633">
        <v>8</v>
      </c>
      <c r="G1636" s="677">
        <v>5278</v>
      </c>
      <c r="H1636" s="631">
        <v>7702</v>
      </c>
      <c r="I1636" s="660">
        <f t="shared" si="400"/>
        <v>11.674118984463812</v>
      </c>
      <c r="J1636" s="661">
        <f t="shared" si="401"/>
        <v>19.67411898446381</v>
      </c>
      <c r="K1636" s="662">
        <v>0.4</v>
      </c>
      <c r="L1636" s="663">
        <f t="shared" si="402"/>
        <v>27.543766578249333</v>
      </c>
      <c r="M1636" s="631">
        <v>25</v>
      </c>
      <c r="N1636" s="631"/>
      <c r="O1636" s="238"/>
      <c r="Q1636" s="836"/>
      <c r="R1636" s="914"/>
      <c r="T1636" s="229"/>
    </row>
    <row r="1637" spans="1:20" s="178" customFormat="1" x14ac:dyDescent="0.25">
      <c r="B1637" s="319" t="s">
        <v>1585</v>
      </c>
      <c r="C1637" s="178">
        <v>149</v>
      </c>
      <c r="E1637" s="679" t="s">
        <v>1527</v>
      </c>
      <c r="F1637" s="633">
        <v>8</v>
      </c>
      <c r="G1637" s="677">
        <v>5278</v>
      </c>
      <c r="H1637" s="631">
        <v>7702</v>
      </c>
      <c r="I1637" s="660">
        <f t="shared" si="400"/>
        <v>11.674118984463812</v>
      </c>
      <c r="J1637" s="661">
        <f t="shared" si="401"/>
        <v>19.67411898446381</v>
      </c>
      <c r="K1637" s="662">
        <v>0.4</v>
      </c>
      <c r="L1637" s="663">
        <f t="shared" si="402"/>
        <v>27.543766578249333</v>
      </c>
      <c r="M1637" s="631">
        <v>25</v>
      </c>
      <c r="N1637" s="631"/>
      <c r="O1637" s="238"/>
      <c r="Q1637" s="836"/>
      <c r="R1637" s="914"/>
    </row>
    <row r="1638" spans="1:20" s="178" customFormat="1" ht="15.75" thickBot="1" x14ac:dyDescent="0.3">
      <c r="B1638" s="319" t="s">
        <v>905</v>
      </c>
      <c r="C1638" s="178">
        <v>150</v>
      </c>
      <c r="D1638" s="178">
        <v>38</v>
      </c>
      <c r="E1638" s="347" t="s">
        <v>1771</v>
      </c>
      <c r="F1638" s="175"/>
      <c r="G1638" s="227"/>
      <c r="H1638" s="226"/>
      <c r="I1638" s="338"/>
      <c r="J1638" s="614"/>
      <c r="K1638" s="316"/>
      <c r="L1638" s="174"/>
      <c r="M1638" s="226"/>
      <c r="N1638" s="631"/>
      <c r="O1638" s="590"/>
      <c r="Q1638" s="836"/>
      <c r="R1638" s="914"/>
    </row>
    <row r="1639" spans="1:20" s="178" customFormat="1" ht="15.75" thickBot="1" x14ac:dyDescent="0.3">
      <c r="B1639" s="319"/>
      <c r="E1639" s="655" t="s">
        <v>1626</v>
      </c>
      <c r="F1639" s="175"/>
      <c r="G1639" s="227"/>
      <c r="H1639" s="226"/>
      <c r="I1639" s="338"/>
      <c r="J1639" s="614"/>
      <c r="K1639" s="316"/>
      <c r="L1639" s="174"/>
      <c r="M1639" s="226"/>
      <c r="N1639" s="631"/>
      <c r="Q1639" s="836"/>
      <c r="R1639" s="914"/>
    </row>
    <row r="1640" spans="1:20" s="178" customFormat="1" x14ac:dyDescent="0.25">
      <c r="A1640" s="178" t="s">
        <v>1569</v>
      </c>
      <c r="B1640" s="319" t="s">
        <v>1582</v>
      </c>
      <c r="C1640" s="178">
        <v>151</v>
      </c>
      <c r="D1640" s="178" t="s">
        <v>1768</v>
      </c>
      <c r="E1640" s="347" t="s">
        <v>1572</v>
      </c>
      <c r="F1640" s="175">
        <v>12</v>
      </c>
      <c r="G1640" s="226">
        <v>1162</v>
      </c>
      <c r="H1640" s="226">
        <v>2629</v>
      </c>
      <c r="I1640" s="338">
        <f t="shared" ref="I1640:I1646" si="403">+F1640/G1640*H1640</f>
        <v>27.149741824440621</v>
      </c>
      <c r="J1640" s="614">
        <f t="shared" ref="J1640:J1646" si="404">+F1640+I1640</f>
        <v>39.149741824440625</v>
      </c>
      <c r="K1640" s="316">
        <v>0.4</v>
      </c>
      <c r="L1640" s="174">
        <f t="shared" ref="L1640:L1646" si="405">+J1640*1.4</f>
        <v>54.809638554216875</v>
      </c>
      <c r="M1640" s="226">
        <v>55</v>
      </c>
      <c r="N1640" s="631"/>
      <c r="O1640" s="590"/>
      <c r="Q1640" s="836"/>
      <c r="R1640" s="914"/>
    </row>
    <row r="1641" spans="1:20" s="178" customFormat="1" x14ac:dyDescent="0.25">
      <c r="A1641" s="178" t="s">
        <v>1569</v>
      </c>
      <c r="B1641" s="319" t="s">
        <v>1573</v>
      </c>
      <c r="C1641" s="178">
        <v>152</v>
      </c>
      <c r="D1641" s="630">
        <v>9.5</v>
      </c>
      <c r="E1641" s="347" t="s">
        <v>1574</v>
      </c>
      <c r="F1641" s="175">
        <v>18</v>
      </c>
      <c r="G1641" s="226">
        <v>1162</v>
      </c>
      <c r="H1641" s="226">
        <v>2629</v>
      </c>
      <c r="I1641" s="338">
        <f t="shared" si="403"/>
        <v>40.72461273666093</v>
      </c>
      <c r="J1641" s="614">
        <f t="shared" si="404"/>
        <v>58.72461273666093</v>
      </c>
      <c r="K1641" s="316">
        <v>0.4</v>
      </c>
      <c r="L1641" s="174">
        <f t="shared" si="405"/>
        <v>82.214457831325291</v>
      </c>
      <c r="M1641" s="226">
        <v>65</v>
      </c>
      <c r="N1641" s="631"/>
      <c r="O1641" s="590"/>
      <c r="Q1641" s="836"/>
      <c r="R1641" s="914"/>
    </row>
    <row r="1642" spans="1:20" s="178" customFormat="1" x14ac:dyDescent="0.25">
      <c r="A1642" s="178" t="s">
        <v>1569</v>
      </c>
      <c r="B1642" s="319" t="s">
        <v>1583</v>
      </c>
      <c r="C1642" s="178">
        <v>153</v>
      </c>
      <c r="D1642" s="630">
        <v>8.5</v>
      </c>
      <c r="E1642" s="347" t="s">
        <v>1584</v>
      </c>
      <c r="F1642" s="175">
        <v>13</v>
      </c>
      <c r="G1642" s="226">
        <v>1162</v>
      </c>
      <c r="H1642" s="226">
        <v>2629</v>
      </c>
      <c r="I1642" s="338">
        <f t="shared" si="403"/>
        <v>29.412220309810671</v>
      </c>
      <c r="J1642" s="614">
        <f t="shared" si="404"/>
        <v>42.412220309810671</v>
      </c>
      <c r="K1642" s="316">
        <v>0.4</v>
      </c>
      <c r="L1642" s="174">
        <f t="shared" si="405"/>
        <v>59.377108433734932</v>
      </c>
      <c r="M1642" s="226">
        <v>50</v>
      </c>
      <c r="N1642" s="631"/>
      <c r="O1642" s="590"/>
      <c r="Q1642" s="836"/>
      <c r="R1642" s="914"/>
    </row>
    <row r="1643" spans="1:20" s="178" customFormat="1" x14ac:dyDescent="0.25">
      <c r="A1643" s="178" t="s">
        <v>1569</v>
      </c>
      <c r="B1643" s="319" t="s">
        <v>1583</v>
      </c>
      <c r="C1643" s="178">
        <v>154</v>
      </c>
      <c r="D1643" s="630">
        <v>10</v>
      </c>
      <c r="E1643" s="347" t="s">
        <v>1584</v>
      </c>
      <c r="F1643" s="175">
        <v>13</v>
      </c>
      <c r="G1643" s="226">
        <v>1162</v>
      </c>
      <c r="H1643" s="226">
        <v>2629</v>
      </c>
      <c r="I1643" s="338">
        <f t="shared" si="403"/>
        <v>29.412220309810671</v>
      </c>
      <c r="J1643" s="614">
        <f t="shared" si="404"/>
        <v>42.412220309810671</v>
      </c>
      <c r="K1643" s="316">
        <v>0.4</v>
      </c>
      <c r="L1643" s="174">
        <f t="shared" si="405"/>
        <v>59.377108433734932</v>
      </c>
      <c r="M1643" s="226">
        <v>50</v>
      </c>
      <c r="N1643" s="631"/>
      <c r="O1643" s="590"/>
      <c r="Q1643" s="836"/>
      <c r="R1643" s="914"/>
    </row>
    <row r="1644" spans="1:20" s="178" customFormat="1" x14ac:dyDescent="0.25">
      <c r="A1644" s="178" t="s">
        <v>1569</v>
      </c>
      <c r="B1644" s="319" t="s">
        <v>262</v>
      </c>
      <c r="C1644" s="178">
        <v>155</v>
      </c>
      <c r="D1644" s="630">
        <v>11</v>
      </c>
      <c r="E1644" s="752" t="s">
        <v>1580</v>
      </c>
      <c r="F1644" s="698">
        <v>23</v>
      </c>
      <c r="G1644" s="232">
        <v>1162</v>
      </c>
      <c r="H1644" s="232">
        <v>2629</v>
      </c>
      <c r="I1644" s="695">
        <f t="shared" si="403"/>
        <v>52.037005163511189</v>
      </c>
      <c r="J1644" s="696">
        <f t="shared" si="404"/>
        <v>75.037005163511196</v>
      </c>
      <c r="K1644" s="612">
        <v>0.4</v>
      </c>
      <c r="L1644" s="611">
        <f t="shared" si="405"/>
        <v>105.05180722891566</v>
      </c>
      <c r="M1644" s="232">
        <v>80</v>
      </c>
      <c r="N1644" s="631"/>
      <c r="O1644" s="590"/>
      <c r="P1644" s="178" t="s">
        <v>12</v>
      </c>
      <c r="Q1644" s="836">
        <v>45491</v>
      </c>
      <c r="R1644" s="914"/>
    </row>
    <row r="1645" spans="1:20" s="178" customFormat="1" hidden="1" x14ac:dyDescent="0.25">
      <c r="A1645" s="178" t="s">
        <v>1569</v>
      </c>
      <c r="B1645" s="319" t="s">
        <v>1581</v>
      </c>
      <c r="C1645" s="178">
        <v>156</v>
      </c>
      <c r="D1645" s="630">
        <v>8</v>
      </c>
      <c r="E1645" s="752" t="s">
        <v>1579</v>
      </c>
      <c r="F1645" s="698">
        <v>13</v>
      </c>
      <c r="G1645" s="232">
        <v>1162</v>
      </c>
      <c r="H1645" s="232">
        <v>2629</v>
      </c>
      <c r="I1645" s="695">
        <f t="shared" si="403"/>
        <v>29.412220309810671</v>
      </c>
      <c r="J1645" s="696">
        <f t="shared" si="404"/>
        <v>42.412220309810671</v>
      </c>
      <c r="K1645" s="612">
        <v>0.4</v>
      </c>
      <c r="L1645" s="611">
        <f t="shared" si="405"/>
        <v>59.377108433734932</v>
      </c>
      <c r="M1645" s="232">
        <v>55</v>
      </c>
      <c r="N1645" s="631"/>
      <c r="O1645" s="590"/>
      <c r="P1645" s="178" t="s">
        <v>2744</v>
      </c>
      <c r="Q1645" s="836">
        <v>45449</v>
      </c>
      <c r="R1645" s="914">
        <f>+M1645*14.5</f>
        <v>797.5</v>
      </c>
    </row>
    <row r="1646" spans="1:20" s="178" customFormat="1" x14ac:dyDescent="0.25">
      <c r="A1646" s="178" t="s">
        <v>1569</v>
      </c>
      <c r="B1646" s="319" t="s">
        <v>1581</v>
      </c>
      <c r="C1646" s="178">
        <v>157</v>
      </c>
      <c r="D1646" s="630">
        <v>8</v>
      </c>
      <c r="E1646" s="347" t="s">
        <v>1579</v>
      </c>
      <c r="F1646" s="175">
        <v>13</v>
      </c>
      <c r="G1646" s="226">
        <v>1162</v>
      </c>
      <c r="H1646" s="226">
        <v>2629</v>
      </c>
      <c r="I1646" s="338">
        <f t="shared" si="403"/>
        <v>29.412220309810671</v>
      </c>
      <c r="J1646" s="614">
        <f t="shared" si="404"/>
        <v>42.412220309810671</v>
      </c>
      <c r="K1646" s="316">
        <v>0.4</v>
      </c>
      <c r="L1646" s="174">
        <f t="shared" si="405"/>
        <v>59.377108433734932</v>
      </c>
      <c r="M1646" s="226">
        <v>55</v>
      </c>
      <c r="N1646" s="631"/>
      <c r="O1646" s="590"/>
      <c r="Q1646" s="836"/>
      <c r="R1646" s="914"/>
    </row>
    <row r="1647" spans="1:20" s="395" customFormat="1" ht="15.75" outlineLevel="1" x14ac:dyDescent="0.25">
      <c r="A1647" s="154"/>
      <c r="C1647" s="500"/>
      <c r="D1647" s="500"/>
      <c r="E1647" s="393" t="s">
        <v>175</v>
      </c>
      <c r="F1647" s="150">
        <f>SUM(F1457:F1617)</f>
        <v>1570.9942067736181</v>
      </c>
      <c r="G1647" s="150"/>
      <c r="H1647" s="150"/>
      <c r="I1647" s="150"/>
      <c r="J1647" s="150"/>
      <c r="K1647" s="150"/>
      <c r="L1647" s="150">
        <f>SUM(L1457:L1617)</f>
        <v>4497.5010905154204</v>
      </c>
      <c r="M1647" s="150">
        <f>SUM(M1457:M1617)</f>
        <v>6966</v>
      </c>
      <c r="N1647" s="404"/>
      <c r="P1647" s="160"/>
      <c r="Q1647" s="834"/>
      <c r="R1647" s="913"/>
      <c r="S1647" s="11"/>
      <c r="T1647" s="11"/>
    </row>
    <row r="1648" spans="1:20" s="395" customFormat="1" ht="15.75" outlineLevel="1" x14ac:dyDescent="0.25">
      <c r="A1648" s="154"/>
      <c r="B1648" s="395">
        <v>2021</v>
      </c>
      <c r="C1648" s="500">
        <v>291</v>
      </c>
      <c r="D1648" s="500">
        <v>-127</v>
      </c>
      <c r="E1648" s="395">
        <f>+C1648+D1648</f>
        <v>164</v>
      </c>
      <c r="F1648" s="258" t="s">
        <v>1078</v>
      </c>
      <c r="G1648" s="160"/>
      <c r="H1648" s="160"/>
      <c r="I1648" s="258"/>
      <c r="J1648" s="258"/>
      <c r="K1648" s="497"/>
      <c r="L1648" s="394"/>
      <c r="M1648" s="530"/>
      <c r="N1648" s="746"/>
      <c r="P1648" s="160"/>
      <c r="Q1648" s="834"/>
      <c r="R1648" s="913"/>
      <c r="S1648" s="11"/>
      <c r="T1648" s="11"/>
    </row>
    <row r="1649" spans="1:20" s="395" customFormat="1" ht="15.75" outlineLevel="1" x14ac:dyDescent="0.25">
      <c r="A1649" s="154"/>
      <c r="B1649" s="395">
        <v>2022</v>
      </c>
      <c r="C1649" s="500">
        <v>363</v>
      </c>
      <c r="D1649" s="500">
        <v>-142</v>
      </c>
      <c r="E1649" s="395">
        <f>+C1649+D1649</f>
        <v>221</v>
      </c>
      <c r="F1649" s="258" t="s">
        <v>1078</v>
      </c>
      <c r="G1649" s="160"/>
      <c r="H1649" s="160"/>
      <c r="I1649" s="258"/>
      <c r="J1649" s="258"/>
      <c r="K1649" s="497"/>
      <c r="L1649" s="394"/>
      <c r="M1649" s="530"/>
      <c r="N1649" s="746"/>
      <c r="P1649" s="160"/>
      <c r="Q1649" s="834"/>
      <c r="R1649" s="913"/>
      <c r="S1649" s="11"/>
      <c r="T1649" s="11"/>
    </row>
    <row r="1650" spans="1:20" s="395" customFormat="1" ht="15.75" outlineLevel="1" x14ac:dyDescent="0.25">
      <c r="A1650" s="154"/>
      <c r="B1650" s="494">
        <v>2023</v>
      </c>
      <c r="C1650" s="686"/>
      <c r="D1650" s="686"/>
      <c r="E1650" s="494">
        <v>157</v>
      </c>
      <c r="F1650" s="258"/>
      <c r="G1650" s="160"/>
      <c r="H1650" s="160"/>
      <c r="I1650" s="258"/>
      <c r="J1650" s="258"/>
      <c r="K1650" s="497"/>
      <c r="L1650" s="394"/>
      <c r="M1650" s="530"/>
      <c r="N1650" s="746"/>
      <c r="P1650" s="160"/>
      <c r="Q1650" s="834"/>
      <c r="R1650" s="913"/>
      <c r="S1650" s="11"/>
      <c r="T1650" s="11"/>
    </row>
    <row r="1651" spans="1:20" s="395" customFormat="1" ht="21" outlineLevel="1" x14ac:dyDescent="0.35">
      <c r="A1651" s="154"/>
      <c r="C1651" s="500"/>
      <c r="D1651" s="500"/>
      <c r="E1651" s="670" t="s">
        <v>219</v>
      </c>
      <c r="F1651" s="258"/>
      <c r="G1651" s="160"/>
      <c r="H1651" s="160"/>
      <c r="I1651" s="258"/>
      <c r="J1651" s="258"/>
      <c r="K1651" s="344"/>
      <c r="L1651" s="394"/>
      <c r="M1651" s="150"/>
      <c r="N1651" s="404"/>
      <c r="P1651" s="160"/>
      <c r="Q1651" s="834"/>
      <c r="R1651" s="913"/>
      <c r="S1651" s="11"/>
      <c r="T1651" s="11"/>
    </row>
    <row r="1652" spans="1:20" s="395" customFormat="1" ht="15.75" outlineLevel="1" x14ac:dyDescent="0.25">
      <c r="A1652" s="393"/>
      <c r="E1652" s="506" t="s">
        <v>567</v>
      </c>
      <c r="G1652" s="394"/>
      <c r="H1652" s="179"/>
      <c r="I1652" s="394"/>
      <c r="J1652" s="394"/>
      <c r="K1652" s="394"/>
      <c r="L1652" s="394">
        <f>+J1652*K1652+J1652</f>
        <v>0</v>
      </c>
      <c r="M1652" s="394"/>
      <c r="N1652" s="504"/>
      <c r="P1652" s="495"/>
      <c r="Q1652" s="833"/>
      <c r="R1652" s="396"/>
    </row>
    <row r="1653" spans="1:20" s="395" customFormat="1" ht="15.75" outlineLevel="1" x14ac:dyDescent="0.25">
      <c r="A1653" s="393"/>
      <c r="C1653" s="395">
        <v>1</v>
      </c>
      <c r="E1653" s="317" t="s">
        <v>1761</v>
      </c>
      <c r="F1653" s="493">
        <v>5</v>
      </c>
      <c r="G1653" s="509">
        <v>1050</v>
      </c>
      <c r="H1653" s="493">
        <f>+G1653+1335+200</f>
        <v>2585</v>
      </c>
      <c r="I1653" s="493">
        <f>+F1653/G1653*H1653</f>
        <v>12.30952380952381</v>
      </c>
      <c r="J1653" s="493">
        <f>+F1653+I1653</f>
        <v>17.30952380952381</v>
      </c>
      <c r="K1653" s="692">
        <v>0.3</v>
      </c>
      <c r="L1653" s="493">
        <f>+J1653*K1653+J1653</f>
        <v>22.502380952380953</v>
      </c>
      <c r="M1653" s="493">
        <v>35</v>
      </c>
      <c r="N1653" s="504"/>
      <c r="O1653" s="362"/>
      <c r="P1653" s="495" t="s">
        <v>12</v>
      </c>
      <c r="Q1653" s="833">
        <v>45318</v>
      </c>
      <c r="R1653" s="396">
        <f>+M1653*7000</f>
        <v>245000</v>
      </c>
    </row>
    <row r="1654" spans="1:20" s="395" customFormat="1" ht="15.75" outlineLevel="1" x14ac:dyDescent="0.25">
      <c r="A1654" s="393"/>
      <c r="C1654" s="395">
        <v>2</v>
      </c>
      <c r="E1654" s="395" t="s">
        <v>1762</v>
      </c>
      <c r="F1654" s="394">
        <v>5</v>
      </c>
      <c r="G1654" s="179">
        <v>1050</v>
      </c>
      <c r="H1654" s="394">
        <f>+G1654+1335+200</f>
        <v>2585</v>
      </c>
      <c r="I1654" s="394">
        <f>+F1654/G1654*H1654</f>
        <v>12.30952380952381</v>
      </c>
      <c r="J1654" s="394">
        <f>+F1654+I1654</f>
        <v>17.30952380952381</v>
      </c>
      <c r="K1654" s="492">
        <v>0.3</v>
      </c>
      <c r="L1654" s="394">
        <f>+J1654*K1654+J1654</f>
        <v>22.502380952380953</v>
      </c>
      <c r="M1654" s="394">
        <v>25</v>
      </c>
      <c r="N1654" s="504"/>
      <c r="O1654" s="362"/>
      <c r="P1654" s="495"/>
      <c r="Q1654" s="833"/>
      <c r="R1654" s="396"/>
    </row>
    <row r="1655" spans="1:20" s="395" customFormat="1" ht="15.75" outlineLevel="1" x14ac:dyDescent="0.25">
      <c r="A1655" s="393"/>
      <c r="C1655" s="395">
        <v>3</v>
      </c>
      <c r="E1655" s="395" t="s">
        <v>968</v>
      </c>
      <c r="F1655" s="394">
        <v>7</v>
      </c>
      <c r="G1655" s="179"/>
      <c r="H1655" s="394"/>
      <c r="I1655" s="394"/>
      <c r="J1655" s="394"/>
      <c r="K1655" s="492"/>
      <c r="L1655" s="394"/>
      <c r="M1655" s="394">
        <v>35</v>
      </c>
      <c r="N1655" s="504"/>
      <c r="O1655" s="362"/>
      <c r="P1655" s="495" t="s">
        <v>1633</v>
      </c>
      <c r="Q1655" s="833">
        <v>45226</v>
      </c>
      <c r="R1655" s="396">
        <f>+M1655*7500</f>
        <v>262500</v>
      </c>
    </row>
    <row r="1656" spans="1:20" s="395" customFormat="1" ht="15.75" outlineLevel="1" x14ac:dyDescent="0.25">
      <c r="A1656" s="393"/>
      <c r="C1656" s="395">
        <v>4</v>
      </c>
      <c r="E1656" s="395" t="s">
        <v>1763</v>
      </c>
      <c r="F1656" s="394">
        <v>5</v>
      </c>
      <c r="G1656" s="179">
        <v>1050</v>
      </c>
      <c r="H1656" s="394">
        <f>+G1656+1335+200</f>
        <v>2585</v>
      </c>
      <c r="I1656" s="394">
        <f>+F1656/G1656*H1656</f>
        <v>12.30952380952381</v>
      </c>
      <c r="J1656" s="394">
        <f>+F1656+I1656</f>
        <v>17.30952380952381</v>
      </c>
      <c r="K1656" s="492">
        <v>0.3</v>
      </c>
      <c r="L1656" s="394">
        <f>+J1656*K1656+J1656</f>
        <v>22.502380952380953</v>
      </c>
      <c r="M1656" s="394">
        <v>25</v>
      </c>
      <c r="N1656" s="504"/>
      <c r="O1656" s="362"/>
      <c r="P1656" s="495"/>
      <c r="Q1656" s="833"/>
      <c r="R1656" s="396"/>
    </row>
    <row r="1657" spans="1:20" s="395" customFormat="1" ht="15.75" outlineLevel="1" x14ac:dyDescent="0.25">
      <c r="A1657" s="393"/>
      <c r="B1657" s="393" t="s">
        <v>800</v>
      </c>
      <c r="F1657" s="394"/>
      <c r="G1657" s="179"/>
      <c r="H1657" s="394"/>
      <c r="I1657" s="394"/>
      <c r="J1657" s="394"/>
      <c r="K1657" s="492"/>
      <c r="L1657" s="394"/>
      <c r="M1657" s="394"/>
      <c r="N1657" s="504"/>
      <c r="P1657" s="495"/>
      <c r="Q1657" s="833"/>
      <c r="R1657" s="396"/>
    </row>
    <row r="1658" spans="1:20" s="169" customFormat="1" ht="15.75" x14ac:dyDescent="0.25">
      <c r="A1658" s="395"/>
      <c r="B1658" s="395"/>
      <c r="C1658" s="395">
        <v>5</v>
      </c>
      <c r="D1658" s="395"/>
      <c r="E1658" s="693" t="s">
        <v>812</v>
      </c>
      <c r="F1658" s="493">
        <v>7</v>
      </c>
      <c r="G1658" s="509">
        <v>8183</v>
      </c>
      <c r="H1658" s="493">
        <v>13183</v>
      </c>
      <c r="I1658" s="493">
        <f t="shared" ref="I1658:I1669" si="406">+F1658/G1658*H1658</f>
        <v>11.277159965782721</v>
      </c>
      <c r="J1658" s="493">
        <f t="shared" ref="J1658:J1669" si="407">+F1658+I1658</f>
        <v>18.277159965782722</v>
      </c>
      <c r="K1658" s="692">
        <v>0.3</v>
      </c>
      <c r="L1658" s="493">
        <f t="shared" ref="L1658:L1663" si="408">+J1658*K1658+J1658</f>
        <v>23.76030795551754</v>
      </c>
      <c r="M1658" s="493">
        <v>35</v>
      </c>
      <c r="N1658" s="504"/>
      <c r="O1658" s="362"/>
      <c r="P1658" s="395" t="s">
        <v>12</v>
      </c>
      <c r="Q1658" s="833">
        <v>45456</v>
      </c>
      <c r="R1658" s="396">
        <f>+M1658*14.5</f>
        <v>507.5</v>
      </c>
      <c r="S1658" s="395"/>
      <c r="T1658" s="395"/>
    </row>
    <row r="1659" spans="1:20" s="169" customFormat="1" ht="15.75" x14ac:dyDescent="0.25">
      <c r="A1659" s="395"/>
      <c r="B1659" s="395"/>
      <c r="C1659" s="395">
        <v>6</v>
      </c>
      <c r="D1659" s="395"/>
      <c r="E1659" s="276" t="s">
        <v>812</v>
      </c>
      <c r="F1659" s="394">
        <v>7</v>
      </c>
      <c r="G1659" s="179">
        <v>8183</v>
      </c>
      <c r="H1659" s="394">
        <v>13183</v>
      </c>
      <c r="I1659" s="394">
        <f t="shared" si="406"/>
        <v>11.277159965782721</v>
      </c>
      <c r="J1659" s="394">
        <f t="shared" si="407"/>
        <v>18.277159965782722</v>
      </c>
      <c r="K1659" s="492">
        <v>0.3</v>
      </c>
      <c r="L1659" s="394">
        <f t="shared" si="408"/>
        <v>23.76030795551754</v>
      </c>
      <c r="M1659" s="394">
        <v>35</v>
      </c>
      <c r="N1659" s="504"/>
      <c r="O1659" s="362"/>
      <c r="P1659" s="395"/>
      <c r="Q1659" s="833"/>
      <c r="R1659" s="396"/>
      <c r="S1659" s="395"/>
      <c r="T1659" s="395"/>
    </row>
    <row r="1660" spans="1:20" s="169" customFormat="1" ht="15.75" x14ac:dyDescent="0.25">
      <c r="A1660" s="395"/>
      <c r="B1660" s="395"/>
      <c r="C1660" s="395">
        <v>7</v>
      </c>
      <c r="D1660" s="395"/>
      <c r="E1660" s="276" t="s">
        <v>812</v>
      </c>
      <c r="F1660" s="394">
        <v>7</v>
      </c>
      <c r="G1660" s="179">
        <v>8183</v>
      </c>
      <c r="H1660" s="394">
        <v>13183</v>
      </c>
      <c r="I1660" s="394">
        <f t="shared" si="406"/>
        <v>11.277159965782721</v>
      </c>
      <c r="J1660" s="394">
        <f t="shared" si="407"/>
        <v>18.277159965782722</v>
      </c>
      <c r="K1660" s="492">
        <v>0.3</v>
      </c>
      <c r="L1660" s="394">
        <f t="shared" si="408"/>
        <v>23.76030795551754</v>
      </c>
      <c r="M1660" s="394">
        <v>35</v>
      </c>
      <c r="N1660" s="504"/>
      <c r="O1660" s="362"/>
      <c r="P1660" s="395"/>
      <c r="Q1660" s="833"/>
      <c r="R1660" s="396"/>
      <c r="S1660" s="395"/>
      <c r="T1660" s="395"/>
    </row>
    <row r="1661" spans="1:20" s="169" customFormat="1" ht="15.75" x14ac:dyDescent="0.25">
      <c r="A1661" s="395"/>
      <c r="B1661" s="395"/>
      <c r="C1661" s="395">
        <v>8</v>
      </c>
      <c r="D1661" s="395"/>
      <c r="E1661" s="276" t="s">
        <v>813</v>
      </c>
      <c r="F1661" s="394">
        <v>7</v>
      </c>
      <c r="G1661" s="179">
        <v>8183</v>
      </c>
      <c r="H1661" s="394">
        <v>13183</v>
      </c>
      <c r="I1661" s="394">
        <f t="shared" si="406"/>
        <v>11.277159965782721</v>
      </c>
      <c r="J1661" s="394">
        <f t="shared" si="407"/>
        <v>18.277159965782722</v>
      </c>
      <c r="K1661" s="492">
        <v>0.3</v>
      </c>
      <c r="L1661" s="394">
        <f t="shared" si="408"/>
        <v>23.76030795551754</v>
      </c>
      <c r="M1661" s="394">
        <v>35</v>
      </c>
      <c r="N1661" s="504"/>
      <c r="O1661" s="362"/>
      <c r="P1661" s="395"/>
      <c r="Q1661" s="833"/>
      <c r="R1661" s="396"/>
      <c r="S1661" s="395"/>
      <c r="T1661" s="395"/>
    </row>
    <row r="1662" spans="1:20" s="169" customFormat="1" ht="15.75" x14ac:dyDescent="0.25">
      <c r="A1662" s="395"/>
      <c r="B1662" s="395"/>
      <c r="C1662" s="395">
        <v>9</v>
      </c>
      <c r="D1662" s="395"/>
      <c r="E1662" s="276" t="s">
        <v>814</v>
      </c>
      <c r="F1662" s="394">
        <v>7</v>
      </c>
      <c r="G1662" s="179">
        <v>8183</v>
      </c>
      <c r="H1662" s="394">
        <v>13183</v>
      </c>
      <c r="I1662" s="394">
        <f t="shared" si="406"/>
        <v>11.277159965782721</v>
      </c>
      <c r="J1662" s="394">
        <f t="shared" si="407"/>
        <v>18.277159965782722</v>
      </c>
      <c r="K1662" s="492">
        <v>0.3</v>
      </c>
      <c r="L1662" s="394">
        <f t="shared" si="408"/>
        <v>23.76030795551754</v>
      </c>
      <c r="M1662" s="394">
        <v>35</v>
      </c>
      <c r="N1662" s="504"/>
      <c r="O1662" s="362"/>
      <c r="P1662" s="395"/>
      <c r="Q1662" s="833"/>
      <c r="R1662" s="396"/>
      <c r="S1662" s="395"/>
      <c r="T1662" s="395"/>
    </row>
    <row r="1663" spans="1:20" s="169" customFormat="1" ht="15.75" x14ac:dyDescent="0.25">
      <c r="A1663" s="395"/>
      <c r="B1663" s="395"/>
      <c r="C1663" s="395">
        <v>10</v>
      </c>
      <c r="D1663" s="395"/>
      <c r="E1663" s="276" t="s">
        <v>814</v>
      </c>
      <c r="F1663" s="394">
        <v>7</v>
      </c>
      <c r="G1663" s="179">
        <v>8183</v>
      </c>
      <c r="H1663" s="394">
        <v>13183</v>
      </c>
      <c r="I1663" s="394">
        <f t="shared" si="406"/>
        <v>11.277159965782721</v>
      </c>
      <c r="J1663" s="394">
        <f t="shared" si="407"/>
        <v>18.277159965782722</v>
      </c>
      <c r="K1663" s="492">
        <v>0.3</v>
      </c>
      <c r="L1663" s="394">
        <f t="shared" si="408"/>
        <v>23.76030795551754</v>
      </c>
      <c r="M1663" s="394">
        <v>35</v>
      </c>
      <c r="N1663" s="504"/>
      <c r="O1663" s="362"/>
      <c r="P1663" s="395"/>
      <c r="Q1663" s="833"/>
      <c r="R1663" s="396"/>
      <c r="S1663" s="395"/>
      <c r="T1663" s="395"/>
    </row>
    <row r="1664" spans="1:20" s="169" customFormat="1" ht="15.75" x14ac:dyDescent="0.25">
      <c r="A1664" s="395"/>
      <c r="B1664" s="395"/>
      <c r="C1664" s="395"/>
      <c r="D1664" s="395"/>
      <c r="E1664" s="429" t="s">
        <v>958</v>
      </c>
      <c r="F1664" s="394"/>
      <c r="G1664" s="179"/>
      <c r="H1664" s="394"/>
      <c r="I1664" s="394"/>
      <c r="J1664" s="394"/>
      <c r="K1664" s="492"/>
      <c r="L1664" s="394"/>
      <c r="M1664" s="394"/>
      <c r="N1664" s="504"/>
      <c r="O1664" s="395"/>
      <c r="P1664" s="395"/>
      <c r="Q1664" s="833"/>
      <c r="R1664" s="396"/>
      <c r="S1664" s="395"/>
      <c r="T1664" s="395"/>
    </row>
    <row r="1665" spans="1:20" s="395" customFormat="1" ht="15.75" x14ac:dyDescent="0.25">
      <c r="A1665" s="158" t="s">
        <v>904</v>
      </c>
      <c r="B1665" s="169"/>
      <c r="C1665" s="169">
        <v>11</v>
      </c>
      <c r="D1665" s="169"/>
      <c r="E1665" s="169" t="s">
        <v>1760</v>
      </c>
      <c r="F1665" s="180">
        <v>8</v>
      </c>
      <c r="G1665" s="179">
        <v>6911</v>
      </c>
      <c r="H1665" s="394">
        <v>4716</v>
      </c>
      <c r="I1665" s="394">
        <f t="shared" si="406"/>
        <v>5.4591231370279267</v>
      </c>
      <c r="J1665" s="394">
        <f t="shared" si="407"/>
        <v>13.459123137027927</v>
      </c>
      <c r="K1665" s="492">
        <v>0.3</v>
      </c>
      <c r="L1665" s="394">
        <f t="shared" ref="L1665:L1669" si="409">+J1665*K1665+J1665</f>
        <v>17.496860078136304</v>
      </c>
      <c r="M1665" s="394">
        <v>35</v>
      </c>
      <c r="N1665" s="504"/>
      <c r="O1665" s="361"/>
      <c r="P1665" s="169"/>
      <c r="Q1665" s="838"/>
      <c r="R1665" s="580"/>
      <c r="S1665" s="169"/>
      <c r="T1665" s="169"/>
    </row>
    <row r="1666" spans="1:20" s="395" customFormat="1" ht="15.75" x14ac:dyDescent="0.25">
      <c r="A1666" s="158" t="s">
        <v>904</v>
      </c>
      <c r="B1666" s="169"/>
      <c r="C1666" s="169">
        <v>12</v>
      </c>
      <c r="D1666" s="169"/>
      <c r="E1666" s="169" t="s">
        <v>914</v>
      </c>
      <c r="F1666" s="180">
        <v>35</v>
      </c>
      <c r="G1666" s="179">
        <v>6911</v>
      </c>
      <c r="H1666" s="394">
        <v>4716</v>
      </c>
      <c r="I1666" s="394">
        <f t="shared" si="406"/>
        <v>23.883663724497179</v>
      </c>
      <c r="J1666" s="394">
        <f t="shared" si="407"/>
        <v>58.883663724497183</v>
      </c>
      <c r="K1666" s="492">
        <v>0.3</v>
      </c>
      <c r="L1666" s="394">
        <f t="shared" si="409"/>
        <v>76.54876284184634</v>
      </c>
      <c r="M1666" s="394">
        <v>35</v>
      </c>
      <c r="N1666" s="504"/>
      <c r="O1666" s="361"/>
      <c r="P1666" s="169"/>
      <c r="Q1666" s="838"/>
      <c r="R1666" s="580"/>
      <c r="S1666" s="169"/>
      <c r="T1666" s="169"/>
    </row>
    <row r="1667" spans="1:20" s="149" customFormat="1" ht="15" customHeight="1" x14ac:dyDescent="0.25">
      <c r="A1667" s="158" t="s">
        <v>904</v>
      </c>
      <c r="B1667" s="169"/>
      <c r="C1667" s="169">
        <v>13</v>
      </c>
      <c r="D1667" s="169"/>
      <c r="E1667" s="169" t="s">
        <v>1496</v>
      </c>
      <c r="F1667" s="180">
        <v>11</v>
      </c>
      <c r="G1667" s="179">
        <v>6911</v>
      </c>
      <c r="H1667" s="394">
        <v>4716</v>
      </c>
      <c r="I1667" s="394">
        <f t="shared" si="406"/>
        <v>7.5062943134133988</v>
      </c>
      <c r="J1667" s="394">
        <f t="shared" si="407"/>
        <v>18.506294313413399</v>
      </c>
      <c r="K1667" s="492">
        <v>0.3</v>
      </c>
      <c r="L1667" s="394">
        <f t="shared" si="409"/>
        <v>24.058182607437416</v>
      </c>
      <c r="M1667" s="180">
        <v>35</v>
      </c>
      <c r="N1667" s="525"/>
      <c r="O1667" s="361"/>
      <c r="P1667" s="169"/>
      <c r="Q1667" s="838"/>
      <c r="R1667" s="580"/>
      <c r="S1667" s="169"/>
      <c r="T1667" s="169"/>
    </row>
    <row r="1668" spans="1:20" s="395" customFormat="1" ht="15.75" x14ac:dyDescent="0.25">
      <c r="A1668" s="158" t="s">
        <v>904</v>
      </c>
      <c r="B1668" s="169"/>
      <c r="C1668" s="169">
        <v>14</v>
      </c>
      <c r="D1668" s="169"/>
      <c r="E1668" s="169" t="s">
        <v>1497</v>
      </c>
      <c r="F1668" s="180">
        <v>11</v>
      </c>
      <c r="G1668" s="179">
        <v>6911</v>
      </c>
      <c r="H1668" s="394">
        <v>4716</v>
      </c>
      <c r="I1668" s="394">
        <f t="shared" si="406"/>
        <v>7.5062943134133988</v>
      </c>
      <c r="J1668" s="394">
        <f t="shared" si="407"/>
        <v>18.506294313413399</v>
      </c>
      <c r="K1668" s="492">
        <v>0.3</v>
      </c>
      <c r="L1668" s="394">
        <f t="shared" si="409"/>
        <v>24.058182607437416</v>
      </c>
      <c r="M1668" s="180">
        <v>35</v>
      </c>
      <c r="N1668" s="525"/>
      <c r="O1668" s="361"/>
      <c r="P1668" s="169"/>
      <c r="Q1668" s="838"/>
      <c r="R1668" s="580"/>
      <c r="S1668" s="169"/>
      <c r="T1668" s="169"/>
    </row>
    <row r="1669" spans="1:20" s="393" customFormat="1" ht="15.75" hidden="1" outlineLevel="1" x14ac:dyDescent="0.25">
      <c r="A1669" s="158" t="s">
        <v>904</v>
      </c>
      <c r="B1669" s="169"/>
      <c r="C1669" s="169">
        <v>15</v>
      </c>
      <c r="D1669" s="169"/>
      <c r="E1669" s="699" t="s">
        <v>915</v>
      </c>
      <c r="F1669" s="700">
        <v>11</v>
      </c>
      <c r="G1669" s="509">
        <v>6911</v>
      </c>
      <c r="H1669" s="493">
        <v>4716</v>
      </c>
      <c r="I1669" s="493">
        <f t="shared" si="406"/>
        <v>7.5062943134133988</v>
      </c>
      <c r="J1669" s="493">
        <f t="shared" si="407"/>
        <v>18.506294313413399</v>
      </c>
      <c r="K1669" s="692">
        <v>0.3</v>
      </c>
      <c r="L1669" s="493">
        <f t="shared" si="409"/>
        <v>24.058182607437416</v>
      </c>
      <c r="M1669" s="700">
        <v>35</v>
      </c>
      <c r="N1669" s="525"/>
      <c r="O1669" s="361"/>
      <c r="P1669" s="169" t="s">
        <v>1901</v>
      </c>
      <c r="Q1669" s="838">
        <v>45315</v>
      </c>
      <c r="R1669" s="580">
        <f>+M1669*7000</f>
        <v>245000</v>
      </c>
      <c r="S1669" s="169"/>
      <c r="T1669" s="169"/>
    </row>
    <row r="1670" spans="1:20" s="395" customFormat="1" ht="15.75" outlineLevel="1" x14ac:dyDescent="0.25">
      <c r="D1670" s="500"/>
      <c r="E1670" s="393" t="s">
        <v>1452</v>
      </c>
      <c r="F1670" s="394"/>
      <c r="G1670" s="179"/>
      <c r="H1670" s="394"/>
      <c r="I1670" s="394"/>
      <c r="J1670" s="394"/>
      <c r="K1670" s="492"/>
      <c r="L1670" s="394"/>
      <c r="M1670" s="394"/>
      <c r="N1670" s="504"/>
      <c r="Q1670" s="833"/>
      <c r="R1670" s="396"/>
    </row>
    <row r="1671" spans="1:20" s="178" customFormat="1" ht="15.75" x14ac:dyDescent="0.25">
      <c r="A1671" s="225"/>
      <c r="B1671" s="178" t="s">
        <v>1523</v>
      </c>
      <c r="C1671" s="169">
        <v>16</v>
      </c>
      <c r="E1671" s="178" t="s">
        <v>1756</v>
      </c>
      <c r="F1671" s="226">
        <v>8</v>
      </c>
      <c r="G1671" s="178">
        <v>6066</v>
      </c>
      <c r="H1671" s="226">
        <v>6015</v>
      </c>
      <c r="I1671" s="394">
        <f t="shared" ref="I1671:I1676" si="410">+F1671/G1671*H1671</f>
        <v>7.9327398615232445</v>
      </c>
      <c r="J1671" s="394">
        <f t="shared" ref="J1671:J1676" si="411">+F1671+I1671</f>
        <v>15.932739861523245</v>
      </c>
      <c r="K1671" s="492">
        <v>0.3</v>
      </c>
      <c r="L1671" s="394">
        <f t="shared" ref="L1671:L1676" si="412">+J1671*K1671+J1671</f>
        <v>20.71256181998022</v>
      </c>
      <c r="M1671" s="394">
        <v>35</v>
      </c>
      <c r="N1671" s="504"/>
      <c r="O1671" s="590"/>
      <c r="Q1671" s="836"/>
      <c r="R1671" s="914"/>
    </row>
    <row r="1672" spans="1:20" s="178" customFormat="1" ht="15.75" x14ac:dyDescent="0.25">
      <c r="A1672" s="225"/>
      <c r="B1672" s="178" t="s">
        <v>1523</v>
      </c>
      <c r="C1672" s="169">
        <v>17</v>
      </c>
      <c r="E1672" s="178" t="s">
        <v>812</v>
      </c>
      <c r="F1672" s="226">
        <v>8</v>
      </c>
      <c r="G1672" s="178">
        <v>6066</v>
      </c>
      <c r="H1672" s="226">
        <v>6015</v>
      </c>
      <c r="I1672" s="394">
        <f t="shared" si="410"/>
        <v>7.9327398615232445</v>
      </c>
      <c r="J1672" s="394">
        <f t="shared" si="411"/>
        <v>15.932739861523245</v>
      </c>
      <c r="K1672" s="492">
        <v>0.3</v>
      </c>
      <c r="L1672" s="394">
        <f t="shared" si="412"/>
        <v>20.71256181998022</v>
      </c>
      <c r="M1672" s="394">
        <v>35</v>
      </c>
      <c r="N1672" s="504"/>
      <c r="O1672" s="590"/>
      <c r="Q1672" s="836"/>
      <c r="R1672" s="914"/>
    </row>
    <row r="1673" spans="1:20" s="178" customFormat="1" ht="15.75" hidden="1" x14ac:dyDescent="0.25">
      <c r="A1673" s="225"/>
      <c r="B1673" s="178" t="s">
        <v>1523</v>
      </c>
      <c r="C1673" s="169">
        <v>18</v>
      </c>
      <c r="E1673" s="213" t="s">
        <v>1757</v>
      </c>
      <c r="F1673" s="232">
        <v>8</v>
      </c>
      <c r="G1673" s="213">
        <v>6066</v>
      </c>
      <c r="H1673" s="232">
        <v>6015</v>
      </c>
      <c r="I1673" s="493">
        <f t="shared" si="410"/>
        <v>7.9327398615232445</v>
      </c>
      <c r="J1673" s="493">
        <f t="shared" si="411"/>
        <v>15.932739861523245</v>
      </c>
      <c r="K1673" s="692">
        <v>0.3</v>
      </c>
      <c r="L1673" s="493">
        <f t="shared" si="412"/>
        <v>20.71256181998022</v>
      </c>
      <c r="M1673" s="493">
        <v>35</v>
      </c>
      <c r="N1673" s="504"/>
      <c r="O1673" s="590"/>
      <c r="P1673" s="178" t="s">
        <v>12</v>
      </c>
      <c r="Q1673" s="836">
        <v>45318</v>
      </c>
      <c r="R1673" s="914">
        <f>+M1673*7000</f>
        <v>245000</v>
      </c>
    </row>
    <row r="1674" spans="1:20" s="178" customFormat="1" ht="15.75" x14ac:dyDescent="0.25">
      <c r="A1674" s="225"/>
      <c r="B1674" s="178" t="s">
        <v>1523</v>
      </c>
      <c r="C1674" s="169">
        <v>19</v>
      </c>
      <c r="E1674" s="178" t="s">
        <v>1757</v>
      </c>
      <c r="F1674" s="226">
        <v>8</v>
      </c>
      <c r="G1674" s="178">
        <v>6066</v>
      </c>
      <c r="H1674" s="226">
        <v>6015</v>
      </c>
      <c r="I1674" s="394">
        <f t="shared" si="410"/>
        <v>7.9327398615232445</v>
      </c>
      <c r="J1674" s="394">
        <f t="shared" si="411"/>
        <v>15.932739861523245</v>
      </c>
      <c r="K1674" s="492">
        <v>0.3</v>
      </c>
      <c r="L1674" s="394">
        <f t="shared" si="412"/>
        <v>20.71256181998022</v>
      </c>
      <c r="M1674" s="394">
        <v>35</v>
      </c>
      <c r="N1674" s="504"/>
      <c r="O1674" s="590"/>
      <c r="Q1674" s="836"/>
      <c r="R1674" s="914"/>
    </row>
    <row r="1675" spans="1:20" s="178" customFormat="1" ht="15.75" hidden="1" x14ac:dyDescent="0.25">
      <c r="A1675" s="225"/>
      <c r="B1675" s="178" t="s">
        <v>1523</v>
      </c>
      <c r="C1675" s="169">
        <v>20</v>
      </c>
      <c r="E1675" s="213" t="s">
        <v>1758</v>
      </c>
      <c r="F1675" s="232">
        <v>8</v>
      </c>
      <c r="G1675" s="213">
        <v>6066</v>
      </c>
      <c r="H1675" s="232">
        <v>6015</v>
      </c>
      <c r="I1675" s="493">
        <f t="shared" si="410"/>
        <v>7.9327398615232445</v>
      </c>
      <c r="J1675" s="493">
        <f t="shared" si="411"/>
        <v>15.932739861523245</v>
      </c>
      <c r="K1675" s="692">
        <v>0.3</v>
      </c>
      <c r="L1675" s="493">
        <f t="shared" si="412"/>
        <v>20.71256181998022</v>
      </c>
      <c r="M1675" s="493">
        <v>35</v>
      </c>
      <c r="N1675" s="504"/>
      <c r="O1675" s="590"/>
      <c r="P1675" s="178" t="s">
        <v>12</v>
      </c>
      <c r="Q1675" s="836">
        <v>45372</v>
      </c>
      <c r="R1675" s="914">
        <f>+M1675*20000</f>
        <v>700000</v>
      </c>
    </row>
    <row r="1676" spans="1:20" s="178" customFormat="1" ht="15.75" hidden="1" x14ac:dyDescent="0.25">
      <c r="A1676" s="225"/>
      <c r="C1676" s="169">
        <v>21</v>
      </c>
      <c r="E1676" s="213" t="s">
        <v>1759</v>
      </c>
      <c r="F1676" s="232">
        <v>8</v>
      </c>
      <c r="G1676" s="213">
        <v>6066</v>
      </c>
      <c r="H1676" s="232">
        <v>6015</v>
      </c>
      <c r="I1676" s="493">
        <f t="shared" si="410"/>
        <v>7.9327398615232445</v>
      </c>
      <c r="J1676" s="493">
        <f t="shared" si="411"/>
        <v>15.932739861523245</v>
      </c>
      <c r="K1676" s="692">
        <v>0.3</v>
      </c>
      <c r="L1676" s="493">
        <f t="shared" si="412"/>
        <v>20.71256181998022</v>
      </c>
      <c r="M1676" s="493">
        <v>35</v>
      </c>
      <c r="N1676" s="504"/>
      <c r="O1676" s="590"/>
      <c r="P1676" s="178" t="s">
        <v>12</v>
      </c>
      <c r="Q1676" s="836">
        <v>45318</v>
      </c>
      <c r="R1676" s="914">
        <f>+M1676*7000</f>
        <v>245000</v>
      </c>
    </row>
    <row r="1677" spans="1:20" s="178" customFormat="1" ht="15.75" x14ac:dyDescent="0.25">
      <c r="A1677" s="225"/>
      <c r="E1677" s="225" t="s">
        <v>1694</v>
      </c>
      <c r="F1677" s="226"/>
      <c r="H1677" s="226"/>
      <c r="I1677" s="394"/>
      <c r="J1677" s="394"/>
      <c r="K1677" s="492"/>
      <c r="L1677" s="394"/>
      <c r="M1677" s="394"/>
      <c r="N1677" s="504"/>
      <c r="Q1677" s="836"/>
      <c r="R1677" s="914"/>
    </row>
    <row r="1678" spans="1:20" s="178" customFormat="1" x14ac:dyDescent="0.25">
      <c r="B1678" s="319" t="s">
        <v>775</v>
      </c>
      <c r="C1678" s="178">
        <v>22</v>
      </c>
      <c r="D1678" s="656"/>
      <c r="E1678" s="628" t="s">
        <v>656</v>
      </c>
      <c r="F1678" s="175">
        <v>8</v>
      </c>
      <c r="G1678" s="226">
        <v>3687</v>
      </c>
      <c r="H1678" s="226">
        <v>3582</v>
      </c>
      <c r="I1678" s="174">
        <f t="shared" ref="I1678:I1688" si="413">+F1678/G1678*H1678</f>
        <v>7.7721724979658262</v>
      </c>
      <c r="J1678" s="174">
        <f t="shared" ref="J1678:J1688" si="414">+F1678+I1678</f>
        <v>15.772172497965826</v>
      </c>
      <c r="K1678" s="316">
        <v>1.4</v>
      </c>
      <c r="L1678" s="174">
        <f t="shared" ref="L1678:L1688" si="415">+J1678*1.4</f>
        <v>22.081041497152157</v>
      </c>
      <c r="M1678" s="226">
        <v>35</v>
      </c>
      <c r="N1678" s="631"/>
      <c r="O1678" s="590"/>
      <c r="P1678" s="229"/>
      <c r="Q1678" s="836"/>
      <c r="R1678" s="914"/>
    </row>
    <row r="1679" spans="1:20" s="178" customFormat="1" x14ac:dyDescent="0.25">
      <c r="B1679" s="319" t="s">
        <v>775</v>
      </c>
      <c r="C1679" s="178">
        <v>23</v>
      </c>
      <c r="D1679" s="656"/>
      <c r="E1679" s="628" t="s">
        <v>656</v>
      </c>
      <c r="F1679" s="175">
        <v>8</v>
      </c>
      <c r="G1679" s="226">
        <v>3687</v>
      </c>
      <c r="H1679" s="226">
        <v>3582</v>
      </c>
      <c r="I1679" s="174">
        <f t="shared" si="413"/>
        <v>7.7721724979658262</v>
      </c>
      <c r="J1679" s="174">
        <f t="shared" si="414"/>
        <v>15.772172497965826</v>
      </c>
      <c r="K1679" s="316">
        <v>1.4</v>
      </c>
      <c r="L1679" s="174">
        <f t="shared" si="415"/>
        <v>22.081041497152157</v>
      </c>
      <c r="M1679" s="226">
        <v>35</v>
      </c>
      <c r="N1679" s="631"/>
      <c r="O1679" s="590"/>
      <c r="P1679" s="229"/>
      <c r="Q1679" s="836"/>
      <c r="R1679" s="914"/>
    </row>
    <row r="1680" spans="1:20" s="178" customFormat="1" x14ac:dyDescent="0.25">
      <c r="B1680" s="319" t="s">
        <v>775</v>
      </c>
      <c r="C1680" s="178">
        <v>24</v>
      </c>
      <c r="D1680" s="656"/>
      <c r="E1680" s="628" t="s">
        <v>656</v>
      </c>
      <c r="F1680" s="175">
        <v>8</v>
      </c>
      <c r="G1680" s="226">
        <v>3687</v>
      </c>
      <c r="H1680" s="226">
        <v>3582</v>
      </c>
      <c r="I1680" s="174">
        <f t="shared" si="413"/>
        <v>7.7721724979658262</v>
      </c>
      <c r="J1680" s="174">
        <f t="shared" si="414"/>
        <v>15.772172497965826</v>
      </c>
      <c r="K1680" s="316">
        <v>1.4</v>
      </c>
      <c r="L1680" s="174">
        <f t="shared" si="415"/>
        <v>22.081041497152157</v>
      </c>
      <c r="M1680" s="226">
        <v>35</v>
      </c>
      <c r="N1680" s="631"/>
      <c r="O1680" s="590"/>
      <c r="P1680" s="229"/>
      <c r="Q1680" s="836"/>
      <c r="R1680" s="914"/>
    </row>
    <row r="1681" spans="1:20" s="178" customFormat="1" hidden="1" x14ac:dyDescent="0.25">
      <c r="B1681" s="319" t="s">
        <v>775</v>
      </c>
      <c r="C1681" s="178">
        <v>25</v>
      </c>
      <c r="D1681" s="656"/>
      <c r="E1681" s="708" t="s">
        <v>1155</v>
      </c>
      <c r="F1681" s="698">
        <v>8</v>
      </c>
      <c r="G1681" s="232">
        <v>3687</v>
      </c>
      <c r="H1681" s="232">
        <v>3582</v>
      </c>
      <c r="I1681" s="611">
        <f t="shared" si="413"/>
        <v>7.7721724979658262</v>
      </c>
      <c r="J1681" s="611">
        <f t="shared" si="414"/>
        <v>15.772172497965826</v>
      </c>
      <c r="K1681" s="612">
        <v>1.4</v>
      </c>
      <c r="L1681" s="611">
        <f t="shared" si="415"/>
        <v>22.081041497152157</v>
      </c>
      <c r="M1681" s="232">
        <v>35</v>
      </c>
      <c r="N1681" s="631"/>
      <c r="O1681" s="590"/>
      <c r="P1681" s="229" t="s">
        <v>2333</v>
      </c>
      <c r="Q1681" s="836">
        <v>45392</v>
      </c>
      <c r="R1681" s="914">
        <f>+M1681*36000</f>
        <v>1260000</v>
      </c>
    </row>
    <row r="1682" spans="1:20" s="178" customFormat="1" hidden="1" x14ac:dyDescent="0.25">
      <c r="B1682" s="319" t="s">
        <v>775</v>
      </c>
      <c r="C1682" s="178">
        <v>26</v>
      </c>
      <c r="D1682" s="656"/>
      <c r="E1682" s="708" t="s">
        <v>1155</v>
      </c>
      <c r="F1682" s="698">
        <v>8</v>
      </c>
      <c r="G1682" s="232">
        <v>3687</v>
      </c>
      <c r="H1682" s="232">
        <v>3582</v>
      </c>
      <c r="I1682" s="611">
        <f t="shared" si="413"/>
        <v>7.7721724979658262</v>
      </c>
      <c r="J1682" s="611">
        <f t="shared" si="414"/>
        <v>15.772172497965826</v>
      </c>
      <c r="K1682" s="612">
        <v>1.4</v>
      </c>
      <c r="L1682" s="611">
        <f t="shared" si="415"/>
        <v>22.081041497152157</v>
      </c>
      <c r="M1682" s="232">
        <v>35</v>
      </c>
      <c r="N1682" s="631"/>
      <c r="O1682" s="590"/>
      <c r="P1682" s="229" t="s">
        <v>12</v>
      </c>
      <c r="Q1682" s="836">
        <v>45402</v>
      </c>
      <c r="R1682" s="914">
        <f>+M1682*36000</f>
        <v>1260000</v>
      </c>
    </row>
    <row r="1683" spans="1:20" s="178" customFormat="1" hidden="1" x14ac:dyDescent="0.25">
      <c r="B1683" s="319" t="s">
        <v>775</v>
      </c>
      <c r="C1683" s="178">
        <v>27</v>
      </c>
      <c r="D1683" s="656"/>
      <c r="E1683" s="708" t="s">
        <v>1155</v>
      </c>
      <c r="F1683" s="698">
        <v>8</v>
      </c>
      <c r="G1683" s="232">
        <v>3687</v>
      </c>
      <c r="H1683" s="232">
        <v>3582</v>
      </c>
      <c r="I1683" s="611">
        <f t="shared" si="413"/>
        <v>7.7721724979658262</v>
      </c>
      <c r="J1683" s="611">
        <f t="shared" si="414"/>
        <v>15.772172497965826</v>
      </c>
      <c r="K1683" s="612">
        <v>1.4</v>
      </c>
      <c r="L1683" s="611">
        <f t="shared" si="415"/>
        <v>22.081041497152157</v>
      </c>
      <c r="M1683" s="232">
        <v>35</v>
      </c>
      <c r="N1683" s="631"/>
      <c r="O1683" s="590"/>
      <c r="P1683" s="229" t="s">
        <v>12</v>
      </c>
      <c r="Q1683" s="836">
        <v>45402</v>
      </c>
      <c r="R1683" s="914">
        <f>+M1683*36000</f>
        <v>1260000</v>
      </c>
    </row>
    <row r="1684" spans="1:20" s="178" customFormat="1" x14ac:dyDescent="0.25">
      <c r="B1684" s="319" t="s">
        <v>775</v>
      </c>
      <c r="C1684" s="178">
        <v>28</v>
      </c>
      <c r="D1684" s="656"/>
      <c r="E1684" s="708" t="s">
        <v>1155</v>
      </c>
      <c r="F1684" s="698">
        <v>8</v>
      </c>
      <c r="G1684" s="232">
        <v>3687</v>
      </c>
      <c r="H1684" s="232">
        <v>3582</v>
      </c>
      <c r="I1684" s="611">
        <f t="shared" si="413"/>
        <v>7.7721724979658262</v>
      </c>
      <c r="J1684" s="611">
        <f t="shared" si="414"/>
        <v>15.772172497965826</v>
      </c>
      <c r="K1684" s="612">
        <v>1.4</v>
      </c>
      <c r="L1684" s="611">
        <f t="shared" si="415"/>
        <v>22.081041497152157</v>
      </c>
      <c r="M1684" s="232">
        <v>35</v>
      </c>
      <c r="N1684" s="631"/>
      <c r="O1684" s="590"/>
      <c r="P1684" s="229" t="s">
        <v>2267</v>
      </c>
      <c r="Q1684" s="836">
        <v>45411</v>
      </c>
      <c r="R1684" s="914"/>
    </row>
    <row r="1685" spans="1:20" s="178" customFormat="1" x14ac:dyDescent="0.25">
      <c r="B1685" s="319" t="s">
        <v>775</v>
      </c>
      <c r="C1685" s="178">
        <v>29</v>
      </c>
      <c r="D1685" s="656"/>
      <c r="E1685" s="628" t="s">
        <v>1209</v>
      </c>
      <c r="F1685" s="175">
        <v>8</v>
      </c>
      <c r="G1685" s="226">
        <v>3687</v>
      </c>
      <c r="H1685" s="226">
        <v>3582</v>
      </c>
      <c r="I1685" s="174">
        <f t="shared" si="413"/>
        <v>7.7721724979658262</v>
      </c>
      <c r="J1685" s="174">
        <f t="shared" si="414"/>
        <v>15.772172497965826</v>
      </c>
      <c r="K1685" s="316">
        <v>1.4</v>
      </c>
      <c r="L1685" s="174">
        <f t="shared" si="415"/>
        <v>22.081041497152157</v>
      </c>
      <c r="M1685" s="226">
        <v>35</v>
      </c>
      <c r="N1685" s="631"/>
      <c r="O1685" s="590"/>
      <c r="P1685" s="229"/>
      <c r="Q1685" s="836"/>
      <c r="R1685" s="914"/>
    </row>
    <row r="1686" spans="1:20" s="178" customFormat="1" x14ac:dyDescent="0.25">
      <c r="B1686" s="319" t="s">
        <v>775</v>
      </c>
      <c r="C1686" s="178">
        <v>30</v>
      </c>
      <c r="D1686" s="656"/>
      <c r="E1686" s="628" t="s">
        <v>1755</v>
      </c>
      <c r="F1686" s="175">
        <v>8</v>
      </c>
      <c r="G1686" s="226">
        <v>3687</v>
      </c>
      <c r="H1686" s="226">
        <v>3582</v>
      </c>
      <c r="I1686" s="174">
        <f t="shared" si="413"/>
        <v>7.7721724979658262</v>
      </c>
      <c r="J1686" s="174">
        <f t="shared" si="414"/>
        <v>15.772172497965826</v>
      </c>
      <c r="K1686" s="316">
        <v>1.4</v>
      </c>
      <c r="L1686" s="174">
        <f t="shared" si="415"/>
        <v>22.081041497152157</v>
      </c>
      <c r="M1686" s="226">
        <v>35</v>
      </c>
      <c r="N1686" s="631"/>
      <c r="O1686" s="590"/>
      <c r="Q1686" s="836"/>
      <c r="R1686" s="914"/>
    </row>
    <row r="1687" spans="1:20" s="178" customFormat="1" x14ac:dyDescent="0.25">
      <c r="B1687" s="319" t="s">
        <v>775</v>
      </c>
      <c r="C1687" s="178">
        <v>31</v>
      </c>
      <c r="D1687" s="656"/>
      <c r="E1687" s="628" t="s">
        <v>1754</v>
      </c>
      <c r="F1687" s="175">
        <v>8</v>
      </c>
      <c r="G1687" s="226">
        <v>3687</v>
      </c>
      <c r="H1687" s="226">
        <v>3582</v>
      </c>
      <c r="I1687" s="174">
        <f t="shared" si="413"/>
        <v>7.7721724979658262</v>
      </c>
      <c r="J1687" s="174">
        <f t="shared" si="414"/>
        <v>15.772172497965826</v>
      </c>
      <c r="K1687" s="316">
        <v>1.4</v>
      </c>
      <c r="L1687" s="174">
        <f t="shared" si="415"/>
        <v>22.081041497152157</v>
      </c>
      <c r="M1687" s="226">
        <v>35</v>
      </c>
      <c r="N1687" s="631"/>
      <c r="O1687" s="590"/>
      <c r="P1687" s="229"/>
      <c r="Q1687" s="836"/>
      <c r="R1687" s="914"/>
    </row>
    <row r="1688" spans="1:20" s="178" customFormat="1" x14ac:dyDescent="0.25">
      <c r="B1688" s="319" t="s">
        <v>775</v>
      </c>
      <c r="C1688" s="178">
        <v>32</v>
      </c>
      <c r="D1688" s="656"/>
      <c r="E1688" s="628" t="s">
        <v>1670</v>
      </c>
      <c r="F1688" s="175">
        <v>8</v>
      </c>
      <c r="G1688" s="226">
        <v>3687</v>
      </c>
      <c r="H1688" s="226">
        <v>3582</v>
      </c>
      <c r="I1688" s="174">
        <f t="shared" si="413"/>
        <v>7.7721724979658262</v>
      </c>
      <c r="J1688" s="174">
        <f t="shared" si="414"/>
        <v>15.772172497965826</v>
      </c>
      <c r="K1688" s="316">
        <v>1.4</v>
      </c>
      <c r="L1688" s="174">
        <f t="shared" si="415"/>
        <v>22.081041497152157</v>
      </c>
      <c r="M1688" s="226">
        <v>35</v>
      </c>
      <c r="N1688" s="631"/>
      <c r="O1688" s="590"/>
      <c r="P1688" s="229"/>
      <c r="Q1688" s="836"/>
      <c r="R1688" s="914"/>
    </row>
    <row r="1689" spans="1:20" s="395" customFormat="1" ht="15.75" outlineLevel="1" x14ac:dyDescent="0.25">
      <c r="A1689" s="154"/>
      <c r="C1689" s="500"/>
      <c r="D1689" s="500"/>
      <c r="E1689" s="393" t="s">
        <v>176</v>
      </c>
      <c r="F1689" s="150">
        <f t="shared" ref="F1689:M1689" si="416">SUM(F1652:F1669)</f>
        <v>140</v>
      </c>
      <c r="G1689" s="150">
        <f t="shared" si="416"/>
        <v>86803</v>
      </c>
      <c r="H1689" s="150">
        <f t="shared" si="416"/>
        <v>110433</v>
      </c>
      <c r="I1689" s="150">
        <f t="shared" si="416"/>
        <v>156.45320102503305</v>
      </c>
      <c r="J1689" s="150">
        <f t="shared" si="416"/>
        <v>289.45320102503302</v>
      </c>
      <c r="K1689" s="150">
        <f t="shared" si="416"/>
        <v>4.1999999999999993</v>
      </c>
      <c r="L1689" s="150">
        <f t="shared" si="416"/>
        <v>376.2891613325429</v>
      </c>
      <c r="M1689" s="150">
        <f t="shared" si="416"/>
        <v>505</v>
      </c>
      <c r="N1689" s="404"/>
      <c r="P1689" s="150"/>
      <c r="Q1689" s="854"/>
      <c r="R1689" s="915"/>
      <c r="S1689" s="11"/>
      <c r="T1689" s="11"/>
    </row>
    <row r="1690" spans="1:20" s="169" customFormat="1" ht="15.75" x14ac:dyDescent="0.25">
      <c r="A1690" s="154"/>
      <c r="B1690" s="395">
        <v>2022</v>
      </c>
      <c r="C1690" s="500">
        <v>72</v>
      </c>
      <c r="D1690" s="500">
        <v>-44</v>
      </c>
      <c r="E1690" s="393">
        <f>+C1690+D1690</f>
        <v>28</v>
      </c>
      <c r="F1690" s="167"/>
      <c r="G1690" s="167"/>
      <c r="H1690" s="167"/>
      <c r="I1690" s="167"/>
      <c r="J1690" s="167"/>
      <c r="K1690" s="167"/>
      <c r="L1690" s="394"/>
      <c r="M1690" s="167"/>
      <c r="N1690" s="404"/>
      <c r="O1690" s="395"/>
      <c r="P1690" s="167"/>
      <c r="Q1690" s="853"/>
      <c r="R1690" s="926"/>
      <c r="S1690" s="149"/>
      <c r="T1690" s="149"/>
    </row>
    <row r="1691" spans="1:20" s="169" customFormat="1" ht="15.75" x14ac:dyDescent="0.25">
      <c r="A1691" s="393"/>
      <c r="B1691" s="395">
        <v>2023</v>
      </c>
      <c r="C1691" s="395"/>
      <c r="D1691" s="395"/>
      <c r="E1691" s="395">
        <v>32</v>
      </c>
      <c r="F1691" s="394"/>
      <c r="G1691" s="179"/>
      <c r="H1691" s="394"/>
      <c r="I1691" s="394"/>
      <c r="J1691" s="394"/>
      <c r="K1691" s="492"/>
      <c r="L1691" s="394"/>
      <c r="M1691" s="394"/>
      <c r="N1691" s="504"/>
      <c r="O1691" s="395"/>
      <c r="P1691" s="395"/>
      <c r="Q1691" s="833"/>
      <c r="R1691" s="396"/>
      <c r="S1691" s="395"/>
      <c r="T1691" s="395"/>
    </row>
    <row r="1692" spans="1:20" s="169" customFormat="1" ht="15.75" x14ac:dyDescent="0.25">
      <c r="A1692" s="154" t="s">
        <v>161</v>
      </c>
      <c r="B1692" s="393" t="s">
        <v>161</v>
      </c>
      <c r="C1692" s="500"/>
      <c r="D1692" s="500"/>
      <c r="E1692" s="395"/>
      <c r="F1692" s="258"/>
      <c r="G1692" s="160"/>
      <c r="H1692" s="160"/>
      <c r="I1692" s="258"/>
      <c r="J1692" s="258"/>
      <c r="K1692" s="344"/>
      <c r="L1692" s="394">
        <f>+J1692*K1692+J1692</f>
        <v>0</v>
      </c>
      <c r="M1692" s="258"/>
      <c r="N1692" s="504"/>
      <c r="O1692" s="395"/>
      <c r="P1692" s="160"/>
      <c r="Q1692" s="834"/>
      <c r="R1692" s="913"/>
      <c r="S1692" s="11"/>
      <c r="T1692" s="11"/>
    </row>
    <row r="1693" spans="1:20" s="169" customFormat="1" ht="15.75" x14ac:dyDescent="0.25">
      <c r="A1693" s="393"/>
      <c r="B1693" s="393"/>
      <c r="C1693" s="395"/>
      <c r="D1693" s="393"/>
      <c r="E1693" s="393" t="s">
        <v>566</v>
      </c>
      <c r="F1693" s="167"/>
      <c r="G1693" s="179"/>
      <c r="H1693" s="394"/>
      <c r="I1693" s="394"/>
      <c r="J1693" s="394"/>
      <c r="K1693" s="491"/>
      <c r="L1693" s="394">
        <f>+J1693*K1693+J1693</f>
        <v>0</v>
      </c>
      <c r="M1693" s="167"/>
      <c r="N1693" s="404"/>
      <c r="O1693" s="393"/>
      <c r="P1693" s="393"/>
      <c r="Q1693" s="850"/>
      <c r="R1693" s="930"/>
      <c r="S1693" s="393"/>
      <c r="T1693" s="393"/>
    </row>
    <row r="1694" spans="1:20" s="337" customFormat="1" ht="15.75" x14ac:dyDescent="0.25">
      <c r="A1694" s="393"/>
      <c r="B1694" s="393" t="s">
        <v>681</v>
      </c>
      <c r="C1694" s="395"/>
      <c r="D1694" s="395"/>
      <c r="E1694" s="395"/>
      <c r="F1694" s="394"/>
      <c r="G1694" s="179"/>
      <c r="H1694" s="394"/>
      <c r="I1694" s="394"/>
      <c r="J1694" s="394"/>
      <c r="K1694" s="491"/>
      <c r="L1694" s="394">
        <f>+J1694*K1694+J1694</f>
        <v>0</v>
      </c>
      <c r="M1694" s="394"/>
      <c r="N1694" s="504"/>
      <c r="O1694" s="395"/>
      <c r="P1694" s="395"/>
      <c r="Q1694" s="833"/>
      <c r="R1694" s="396"/>
      <c r="S1694" s="395"/>
      <c r="T1694" s="395"/>
    </row>
    <row r="1695" spans="1:20" s="337" customFormat="1" ht="15.75" x14ac:dyDescent="0.25">
      <c r="A1695" s="169"/>
      <c r="B1695" s="331" t="s">
        <v>1375</v>
      </c>
      <c r="C1695" s="337">
        <v>1</v>
      </c>
      <c r="D1695" s="337" t="s">
        <v>504</v>
      </c>
      <c r="E1695" s="704" t="s">
        <v>1207</v>
      </c>
      <c r="F1695" s="695">
        <v>3</v>
      </c>
      <c r="G1695" s="705">
        <v>8267</v>
      </c>
      <c r="H1695" s="695">
        <v>7400</v>
      </c>
      <c r="I1695" s="695">
        <f t="shared" ref="I1695:I1700" si="417">+F1695/G1695*H1695</f>
        <v>2.6853755896939639</v>
      </c>
      <c r="J1695" s="695">
        <f t="shared" ref="J1695:J1700" si="418">+F1695+I1695</f>
        <v>5.6853755896939635</v>
      </c>
      <c r="K1695" s="706">
        <v>0.3</v>
      </c>
      <c r="L1695" s="695">
        <f t="shared" ref="L1695:L1700" si="419">+J1695*1.3</f>
        <v>7.3909882666021529</v>
      </c>
      <c r="M1695" s="707">
        <v>10</v>
      </c>
      <c r="N1695" s="675"/>
      <c r="O1695" s="361"/>
      <c r="P1695" s="169" t="s">
        <v>12</v>
      </c>
      <c r="Q1695" s="835">
        <v>45315</v>
      </c>
      <c r="R1695" s="580">
        <f>+M1695*7000</f>
        <v>70000</v>
      </c>
    </row>
    <row r="1696" spans="1:20" ht="15" customHeight="1" x14ac:dyDescent="0.25">
      <c r="A1696" s="169"/>
      <c r="B1696" s="331" t="s">
        <v>1375</v>
      </c>
      <c r="C1696" s="337">
        <v>2</v>
      </c>
      <c r="D1696" s="337" t="s">
        <v>504</v>
      </c>
      <c r="E1696" s="337" t="s">
        <v>1207</v>
      </c>
      <c r="F1696" s="338">
        <v>3</v>
      </c>
      <c r="G1696" s="339">
        <v>8267</v>
      </c>
      <c r="H1696" s="338">
        <v>7400</v>
      </c>
      <c r="I1696" s="338">
        <f t="shared" si="417"/>
        <v>2.6853755896939639</v>
      </c>
      <c r="J1696" s="338">
        <f t="shared" si="418"/>
        <v>5.6853755896939635</v>
      </c>
      <c r="K1696" s="340">
        <v>0.3</v>
      </c>
      <c r="L1696" s="338">
        <f t="shared" si="419"/>
        <v>7.3909882666021529</v>
      </c>
      <c r="M1696" s="341">
        <v>10</v>
      </c>
      <c r="N1696" s="675"/>
      <c r="O1696" s="361"/>
      <c r="P1696" s="169"/>
      <c r="Q1696" s="835"/>
      <c r="R1696" s="580"/>
      <c r="S1696" s="337"/>
      <c r="T1696" s="337"/>
    </row>
    <row r="1697" spans="1:20" ht="15" customHeight="1" x14ac:dyDescent="0.25">
      <c r="A1697" s="169"/>
      <c r="B1697" s="331" t="s">
        <v>1375</v>
      </c>
      <c r="C1697" s="337">
        <v>3</v>
      </c>
      <c r="D1697" s="337" t="s">
        <v>504</v>
      </c>
      <c r="E1697" s="337" t="s">
        <v>1207</v>
      </c>
      <c r="F1697" s="338">
        <v>3</v>
      </c>
      <c r="G1697" s="339">
        <v>8267</v>
      </c>
      <c r="H1697" s="338">
        <v>7400</v>
      </c>
      <c r="I1697" s="338">
        <f t="shared" si="417"/>
        <v>2.6853755896939639</v>
      </c>
      <c r="J1697" s="338">
        <f t="shared" si="418"/>
        <v>5.6853755896939635</v>
      </c>
      <c r="K1697" s="340">
        <v>0.3</v>
      </c>
      <c r="L1697" s="338">
        <f t="shared" si="419"/>
        <v>7.3909882666021529</v>
      </c>
      <c r="M1697" s="341">
        <v>10</v>
      </c>
      <c r="N1697" s="675"/>
      <c r="O1697" s="361"/>
      <c r="P1697" s="169"/>
      <c r="Q1697" s="835"/>
      <c r="R1697" s="580"/>
      <c r="S1697" s="337"/>
      <c r="T1697" s="337"/>
    </row>
    <row r="1698" spans="1:20" ht="15" customHeight="1" x14ac:dyDescent="0.25">
      <c r="A1698" s="169"/>
      <c r="B1698" s="331" t="s">
        <v>1375</v>
      </c>
      <c r="C1698" s="337">
        <v>4</v>
      </c>
      <c r="D1698" s="337" t="s">
        <v>504</v>
      </c>
      <c r="E1698" s="337" t="s">
        <v>1207</v>
      </c>
      <c r="F1698" s="338">
        <v>3</v>
      </c>
      <c r="G1698" s="339">
        <v>8267</v>
      </c>
      <c r="H1698" s="338">
        <v>7400</v>
      </c>
      <c r="I1698" s="338">
        <f t="shared" si="417"/>
        <v>2.6853755896939639</v>
      </c>
      <c r="J1698" s="338">
        <f t="shared" si="418"/>
        <v>5.6853755896939635</v>
      </c>
      <c r="K1698" s="340">
        <v>0.3</v>
      </c>
      <c r="L1698" s="338">
        <f t="shared" si="419"/>
        <v>7.3909882666021529</v>
      </c>
      <c r="M1698" s="341">
        <v>10</v>
      </c>
      <c r="N1698" s="675"/>
      <c r="O1698" s="361"/>
      <c r="P1698" s="169"/>
      <c r="Q1698" s="835"/>
      <c r="R1698" s="580"/>
      <c r="S1698" s="337"/>
      <c r="T1698" s="337"/>
    </row>
    <row r="1699" spans="1:20" s="395" customFormat="1" ht="15.75" outlineLevel="1" x14ac:dyDescent="0.25">
      <c r="A1699" s="169"/>
      <c r="B1699" s="331" t="s">
        <v>1375</v>
      </c>
      <c r="C1699" s="337">
        <v>5</v>
      </c>
      <c r="D1699" s="337" t="s">
        <v>504</v>
      </c>
      <c r="E1699" s="337" t="s">
        <v>1207</v>
      </c>
      <c r="F1699" s="338">
        <v>3</v>
      </c>
      <c r="G1699" s="339">
        <v>8267</v>
      </c>
      <c r="H1699" s="338">
        <v>7400</v>
      </c>
      <c r="I1699" s="338">
        <f t="shared" si="417"/>
        <v>2.6853755896939639</v>
      </c>
      <c r="J1699" s="338">
        <f t="shared" si="418"/>
        <v>5.6853755896939635</v>
      </c>
      <c r="K1699" s="340">
        <v>0.3</v>
      </c>
      <c r="L1699" s="338">
        <f t="shared" si="419"/>
        <v>7.3909882666021529</v>
      </c>
      <c r="M1699" s="341">
        <v>10</v>
      </c>
      <c r="N1699" s="675"/>
      <c r="O1699" s="361"/>
      <c r="P1699" s="169"/>
      <c r="Q1699" s="835"/>
      <c r="R1699" s="580"/>
      <c r="S1699" s="337"/>
      <c r="T1699" s="337"/>
    </row>
    <row r="1700" spans="1:20" s="395" customFormat="1" ht="15" customHeight="1" outlineLevel="1" x14ac:dyDescent="0.25">
      <c r="A1700" s="169"/>
      <c r="B1700" s="331" t="s">
        <v>1375</v>
      </c>
      <c r="C1700" s="337">
        <v>6</v>
      </c>
      <c r="D1700" s="337" t="s">
        <v>505</v>
      </c>
      <c r="E1700" s="632" t="s">
        <v>1207</v>
      </c>
      <c r="F1700" s="660">
        <v>3</v>
      </c>
      <c r="G1700" s="673">
        <v>8267</v>
      </c>
      <c r="H1700" s="660">
        <v>7400</v>
      </c>
      <c r="I1700" s="660">
        <f t="shared" si="417"/>
        <v>2.6853755896939639</v>
      </c>
      <c r="J1700" s="660">
        <f t="shared" si="418"/>
        <v>5.6853755896939635</v>
      </c>
      <c r="K1700" s="674">
        <v>0.3</v>
      </c>
      <c r="L1700" s="660">
        <f t="shared" si="419"/>
        <v>7.3909882666021529</v>
      </c>
      <c r="M1700" s="675">
        <v>10</v>
      </c>
      <c r="N1700" s="675"/>
      <c r="O1700" s="169"/>
      <c r="P1700" s="169"/>
      <c r="Q1700" s="835"/>
      <c r="R1700" s="580"/>
      <c r="S1700" s="337"/>
      <c r="T1700" s="337"/>
    </row>
    <row r="1701" spans="1:20" s="337" customFormat="1" ht="15.75" x14ac:dyDescent="0.25">
      <c r="A1701" s="393"/>
      <c r="B1701" s="395"/>
      <c r="C1701" s="395">
        <v>7</v>
      </c>
      <c r="D1701" s="395"/>
      <c r="E1701" s="393" t="s">
        <v>1001</v>
      </c>
      <c r="F1701" s="394"/>
      <c r="G1701" s="395"/>
      <c r="H1701" s="394"/>
      <c r="I1701" s="394"/>
      <c r="J1701" s="394"/>
      <c r="K1701" s="492"/>
      <c r="L1701" s="394"/>
      <c r="M1701" s="394"/>
      <c r="N1701" s="504"/>
      <c r="O1701" s="395"/>
      <c r="P1701" s="395"/>
      <c r="Q1701" s="833"/>
      <c r="R1701" s="396"/>
      <c r="S1701" s="395"/>
      <c r="T1701" s="395"/>
    </row>
    <row r="1702" spans="1:20" s="337" customFormat="1" ht="15.75" x14ac:dyDescent="0.25">
      <c r="A1702" s="169" t="s">
        <v>1034</v>
      </c>
      <c r="B1702" s="169" t="s">
        <v>1034</v>
      </c>
      <c r="C1702" s="169">
        <v>8</v>
      </c>
      <c r="D1702" s="169" t="s">
        <v>504</v>
      </c>
      <c r="E1702" s="169" t="s">
        <v>1035</v>
      </c>
      <c r="F1702" s="180">
        <v>6</v>
      </c>
      <c r="G1702" s="499">
        <v>4607</v>
      </c>
      <c r="H1702" s="180">
        <f>7503-G1702</f>
        <v>2896</v>
      </c>
      <c r="I1702" s="180">
        <f>+F1702/G1702*H1702</f>
        <v>3.7716518341654006</v>
      </c>
      <c r="J1702" s="180">
        <f>+F1702+I1702</f>
        <v>9.7716518341654002</v>
      </c>
      <c r="K1702" s="345">
        <v>0.3</v>
      </c>
      <c r="L1702" s="180">
        <f>+J1702*K1702+J1702</f>
        <v>12.70314738441502</v>
      </c>
      <c r="M1702" s="170">
        <v>35</v>
      </c>
      <c r="N1702" s="532"/>
      <c r="O1702" s="361"/>
      <c r="P1702" s="169"/>
      <c r="Q1702" s="838"/>
      <c r="R1702" s="580"/>
      <c r="S1702" s="169"/>
      <c r="T1702" s="169"/>
    </row>
    <row r="1703" spans="1:20" s="337" customFormat="1" ht="15.75" x14ac:dyDescent="0.25">
      <c r="A1703" s="169" t="s">
        <v>1034</v>
      </c>
      <c r="B1703" s="169" t="s">
        <v>1034</v>
      </c>
      <c r="C1703" s="169">
        <v>9</v>
      </c>
      <c r="D1703" s="169" t="s">
        <v>1036</v>
      </c>
      <c r="E1703" s="699" t="s">
        <v>1781</v>
      </c>
      <c r="F1703" s="700">
        <v>6</v>
      </c>
      <c r="G1703" s="701">
        <v>4607</v>
      </c>
      <c r="H1703" s="700">
        <f>7503-G1703</f>
        <v>2896</v>
      </c>
      <c r="I1703" s="700">
        <f>+F1703/G1703*H1703</f>
        <v>3.7716518341654006</v>
      </c>
      <c r="J1703" s="700">
        <f>+F1703+I1703</f>
        <v>9.7716518341654002</v>
      </c>
      <c r="K1703" s="702">
        <v>0.3</v>
      </c>
      <c r="L1703" s="700">
        <f>+J1703*K1703+J1703</f>
        <v>12.70314738441502</v>
      </c>
      <c r="M1703" s="703">
        <v>20</v>
      </c>
      <c r="N1703" s="532"/>
      <c r="O1703" s="361"/>
      <c r="P1703" s="169" t="s">
        <v>2442</v>
      </c>
      <c r="Q1703" s="838">
        <v>45401</v>
      </c>
      <c r="R1703" s="580">
        <f>+M1703*36000</f>
        <v>720000</v>
      </c>
      <c r="S1703" s="169"/>
      <c r="T1703" s="169"/>
    </row>
    <row r="1704" spans="1:20" s="337" customFormat="1" ht="15.75" x14ac:dyDescent="0.25">
      <c r="A1704" s="169"/>
      <c r="B1704" s="169" t="s">
        <v>1780</v>
      </c>
      <c r="C1704" s="169">
        <v>10</v>
      </c>
      <c r="D1704" s="169" t="s">
        <v>1038</v>
      </c>
      <c r="E1704" s="169" t="s">
        <v>1037</v>
      </c>
      <c r="F1704" s="180">
        <v>35</v>
      </c>
      <c r="G1704" s="499">
        <v>4607</v>
      </c>
      <c r="H1704" s="180">
        <f>7503-G1704</f>
        <v>2896</v>
      </c>
      <c r="I1704" s="180">
        <f>+F1704/G1704*H1704</f>
        <v>22.001302365964836</v>
      </c>
      <c r="J1704" s="180">
        <f>+F1704+I1704</f>
        <v>57.001302365964833</v>
      </c>
      <c r="K1704" s="345">
        <v>0.3</v>
      </c>
      <c r="L1704" s="180">
        <f>+J1704*K1704+J1704</f>
        <v>74.101693075754284</v>
      </c>
      <c r="M1704" s="170">
        <v>75</v>
      </c>
      <c r="N1704" s="532"/>
      <c r="O1704" s="361"/>
      <c r="P1704" s="169"/>
      <c r="Q1704" s="838"/>
      <c r="R1704" s="580"/>
      <c r="S1704" s="169"/>
      <c r="T1704" s="169"/>
    </row>
    <row r="1705" spans="1:20" s="337" customFormat="1" ht="15.75" x14ac:dyDescent="0.25">
      <c r="A1705" s="169"/>
      <c r="B1705" s="331"/>
      <c r="E1705" s="549" t="s">
        <v>1234</v>
      </c>
      <c r="F1705" s="338"/>
      <c r="G1705" s="339"/>
      <c r="H1705" s="338"/>
      <c r="I1705" s="338"/>
      <c r="J1705" s="338"/>
      <c r="K1705" s="340"/>
      <c r="L1705" s="338"/>
      <c r="M1705" s="341"/>
      <c r="N1705" s="675"/>
      <c r="O1705" s="169"/>
      <c r="P1705" s="169"/>
      <c r="Q1705" s="835"/>
      <c r="R1705" s="580"/>
    </row>
    <row r="1706" spans="1:20" s="337" customFormat="1" ht="15.75" x14ac:dyDescent="0.25">
      <c r="A1706" s="169" t="s">
        <v>1034</v>
      </c>
      <c r="B1706" s="169" t="s">
        <v>1034</v>
      </c>
      <c r="C1706" s="337">
        <v>11</v>
      </c>
      <c r="D1706" s="337" t="s">
        <v>1167</v>
      </c>
      <c r="E1706" s="337" t="s">
        <v>1166</v>
      </c>
      <c r="F1706" s="338">
        <v>7</v>
      </c>
      <c r="G1706" s="339">
        <v>8267</v>
      </c>
      <c r="H1706" s="338">
        <v>7400</v>
      </c>
      <c r="I1706" s="338">
        <f t="shared" ref="I1706" si="420">+F1706/G1706*H1706</f>
        <v>6.2658763759525824</v>
      </c>
      <c r="J1706" s="338">
        <f t="shared" ref="J1706" si="421">+F1706+I1706</f>
        <v>13.265876375952583</v>
      </c>
      <c r="K1706" s="340">
        <v>0.3</v>
      </c>
      <c r="L1706" s="338">
        <f t="shared" ref="L1706" si="422">+J1706*1.3</f>
        <v>17.24563928873836</v>
      </c>
      <c r="M1706" s="341">
        <v>25</v>
      </c>
      <c r="N1706" s="675"/>
      <c r="O1706" s="361"/>
      <c r="P1706" s="169"/>
      <c r="Q1706" s="835"/>
      <c r="R1706" s="580"/>
    </row>
    <row r="1707" spans="1:20" s="178" customFormat="1" ht="15.75" x14ac:dyDescent="0.25">
      <c r="A1707" s="169"/>
      <c r="B1707" s="169"/>
      <c r="C1707" s="319">
        <v>12</v>
      </c>
      <c r="E1707" s="549" t="s">
        <v>1367</v>
      </c>
      <c r="G1707" s="226"/>
      <c r="H1707" s="227"/>
      <c r="I1707" s="226"/>
      <c r="J1707" s="174"/>
      <c r="K1707" s="174"/>
      <c r="L1707" s="316"/>
      <c r="M1707" s="174"/>
      <c r="N1707" s="663"/>
      <c r="Q1707" s="836"/>
      <c r="R1707" s="914"/>
    </row>
    <row r="1708" spans="1:20" s="178" customFormat="1" ht="15.75" x14ac:dyDescent="0.25">
      <c r="A1708" s="169" t="s">
        <v>1034</v>
      </c>
      <c r="B1708" s="169" t="s">
        <v>1034</v>
      </c>
      <c r="C1708" s="178">
        <v>13</v>
      </c>
      <c r="D1708" s="178" t="s">
        <v>789</v>
      </c>
      <c r="E1708" s="178" t="s">
        <v>1325</v>
      </c>
      <c r="F1708" s="226">
        <v>7</v>
      </c>
      <c r="G1708" s="227">
        <v>9682</v>
      </c>
      <c r="H1708" s="226">
        <v>7766</v>
      </c>
      <c r="I1708" s="174">
        <f t="shared" ref="I1708:I1724" si="423">+F1708/G1708*H1708</f>
        <v>5.6147490187977693</v>
      </c>
      <c r="J1708" s="174">
        <f t="shared" ref="J1708:J1724" si="424">+F1708+I1708</f>
        <v>12.61474901879777</v>
      </c>
      <c r="K1708" s="316">
        <v>0.4</v>
      </c>
      <c r="L1708" s="174">
        <f t="shared" ref="L1708:L1724" si="425">+J1708*1.4</f>
        <v>17.660648626316878</v>
      </c>
      <c r="M1708" s="226">
        <v>25</v>
      </c>
      <c r="N1708" s="631"/>
      <c r="O1708" s="590"/>
      <c r="Q1708" s="836"/>
      <c r="R1708" s="914"/>
    </row>
    <row r="1709" spans="1:20" s="178" customFormat="1" ht="15.75" x14ac:dyDescent="0.25">
      <c r="A1709" s="169" t="s">
        <v>1034</v>
      </c>
      <c r="B1709" s="169" t="s">
        <v>1034</v>
      </c>
      <c r="C1709" s="178">
        <v>14</v>
      </c>
      <c r="D1709" s="178" t="s">
        <v>789</v>
      </c>
      <c r="E1709" s="178" t="s">
        <v>1325</v>
      </c>
      <c r="F1709" s="226">
        <v>7</v>
      </c>
      <c r="G1709" s="227">
        <v>9682</v>
      </c>
      <c r="H1709" s="226">
        <v>7766</v>
      </c>
      <c r="I1709" s="174">
        <f t="shared" si="423"/>
        <v>5.6147490187977693</v>
      </c>
      <c r="J1709" s="174">
        <f t="shared" si="424"/>
        <v>12.61474901879777</v>
      </c>
      <c r="K1709" s="316">
        <v>0.4</v>
      </c>
      <c r="L1709" s="174">
        <f t="shared" si="425"/>
        <v>17.660648626316878</v>
      </c>
      <c r="M1709" s="226">
        <v>25</v>
      </c>
      <c r="N1709" s="631"/>
      <c r="O1709" s="590"/>
      <c r="Q1709" s="836"/>
      <c r="R1709" s="914"/>
    </row>
    <row r="1710" spans="1:20" s="178" customFormat="1" ht="15.75" x14ac:dyDescent="0.25">
      <c r="A1710" s="169" t="s">
        <v>1034</v>
      </c>
      <c r="B1710" s="169" t="s">
        <v>1034</v>
      </c>
      <c r="C1710" s="178">
        <v>15</v>
      </c>
      <c r="D1710" s="178" t="s">
        <v>789</v>
      </c>
      <c r="E1710" s="178" t="s">
        <v>1325</v>
      </c>
      <c r="F1710" s="226">
        <v>7</v>
      </c>
      <c r="G1710" s="227">
        <v>9682</v>
      </c>
      <c r="H1710" s="226">
        <v>7766</v>
      </c>
      <c r="I1710" s="174">
        <f t="shared" si="423"/>
        <v>5.6147490187977693</v>
      </c>
      <c r="J1710" s="174">
        <f t="shared" si="424"/>
        <v>12.61474901879777</v>
      </c>
      <c r="K1710" s="316">
        <v>0.4</v>
      </c>
      <c r="L1710" s="174">
        <f t="shared" si="425"/>
        <v>17.660648626316878</v>
      </c>
      <c r="M1710" s="226">
        <v>25</v>
      </c>
      <c r="N1710" s="631"/>
      <c r="O1710" s="590"/>
      <c r="Q1710" s="836"/>
      <c r="R1710" s="914"/>
    </row>
    <row r="1711" spans="1:20" s="178" customFormat="1" ht="15.75" x14ac:dyDescent="0.25">
      <c r="A1711" s="169" t="s">
        <v>1034</v>
      </c>
      <c r="B1711" s="169" t="s">
        <v>1034</v>
      </c>
      <c r="C1711" s="178">
        <v>16</v>
      </c>
      <c r="D1711" s="178" t="s">
        <v>789</v>
      </c>
      <c r="E1711" s="178" t="s">
        <v>1325</v>
      </c>
      <c r="F1711" s="226">
        <v>7</v>
      </c>
      <c r="G1711" s="227">
        <v>9682</v>
      </c>
      <c r="H1711" s="226">
        <v>7766</v>
      </c>
      <c r="I1711" s="174">
        <f t="shared" si="423"/>
        <v>5.6147490187977693</v>
      </c>
      <c r="J1711" s="174">
        <f t="shared" si="424"/>
        <v>12.61474901879777</v>
      </c>
      <c r="K1711" s="316">
        <v>0.4</v>
      </c>
      <c r="L1711" s="174">
        <f t="shared" si="425"/>
        <v>17.660648626316878</v>
      </c>
      <c r="M1711" s="226">
        <v>25</v>
      </c>
      <c r="N1711" s="631"/>
      <c r="O1711" s="590"/>
      <c r="Q1711" s="836"/>
      <c r="R1711" s="914"/>
    </row>
    <row r="1712" spans="1:20" s="178" customFormat="1" ht="15.75" x14ac:dyDescent="0.25">
      <c r="A1712" s="169" t="s">
        <v>1034</v>
      </c>
      <c r="B1712" s="169" t="s">
        <v>1034</v>
      </c>
      <c r="C1712" s="178">
        <v>17</v>
      </c>
      <c r="D1712" s="178" t="s">
        <v>789</v>
      </c>
      <c r="E1712" s="178" t="s">
        <v>1325</v>
      </c>
      <c r="F1712" s="226">
        <v>7</v>
      </c>
      <c r="G1712" s="227">
        <v>9682</v>
      </c>
      <c r="H1712" s="226">
        <v>7766</v>
      </c>
      <c r="I1712" s="174">
        <f t="shared" si="423"/>
        <v>5.6147490187977693</v>
      </c>
      <c r="J1712" s="174">
        <f t="shared" si="424"/>
        <v>12.61474901879777</v>
      </c>
      <c r="K1712" s="316">
        <v>0.4</v>
      </c>
      <c r="L1712" s="174">
        <f t="shared" si="425"/>
        <v>17.660648626316878</v>
      </c>
      <c r="M1712" s="226">
        <v>25</v>
      </c>
      <c r="N1712" s="631"/>
      <c r="O1712" s="590"/>
      <c r="Q1712" s="836"/>
      <c r="R1712" s="914"/>
    </row>
    <row r="1713" spans="1:20" s="178" customFormat="1" ht="15.75" x14ac:dyDescent="0.25">
      <c r="A1713" s="169" t="s">
        <v>1034</v>
      </c>
      <c r="B1713" s="169" t="s">
        <v>1034</v>
      </c>
      <c r="C1713" s="178">
        <v>18</v>
      </c>
      <c r="D1713" s="178" t="s">
        <v>1167</v>
      </c>
      <c r="E1713" s="178" t="s">
        <v>1325</v>
      </c>
      <c r="F1713" s="226">
        <v>7</v>
      </c>
      <c r="G1713" s="227">
        <v>9682</v>
      </c>
      <c r="H1713" s="226">
        <v>7766</v>
      </c>
      <c r="I1713" s="174">
        <f t="shared" si="423"/>
        <v>5.6147490187977693</v>
      </c>
      <c r="J1713" s="174">
        <f t="shared" si="424"/>
        <v>12.61474901879777</v>
      </c>
      <c r="K1713" s="316">
        <v>0.4</v>
      </c>
      <c r="L1713" s="174">
        <f t="shared" si="425"/>
        <v>17.660648626316878</v>
      </c>
      <c r="M1713" s="226">
        <v>25</v>
      </c>
      <c r="N1713" s="631"/>
      <c r="O1713" s="590"/>
      <c r="Q1713" s="836"/>
      <c r="R1713" s="914"/>
    </row>
    <row r="1714" spans="1:20" s="178" customFormat="1" ht="15.75" x14ac:dyDescent="0.25">
      <c r="A1714" s="169" t="s">
        <v>1034</v>
      </c>
      <c r="B1714" s="169" t="s">
        <v>1034</v>
      </c>
      <c r="C1714" s="178">
        <v>19</v>
      </c>
      <c r="D1714" s="178" t="s">
        <v>1167</v>
      </c>
      <c r="E1714" s="178" t="s">
        <v>1325</v>
      </c>
      <c r="F1714" s="226">
        <v>7</v>
      </c>
      <c r="G1714" s="227">
        <v>9682</v>
      </c>
      <c r="H1714" s="226">
        <v>7766</v>
      </c>
      <c r="I1714" s="174">
        <f t="shared" si="423"/>
        <v>5.6147490187977693</v>
      </c>
      <c r="J1714" s="174">
        <f t="shared" si="424"/>
        <v>12.61474901879777</v>
      </c>
      <c r="K1714" s="316">
        <v>0.4</v>
      </c>
      <c r="L1714" s="174">
        <f t="shared" si="425"/>
        <v>17.660648626316878</v>
      </c>
      <c r="M1714" s="226">
        <v>25</v>
      </c>
      <c r="N1714" s="631"/>
      <c r="O1714" s="590"/>
      <c r="Q1714" s="836"/>
      <c r="R1714" s="914"/>
    </row>
    <row r="1715" spans="1:20" s="178" customFormat="1" ht="15.75" x14ac:dyDescent="0.25">
      <c r="A1715" s="169" t="s">
        <v>1034</v>
      </c>
      <c r="B1715" s="169" t="s">
        <v>1034</v>
      </c>
      <c r="C1715" s="178">
        <v>20</v>
      </c>
      <c r="D1715" s="178" t="s">
        <v>1167</v>
      </c>
      <c r="E1715" s="178" t="s">
        <v>1325</v>
      </c>
      <c r="F1715" s="226">
        <v>7</v>
      </c>
      <c r="G1715" s="227">
        <v>9682</v>
      </c>
      <c r="H1715" s="226">
        <v>7766</v>
      </c>
      <c r="I1715" s="174">
        <f t="shared" si="423"/>
        <v>5.6147490187977693</v>
      </c>
      <c r="J1715" s="174">
        <f t="shared" si="424"/>
        <v>12.61474901879777</v>
      </c>
      <c r="K1715" s="316">
        <v>0.4</v>
      </c>
      <c r="L1715" s="174">
        <f t="shared" si="425"/>
        <v>17.660648626316878</v>
      </c>
      <c r="M1715" s="226">
        <v>25</v>
      </c>
      <c r="N1715" s="631"/>
      <c r="O1715" s="590"/>
      <c r="Q1715" s="836"/>
      <c r="R1715" s="914"/>
    </row>
    <row r="1716" spans="1:20" s="178" customFormat="1" ht="15.75" x14ac:dyDescent="0.25">
      <c r="A1716" s="169" t="s">
        <v>1034</v>
      </c>
      <c r="B1716" s="169" t="s">
        <v>1034</v>
      </c>
      <c r="C1716" s="178">
        <v>21</v>
      </c>
      <c r="D1716" s="178" t="s">
        <v>1167</v>
      </c>
      <c r="E1716" s="178" t="s">
        <v>1325</v>
      </c>
      <c r="F1716" s="226">
        <v>7</v>
      </c>
      <c r="G1716" s="227">
        <v>9682</v>
      </c>
      <c r="H1716" s="226">
        <v>7766</v>
      </c>
      <c r="I1716" s="174">
        <f t="shared" si="423"/>
        <v>5.6147490187977693</v>
      </c>
      <c r="J1716" s="174">
        <f t="shared" si="424"/>
        <v>12.61474901879777</v>
      </c>
      <c r="K1716" s="316">
        <v>0.4</v>
      </c>
      <c r="L1716" s="174">
        <f t="shared" si="425"/>
        <v>17.660648626316878</v>
      </c>
      <c r="M1716" s="226">
        <v>25</v>
      </c>
      <c r="N1716" s="631"/>
      <c r="O1716" s="590"/>
      <c r="Q1716" s="836"/>
      <c r="R1716" s="914"/>
    </row>
    <row r="1717" spans="1:20" s="178" customFormat="1" ht="15.75" x14ac:dyDescent="0.25">
      <c r="A1717" s="169" t="s">
        <v>1034</v>
      </c>
      <c r="B1717" s="169" t="s">
        <v>1034</v>
      </c>
      <c r="C1717" s="178">
        <v>22</v>
      </c>
      <c r="D1717" s="178" t="s">
        <v>1167</v>
      </c>
      <c r="E1717" s="178" t="s">
        <v>1325</v>
      </c>
      <c r="F1717" s="226">
        <v>7</v>
      </c>
      <c r="G1717" s="227">
        <v>9682</v>
      </c>
      <c r="H1717" s="226">
        <v>7766</v>
      </c>
      <c r="I1717" s="174">
        <f t="shared" si="423"/>
        <v>5.6147490187977693</v>
      </c>
      <c r="J1717" s="174">
        <f t="shared" si="424"/>
        <v>12.61474901879777</v>
      </c>
      <c r="K1717" s="316">
        <v>0.4</v>
      </c>
      <c r="L1717" s="174">
        <f t="shared" si="425"/>
        <v>17.660648626316878</v>
      </c>
      <c r="M1717" s="226">
        <v>25</v>
      </c>
      <c r="N1717" s="631"/>
      <c r="O1717" s="590"/>
      <c r="Q1717" s="836"/>
      <c r="R1717" s="914"/>
    </row>
    <row r="1718" spans="1:20" s="178" customFormat="1" ht="15.75" x14ac:dyDescent="0.25">
      <c r="A1718" s="169" t="s">
        <v>1034</v>
      </c>
      <c r="B1718" s="169" t="s">
        <v>1034</v>
      </c>
      <c r="C1718" s="178">
        <v>23</v>
      </c>
      <c r="D1718" s="178" t="s">
        <v>1167</v>
      </c>
      <c r="E1718" s="178" t="s">
        <v>1325</v>
      </c>
      <c r="F1718" s="226">
        <v>7</v>
      </c>
      <c r="G1718" s="227">
        <v>9682</v>
      </c>
      <c r="H1718" s="226">
        <v>7766</v>
      </c>
      <c r="I1718" s="174">
        <f t="shared" si="423"/>
        <v>5.6147490187977693</v>
      </c>
      <c r="J1718" s="174">
        <f t="shared" si="424"/>
        <v>12.61474901879777</v>
      </c>
      <c r="K1718" s="316">
        <v>0.4</v>
      </c>
      <c r="L1718" s="174">
        <f t="shared" si="425"/>
        <v>17.660648626316878</v>
      </c>
      <c r="M1718" s="226">
        <v>25</v>
      </c>
      <c r="N1718" s="631"/>
      <c r="O1718" s="590"/>
      <c r="Q1718" s="836"/>
      <c r="R1718" s="914"/>
    </row>
    <row r="1719" spans="1:20" s="178" customFormat="1" ht="15.75" x14ac:dyDescent="0.25">
      <c r="A1719" s="169" t="s">
        <v>1034</v>
      </c>
      <c r="B1719" s="169" t="s">
        <v>1034</v>
      </c>
      <c r="C1719" s="178">
        <v>24</v>
      </c>
      <c r="D1719" s="178" t="s">
        <v>789</v>
      </c>
      <c r="E1719" s="178" t="s">
        <v>1325</v>
      </c>
      <c r="F1719" s="226">
        <v>7</v>
      </c>
      <c r="G1719" s="227">
        <v>9682</v>
      </c>
      <c r="H1719" s="226">
        <v>7766</v>
      </c>
      <c r="I1719" s="174">
        <f t="shared" si="423"/>
        <v>5.6147490187977693</v>
      </c>
      <c r="J1719" s="174">
        <f t="shared" si="424"/>
        <v>12.61474901879777</v>
      </c>
      <c r="K1719" s="316">
        <v>0.4</v>
      </c>
      <c r="L1719" s="174">
        <f t="shared" si="425"/>
        <v>17.660648626316878</v>
      </c>
      <c r="M1719" s="226">
        <v>25</v>
      </c>
      <c r="N1719" s="631"/>
      <c r="O1719" s="590"/>
      <c r="Q1719" s="836"/>
      <c r="R1719" s="914"/>
    </row>
    <row r="1720" spans="1:20" s="178" customFormat="1" ht="15.75" x14ac:dyDescent="0.25">
      <c r="A1720" s="169" t="s">
        <v>1034</v>
      </c>
      <c r="B1720" s="169" t="s">
        <v>1034</v>
      </c>
      <c r="C1720" s="178">
        <v>25</v>
      </c>
      <c r="D1720" s="178" t="s">
        <v>789</v>
      </c>
      <c r="E1720" s="178" t="s">
        <v>1326</v>
      </c>
      <c r="F1720" s="226">
        <v>7</v>
      </c>
      <c r="G1720" s="227">
        <v>9682</v>
      </c>
      <c r="H1720" s="226">
        <v>7766</v>
      </c>
      <c r="I1720" s="174">
        <f t="shared" si="423"/>
        <v>5.6147490187977693</v>
      </c>
      <c r="J1720" s="174">
        <f t="shared" si="424"/>
        <v>12.61474901879777</v>
      </c>
      <c r="K1720" s="316">
        <v>0.4</v>
      </c>
      <c r="L1720" s="174">
        <f t="shared" si="425"/>
        <v>17.660648626316878</v>
      </c>
      <c r="M1720" s="226">
        <v>25</v>
      </c>
      <c r="N1720" s="631"/>
      <c r="O1720" s="590"/>
      <c r="Q1720" s="836"/>
      <c r="R1720" s="914"/>
    </row>
    <row r="1721" spans="1:20" s="178" customFormat="1" ht="15.75" x14ac:dyDescent="0.25">
      <c r="A1721" s="169" t="s">
        <v>1034</v>
      </c>
      <c r="B1721" s="169" t="s">
        <v>1034</v>
      </c>
      <c r="C1721" s="178">
        <v>26</v>
      </c>
      <c r="D1721" s="178" t="s">
        <v>1167</v>
      </c>
      <c r="E1721" s="213" t="s">
        <v>1326</v>
      </c>
      <c r="F1721" s="232">
        <v>7</v>
      </c>
      <c r="G1721" s="305">
        <v>9682</v>
      </c>
      <c r="H1721" s="232">
        <v>7766</v>
      </c>
      <c r="I1721" s="611">
        <f t="shared" si="423"/>
        <v>5.6147490187977693</v>
      </c>
      <c r="J1721" s="611">
        <f t="shared" si="424"/>
        <v>12.61474901879777</v>
      </c>
      <c r="K1721" s="612">
        <v>0.4</v>
      </c>
      <c r="L1721" s="611">
        <f t="shared" si="425"/>
        <v>17.660648626316878</v>
      </c>
      <c r="M1721" s="232">
        <v>25</v>
      </c>
      <c r="N1721" s="631"/>
      <c r="O1721" s="590"/>
      <c r="P1721" s="178" t="s">
        <v>12</v>
      </c>
      <c r="Q1721" s="836">
        <v>45465</v>
      </c>
      <c r="R1721" s="914"/>
    </row>
    <row r="1722" spans="1:20" s="178" customFormat="1" ht="15.75" x14ac:dyDescent="0.25">
      <c r="A1722" s="169" t="s">
        <v>1034</v>
      </c>
      <c r="B1722" s="169" t="s">
        <v>1034</v>
      </c>
      <c r="C1722" s="178">
        <v>27</v>
      </c>
      <c r="D1722" s="178" t="s">
        <v>1167</v>
      </c>
      <c r="E1722" s="178" t="s">
        <v>1326</v>
      </c>
      <c r="F1722" s="175">
        <v>7</v>
      </c>
      <c r="G1722" s="227">
        <v>9682</v>
      </c>
      <c r="H1722" s="226">
        <v>7766</v>
      </c>
      <c r="I1722" s="174">
        <f t="shared" si="423"/>
        <v>5.6147490187977693</v>
      </c>
      <c r="J1722" s="174">
        <f t="shared" si="424"/>
        <v>12.61474901879777</v>
      </c>
      <c r="K1722" s="316">
        <v>0.4</v>
      </c>
      <c r="L1722" s="174">
        <f t="shared" si="425"/>
        <v>17.660648626316878</v>
      </c>
      <c r="M1722" s="226">
        <v>25</v>
      </c>
      <c r="N1722" s="631"/>
      <c r="O1722" s="590"/>
      <c r="Q1722" s="836"/>
      <c r="R1722" s="914"/>
    </row>
    <row r="1723" spans="1:20" s="178" customFormat="1" ht="15.75" x14ac:dyDescent="0.25">
      <c r="A1723" s="169" t="s">
        <v>1034</v>
      </c>
      <c r="B1723" s="169" t="s">
        <v>1034</v>
      </c>
      <c r="C1723" s="178">
        <v>28</v>
      </c>
      <c r="D1723" s="178" t="s">
        <v>1167</v>
      </c>
      <c r="E1723" s="178" t="s">
        <v>1326</v>
      </c>
      <c r="F1723" s="226">
        <v>7</v>
      </c>
      <c r="G1723" s="227">
        <v>9682</v>
      </c>
      <c r="H1723" s="226">
        <v>7766</v>
      </c>
      <c r="I1723" s="174">
        <f t="shared" si="423"/>
        <v>5.6147490187977693</v>
      </c>
      <c r="J1723" s="174">
        <f t="shared" si="424"/>
        <v>12.61474901879777</v>
      </c>
      <c r="K1723" s="316">
        <v>0.4</v>
      </c>
      <c r="L1723" s="174">
        <f t="shared" si="425"/>
        <v>17.660648626316878</v>
      </c>
      <c r="M1723" s="226">
        <v>25</v>
      </c>
      <c r="N1723" s="631"/>
      <c r="O1723" s="590"/>
      <c r="Q1723" s="836"/>
      <c r="R1723" s="914"/>
    </row>
    <row r="1724" spans="1:20" s="178" customFormat="1" ht="15.75" x14ac:dyDescent="0.25">
      <c r="A1724" s="169" t="s">
        <v>1034</v>
      </c>
      <c r="B1724" s="169" t="s">
        <v>1034</v>
      </c>
      <c r="C1724" s="178">
        <v>29</v>
      </c>
      <c r="D1724" s="178" t="s">
        <v>1167</v>
      </c>
      <c r="E1724" s="238" t="s">
        <v>1326</v>
      </c>
      <c r="F1724" s="631">
        <v>7</v>
      </c>
      <c r="G1724" s="677">
        <v>9682</v>
      </c>
      <c r="H1724" s="631">
        <v>7766</v>
      </c>
      <c r="I1724" s="663">
        <f t="shared" si="423"/>
        <v>5.6147490187977693</v>
      </c>
      <c r="J1724" s="663">
        <f t="shared" si="424"/>
        <v>12.61474901879777</v>
      </c>
      <c r="K1724" s="662">
        <v>0.4</v>
      </c>
      <c r="L1724" s="663">
        <f t="shared" si="425"/>
        <v>17.660648626316878</v>
      </c>
      <c r="M1724" s="631">
        <v>25</v>
      </c>
      <c r="N1724" s="631"/>
      <c r="Q1724" s="836"/>
      <c r="R1724" s="914"/>
    </row>
    <row r="1725" spans="1:20" s="395" customFormat="1" ht="15" customHeight="1" outlineLevel="1" x14ac:dyDescent="0.25">
      <c r="A1725" s="154"/>
      <c r="C1725" s="500"/>
      <c r="D1725" s="500"/>
      <c r="E1725" s="393" t="s">
        <v>179</v>
      </c>
      <c r="F1725" s="150">
        <f t="shared" ref="F1725:M1725" si="426">SUM(F1693:F1694)</f>
        <v>0</v>
      </c>
      <c r="G1725" s="150">
        <f t="shared" si="426"/>
        <v>0</v>
      </c>
      <c r="H1725" s="150">
        <f t="shared" si="426"/>
        <v>0</v>
      </c>
      <c r="I1725" s="150">
        <f t="shared" si="426"/>
        <v>0</v>
      </c>
      <c r="J1725" s="150">
        <f t="shared" si="426"/>
        <v>0</v>
      </c>
      <c r="K1725" s="150">
        <f t="shared" si="426"/>
        <v>0</v>
      </c>
      <c r="L1725" s="150">
        <f t="shared" si="426"/>
        <v>0</v>
      </c>
      <c r="M1725" s="150">
        <f t="shared" si="426"/>
        <v>0</v>
      </c>
      <c r="N1725" s="404"/>
      <c r="O1725" s="167"/>
      <c r="P1725" s="150"/>
      <c r="Q1725" s="854"/>
      <c r="R1725" s="915"/>
      <c r="S1725" s="11"/>
      <c r="T1725" s="11"/>
    </row>
    <row r="1726" spans="1:20" s="395" customFormat="1" ht="15" customHeight="1" outlineLevel="1" x14ac:dyDescent="0.25">
      <c r="A1726" s="154"/>
      <c r="B1726" s="395">
        <v>2022</v>
      </c>
      <c r="C1726" s="500">
        <v>19</v>
      </c>
      <c r="D1726" s="500">
        <v>-11</v>
      </c>
      <c r="E1726" s="393">
        <f>+C1726+D1726</f>
        <v>8</v>
      </c>
      <c r="F1726" s="150"/>
      <c r="G1726" s="150"/>
      <c r="H1726" s="150"/>
      <c r="I1726" s="150"/>
      <c r="J1726" s="150"/>
      <c r="K1726" s="150"/>
      <c r="L1726" s="394">
        <f t="shared" ref="L1726:L1729" si="427">+J1726*K1726+J1726</f>
        <v>0</v>
      </c>
      <c r="M1726" s="150"/>
      <c r="N1726" s="404"/>
      <c r="O1726" s="167"/>
      <c r="P1726" s="150"/>
      <c r="Q1726" s="854"/>
      <c r="R1726" s="915"/>
      <c r="S1726" s="11"/>
      <c r="T1726" s="11"/>
    </row>
    <row r="1727" spans="1:20" s="395" customFormat="1" ht="15" customHeight="1" outlineLevel="1" x14ac:dyDescent="0.25">
      <c r="A1727" s="154"/>
      <c r="B1727" s="393" t="s">
        <v>260</v>
      </c>
      <c r="C1727" s="500"/>
      <c r="D1727" s="500"/>
      <c r="E1727" s="393"/>
      <c r="F1727" s="150"/>
      <c r="G1727" s="150"/>
      <c r="H1727" s="150"/>
      <c r="I1727" s="150"/>
      <c r="J1727" s="150"/>
      <c r="K1727" s="150"/>
      <c r="L1727" s="394">
        <f t="shared" si="427"/>
        <v>0</v>
      </c>
      <c r="M1727" s="150"/>
      <c r="N1727" s="404"/>
      <c r="O1727" s="167"/>
      <c r="P1727" s="150"/>
      <c r="Q1727" s="854"/>
      <c r="R1727" s="915"/>
      <c r="S1727" s="11"/>
      <c r="T1727" s="11"/>
    </row>
    <row r="1728" spans="1:20" s="395" customFormat="1" ht="15" customHeight="1" outlineLevel="1" x14ac:dyDescent="0.25">
      <c r="A1728" s="393"/>
      <c r="B1728" s="393" t="s">
        <v>681</v>
      </c>
      <c r="G1728" s="179"/>
      <c r="H1728" s="394"/>
      <c r="I1728" s="394"/>
      <c r="J1728" s="394"/>
      <c r="K1728" s="492"/>
      <c r="L1728" s="394">
        <f t="shared" si="427"/>
        <v>0</v>
      </c>
      <c r="N1728" s="494"/>
      <c r="O1728" s="495"/>
      <c r="Q1728" s="833"/>
      <c r="R1728" s="396"/>
    </row>
    <row r="1729" spans="1:20" s="494" customFormat="1" ht="15.75" outlineLevel="1" x14ac:dyDescent="0.25">
      <c r="B1729" s="494" t="s">
        <v>680</v>
      </c>
      <c r="C1729" s="494">
        <v>2</v>
      </c>
      <c r="E1729" s="494" t="s">
        <v>969</v>
      </c>
      <c r="F1729" s="504">
        <v>15</v>
      </c>
      <c r="G1729" s="494">
        <v>6556</v>
      </c>
      <c r="H1729" s="504">
        <v>9750</v>
      </c>
      <c r="I1729" s="504">
        <f>+F1729/G1729*H1729</f>
        <v>22.307809640024406</v>
      </c>
      <c r="J1729" s="504">
        <f>+F1729+I1729</f>
        <v>37.307809640024402</v>
      </c>
      <c r="K1729" s="586">
        <v>0.3</v>
      </c>
      <c r="L1729" s="504">
        <f t="shared" si="427"/>
        <v>48.50015253203172</v>
      </c>
      <c r="M1729" s="504">
        <v>55</v>
      </c>
      <c r="N1729" s="504"/>
      <c r="Q1729" s="841"/>
      <c r="R1729" s="918"/>
    </row>
    <row r="1730" spans="1:20" s="395" customFormat="1" ht="15.75" x14ac:dyDescent="0.25">
      <c r="E1730" s="429" t="s">
        <v>1070</v>
      </c>
      <c r="F1730" s="394"/>
      <c r="G1730" s="179"/>
      <c r="H1730" s="394"/>
      <c r="I1730" s="394"/>
      <c r="J1730" s="394"/>
      <c r="K1730" s="492"/>
      <c r="L1730" s="394"/>
      <c r="M1730" s="394"/>
      <c r="N1730" s="504"/>
      <c r="Q1730" s="833"/>
      <c r="R1730" s="396"/>
    </row>
    <row r="1731" spans="1:20" s="632" customFormat="1" ht="15.75" x14ac:dyDescent="0.25">
      <c r="A1731" s="494"/>
      <c r="B1731" s="494" t="s">
        <v>1079</v>
      </c>
      <c r="C1731" s="494">
        <v>25</v>
      </c>
      <c r="D1731" s="494"/>
      <c r="E1731" s="365" t="s">
        <v>939</v>
      </c>
      <c r="F1731" s="504"/>
      <c r="G1731" s="666"/>
      <c r="H1731" s="525"/>
      <c r="I1731" s="525"/>
      <c r="J1731" s="525"/>
      <c r="K1731" s="667"/>
      <c r="L1731" s="525"/>
      <c r="M1731" s="532">
        <v>55</v>
      </c>
      <c r="N1731" s="532"/>
      <c r="O1731" s="494"/>
      <c r="P1731" s="494"/>
      <c r="Q1731" s="841"/>
      <c r="R1731" s="918"/>
      <c r="S1731" s="494"/>
      <c r="T1731" s="494"/>
    </row>
    <row r="1732" spans="1:20" s="178" customFormat="1" ht="18.75" collapsed="1" x14ac:dyDescent="0.3">
      <c r="A1732" s="319"/>
      <c r="B1732" s="319"/>
      <c r="C1732" s="319"/>
      <c r="E1732" s="684" t="s">
        <v>1368</v>
      </c>
      <c r="F1732" s="549"/>
      <c r="G1732" s="175"/>
      <c r="H1732" s="227"/>
      <c r="I1732" s="226"/>
      <c r="J1732" s="174"/>
      <c r="K1732" s="174"/>
      <c r="L1732" s="316"/>
      <c r="M1732" s="174"/>
      <c r="N1732" s="663"/>
      <c r="Q1732" s="836"/>
      <c r="R1732" s="914"/>
    </row>
    <row r="1733" spans="1:20" s="178" customFormat="1" x14ac:dyDescent="0.25">
      <c r="A1733" s="319"/>
      <c r="B1733" s="549" t="s">
        <v>1367</v>
      </c>
      <c r="C1733" s="319"/>
      <c r="G1733" s="175"/>
      <c r="H1733" s="227">
        <v>9682</v>
      </c>
      <c r="I1733" s="226">
        <v>7766</v>
      </c>
      <c r="J1733" s="174">
        <f>+G1733/H1733*I1733</f>
        <v>0</v>
      </c>
      <c r="K1733" s="174">
        <f>+G1733+J1733</f>
        <v>0</v>
      </c>
      <c r="L1733" s="316">
        <v>0.4</v>
      </c>
      <c r="M1733" s="174">
        <f>+K1733*1.4</f>
        <v>0</v>
      </c>
      <c r="N1733" s="663"/>
      <c r="Q1733" s="836"/>
      <c r="R1733" s="914"/>
    </row>
    <row r="1734" spans="1:20" s="178" customFormat="1" hidden="1" x14ac:dyDescent="0.25">
      <c r="A1734" s="549" t="s">
        <v>1293</v>
      </c>
      <c r="B1734" s="178" t="s">
        <v>1874</v>
      </c>
      <c r="C1734" s="178">
        <v>1</v>
      </c>
      <c r="E1734" s="704" t="s">
        <v>101</v>
      </c>
      <c r="F1734" s="232">
        <v>13</v>
      </c>
      <c r="G1734" s="305">
        <v>9682</v>
      </c>
      <c r="H1734" s="232">
        <v>7766</v>
      </c>
      <c r="I1734" s="611">
        <f t="shared" ref="I1734:I1737" si="428">+F1734/G1734*H1734</f>
        <v>10.427391034910142</v>
      </c>
      <c r="J1734" s="611">
        <f t="shared" ref="J1734:J1737" si="429">+F1734+I1734</f>
        <v>23.427391034910144</v>
      </c>
      <c r="K1734" s="612">
        <v>0.4</v>
      </c>
      <c r="L1734" s="611">
        <f t="shared" ref="L1734:L1737" si="430">+J1734*1.4</f>
        <v>32.798347448874203</v>
      </c>
      <c r="M1734" s="232">
        <v>35</v>
      </c>
      <c r="N1734" s="631"/>
      <c r="O1734" s="590"/>
      <c r="P1734" s="178" t="s">
        <v>12</v>
      </c>
      <c r="Q1734" s="836">
        <v>45309</v>
      </c>
      <c r="R1734" s="914">
        <f>+M1734*7000</f>
        <v>245000</v>
      </c>
    </row>
    <row r="1735" spans="1:20" s="178" customFormat="1" x14ac:dyDescent="0.25">
      <c r="A1735" s="549" t="s">
        <v>1293</v>
      </c>
      <c r="B1735" s="319" t="s">
        <v>905</v>
      </c>
      <c r="C1735" s="178">
        <v>2</v>
      </c>
      <c r="E1735" s="704" t="s">
        <v>1294</v>
      </c>
      <c r="F1735" s="232">
        <v>6</v>
      </c>
      <c r="G1735" s="305">
        <v>9682</v>
      </c>
      <c r="H1735" s="232">
        <v>7766</v>
      </c>
      <c r="I1735" s="611">
        <f t="shared" si="428"/>
        <v>4.8126420161123731</v>
      </c>
      <c r="J1735" s="611">
        <f t="shared" si="429"/>
        <v>10.812642016112374</v>
      </c>
      <c r="K1735" s="612">
        <v>0.4</v>
      </c>
      <c r="L1735" s="611">
        <f t="shared" si="430"/>
        <v>15.137698822557322</v>
      </c>
      <c r="M1735" s="232">
        <v>15</v>
      </c>
      <c r="N1735" s="631"/>
      <c r="O1735" s="590"/>
      <c r="P1735" s="178" t="s">
        <v>2412</v>
      </c>
      <c r="Q1735" s="836">
        <v>45449</v>
      </c>
      <c r="R1735" s="914">
        <f>+M1735*14.5</f>
        <v>217.5</v>
      </c>
    </row>
    <row r="1736" spans="1:20" s="178" customFormat="1" hidden="1" x14ac:dyDescent="0.25">
      <c r="A1736" s="549" t="s">
        <v>1293</v>
      </c>
      <c r="B1736" s="319" t="s">
        <v>905</v>
      </c>
      <c r="C1736" s="178">
        <v>3</v>
      </c>
      <c r="E1736" s="704" t="s">
        <v>656</v>
      </c>
      <c r="F1736" s="232">
        <v>6</v>
      </c>
      <c r="G1736" s="305">
        <v>9682</v>
      </c>
      <c r="H1736" s="232">
        <v>7766</v>
      </c>
      <c r="I1736" s="611">
        <f t="shared" si="428"/>
        <v>4.8126420161123731</v>
      </c>
      <c r="J1736" s="611">
        <f t="shared" si="429"/>
        <v>10.812642016112374</v>
      </c>
      <c r="K1736" s="612">
        <v>0.4</v>
      </c>
      <c r="L1736" s="611">
        <f t="shared" si="430"/>
        <v>15.137698822557322</v>
      </c>
      <c r="M1736" s="232">
        <v>25</v>
      </c>
      <c r="N1736" s="631"/>
      <c r="O1736" s="590"/>
      <c r="P1736" s="178" t="s">
        <v>12</v>
      </c>
      <c r="Q1736" s="836">
        <v>45385</v>
      </c>
      <c r="R1736" s="914">
        <f>+M1736*35000</f>
        <v>875000</v>
      </c>
    </row>
    <row r="1737" spans="1:20" s="238" customFormat="1" x14ac:dyDescent="0.25">
      <c r="A1737" s="749" t="s">
        <v>1293</v>
      </c>
      <c r="B1737" s="676" t="s">
        <v>905</v>
      </c>
      <c r="C1737" s="238">
        <v>4</v>
      </c>
      <c r="E1737" s="632" t="s">
        <v>573</v>
      </c>
      <c r="F1737" s="631">
        <v>6</v>
      </c>
      <c r="G1737" s="677">
        <v>9682</v>
      </c>
      <c r="H1737" s="631">
        <v>7766</v>
      </c>
      <c r="I1737" s="663">
        <f t="shared" si="428"/>
        <v>4.8126420161123731</v>
      </c>
      <c r="J1737" s="663">
        <f t="shared" si="429"/>
        <v>10.812642016112374</v>
      </c>
      <c r="K1737" s="662">
        <v>0.4</v>
      </c>
      <c r="L1737" s="663">
        <f t="shared" si="430"/>
        <v>15.137698822557322</v>
      </c>
      <c r="M1737" s="631">
        <v>15</v>
      </c>
      <c r="N1737" s="631"/>
      <c r="Q1737" s="843"/>
      <c r="R1737" s="920"/>
    </row>
    <row r="1738" spans="1:20" s="178" customFormat="1" x14ac:dyDescent="0.25">
      <c r="A1738" s="549"/>
      <c r="B1738" s="319"/>
      <c r="E1738" s="549" t="s">
        <v>1452</v>
      </c>
      <c r="F1738" s="226"/>
      <c r="G1738" s="227"/>
      <c r="H1738" s="226"/>
      <c r="I1738" s="174"/>
      <c r="J1738" s="174"/>
      <c r="K1738" s="316"/>
      <c r="L1738" s="174"/>
      <c r="M1738" s="226"/>
      <c r="N1738" s="631"/>
      <c r="Q1738" s="836"/>
      <c r="R1738" s="914"/>
    </row>
    <row r="1739" spans="1:20" s="178" customFormat="1" x14ac:dyDescent="0.25">
      <c r="A1739" s="225"/>
      <c r="B1739" s="319" t="s">
        <v>1443</v>
      </c>
      <c r="C1739" s="178">
        <v>5</v>
      </c>
      <c r="E1739" s="178" t="s">
        <v>656</v>
      </c>
      <c r="F1739" s="226">
        <v>23</v>
      </c>
      <c r="G1739" s="178">
        <v>6066</v>
      </c>
      <c r="H1739" s="226">
        <v>6015</v>
      </c>
      <c r="I1739" s="338">
        <f t="shared" ref="I1739:I1744" si="431">+F1739/G1739*H1739</f>
        <v>22.806627101879329</v>
      </c>
      <c r="J1739" s="614">
        <f t="shared" ref="J1739:J1744" si="432">+F1739+I1739</f>
        <v>45.806627101879329</v>
      </c>
      <c r="K1739" s="316">
        <v>0.4</v>
      </c>
      <c r="L1739" s="174">
        <f t="shared" ref="L1739:L1744" si="433">+J1739*1.4</f>
        <v>64.129277942631063</v>
      </c>
      <c r="M1739" s="226">
        <v>55</v>
      </c>
      <c r="N1739" s="631"/>
      <c r="O1739" s="590"/>
      <c r="Q1739" s="836"/>
      <c r="R1739" s="914"/>
    </row>
    <row r="1740" spans="1:20" s="178" customFormat="1" x14ac:dyDescent="0.25">
      <c r="A1740" s="225"/>
      <c r="B1740" s="319" t="s">
        <v>1443</v>
      </c>
      <c r="C1740" s="178">
        <v>6</v>
      </c>
      <c r="E1740" s="178" t="s">
        <v>1430</v>
      </c>
      <c r="F1740" s="226">
        <v>23</v>
      </c>
      <c r="G1740" s="178">
        <v>6066</v>
      </c>
      <c r="H1740" s="226">
        <v>6015</v>
      </c>
      <c r="I1740" s="338">
        <f t="shared" si="431"/>
        <v>22.806627101879329</v>
      </c>
      <c r="J1740" s="614">
        <f t="shared" si="432"/>
        <v>45.806627101879329</v>
      </c>
      <c r="K1740" s="316">
        <v>0.4</v>
      </c>
      <c r="L1740" s="174">
        <f t="shared" si="433"/>
        <v>64.129277942631063</v>
      </c>
      <c r="M1740" s="226">
        <v>55</v>
      </c>
      <c r="N1740" s="631"/>
      <c r="O1740" s="590"/>
      <c r="Q1740" s="836"/>
      <c r="R1740" s="914"/>
    </row>
    <row r="1741" spans="1:20" s="178" customFormat="1" x14ac:dyDescent="0.25">
      <c r="A1741" s="225"/>
      <c r="B1741" s="319" t="s">
        <v>1444</v>
      </c>
      <c r="C1741" s="178">
        <v>7</v>
      </c>
      <c r="E1741" s="178" t="s">
        <v>656</v>
      </c>
      <c r="F1741" s="226">
        <v>19</v>
      </c>
      <c r="G1741" s="178">
        <v>6066</v>
      </c>
      <c r="H1741" s="226">
        <v>6015</v>
      </c>
      <c r="I1741" s="338">
        <f t="shared" si="431"/>
        <v>18.840257171117706</v>
      </c>
      <c r="J1741" s="614">
        <f t="shared" si="432"/>
        <v>37.840257171117706</v>
      </c>
      <c r="K1741" s="316">
        <v>0.4</v>
      </c>
      <c r="L1741" s="174">
        <f t="shared" si="433"/>
        <v>52.976360039564788</v>
      </c>
      <c r="M1741" s="226">
        <v>55</v>
      </c>
      <c r="N1741" s="631"/>
      <c r="O1741" s="590"/>
      <c r="Q1741" s="836"/>
      <c r="R1741" s="914"/>
    </row>
    <row r="1742" spans="1:20" s="178" customFormat="1" x14ac:dyDescent="0.25">
      <c r="A1742" s="225"/>
      <c r="B1742" s="319" t="s">
        <v>288</v>
      </c>
      <c r="C1742" s="178">
        <v>8</v>
      </c>
      <c r="E1742" s="178" t="s">
        <v>1431</v>
      </c>
      <c r="F1742" s="226">
        <v>18</v>
      </c>
      <c r="G1742" s="178">
        <v>6066</v>
      </c>
      <c r="H1742" s="226">
        <v>6015</v>
      </c>
      <c r="I1742" s="338">
        <f t="shared" si="431"/>
        <v>17.848664688427299</v>
      </c>
      <c r="J1742" s="614">
        <f t="shared" si="432"/>
        <v>35.848664688427299</v>
      </c>
      <c r="K1742" s="316">
        <v>0.4</v>
      </c>
      <c r="L1742" s="174">
        <f t="shared" si="433"/>
        <v>50.188130563798218</v>
      </c>
      <c r="M1742" s="226">
        <v>35</v>
      </c>
      <c r="N1742" s="631"/>
      <c r="O1742" s="590"/>
      <c r="Q1742" s="836"/>
      <c r="R1742" s="914"/>
    </row>
    <row r="1743" spans="1:20" s="178" customFormat="1" x14ac:dyDescent="0.25">
      <c r="A1743" s="225"/>
      <c r="B1743" s="319"/>
      <c r="C1743" s="178">
        <v>9</v>
      </c>
      <c r="E1743" s="178" t="s">
        <v>1432</v>
      </c>
      <c r="F1743" s="226">
        <v>6</v>
      </c>
      <c r="G1743" s="178">
        <v>6066</v>
      </c>
      <c r="H1743" s="226">
        <v>6015</v>
      </c>
      <c r="I1743" s="338">
        <f t="shared" si="431"/>
        <v>5.9495548961424332</v>
      </c>
      <c r="J1743" s="614">
        <f t="shared" si="432"/>
        <v>11.949554896142434</v>
      </c>
      <c r="K1743" s="316">
        <v>0.4</v>
      </c>
      <c r="L1743" s="174">
        <f t="shared" si="433"/>
        <v>16.729376854599408</v>
      </c>
      <c r="M1743" s="226">
        <v>25</v>
      </c>
      <c r="N1743" s="631"/>
      <c r="O1743" s="590"/>
      <c r="Q1743" s="836"/>
      <c r="R1743" s="914"/>
    </row>
    <row r="1744" spans="1:20" s="178" customFormat="1" x14ac:dyDescent="0.25">
      <c r="A1744" s="225"/>
      <c r="B1744" s="319" t="s">
        <v>1442</v>
      </c>
      <c r="C1744" s="178">
        <v>10</v>
      </c>
      <c r="E1744" s="178" t="s">
        <v>1446</v>
      </c>
      <c r="F1744" s="226">
        <v>6</v>
      </c>
      <c r="G1744" s="178">
        <v>6066</v>
      </c>
      <c r="H1744" s="226">
        <v>6015</v>
      </c>
      <c r="I1744" s="338">
        <f t="shared" si="431"/>
        <v>5.9495548961424332</v>
      </c>
      <c r="J1744" s="614">
        <f t="shared" si="432"/>
        <v>11.949554896142434</v>
      </c>
      <c r="K1744" s="316">
        <v>0.4</v>
      </c>
      <c r="L1744" s="174">
        <f t="shared" si="433"/>
        <v>16.729376854599408</v>
      </c>
      <c r="M1744" s="226">
        <v>25</v>
      </c>
      <c r="N1744" s="631"/>
      <c r="O1744" s="590"/>
      <c r="Q1744" s="836"/>
      <c r="R1744" s="914"/>
    </row>
    <row r="1745" spans="1:18" s="178" customFormat="1" x14ac:dyDescent="0.25">
      <c r="A1745" s="225"/>
      <c r="B1745" s="319"/>
      <c r="E1745" s="225" t="s">
        <v>1624</v>
      </c>
      <c r="F1745" s="226"/>
      <c r="H1745" s="226"/>
      <c r="I1745" s="338"/>
      <c r="J1745" s="614"/>
      <c r="K1745" s="316"/>
      <c r="L1745" s="174"/>
      <c r="M1745" s="226"/>
      <c r="N1745" s="631"/>
      <c r="Q1745" s="836"/>
      <c r="R1745" s="914"/>
    </row>
    <row r="1746" spans="1:18" s="178" customFormat="1" x14ac:dyDescent="0.25">
      <c r="C1746" s="178">
        <v>11</v>
      </c>
      <c r="E1746" s="752" t="s">
        <v>1318</v>
      </c>
      <c r="F1746" s="698"/>
      <c r="G1746" s="305"/>
      <c r="H1746" s="232"/>
      <c r="I1746" s="695"/>
      <c r="J1746" s="696"/>
      <c r="K1746" s="612"/>
      <c r="L1746" s="611"/>
      <c r="M1746" s="232">
        <v>45</v>
      </c>
      <c r="N1746" s="631"/>
      <c r="O1746" s="590"/>
      <c r="P1746" s="664" t="s">
        <v>2611</v>
      </c>
      <c r="Q1746" s="836">
        <v>45430</v>
      </c>
      <c r="R1746" s="914">
        <f>+M1746*14.5</f>
        <v>652.5</v>
      </c>
    </row>
    <row r="1747" spans="1:18" s="178" customFormat="1" x14ac:dyDescent="0.25">
      <c r="E1747" s="379" t="s">
        <v>1693</v>
      </c>
      <c r="F1747" s="175"/>
      <c r="G1747" s="227"/>
      <c r="H1747" s="226"/>
      <c r="I1747" s="338"/>
      <c r="J1747" s="614"/>
      <c r="K1747" s="316"/>
      <c r="L1747" s="226" t="s">
        <v>1699</v>
      </c>
      <c r="M1747" s="226"/>
      <c r="N1747" s="631"/>
      <c r="Q1747" s="836"/>
      <c r="R1747" s="914"/>
    </row>
    <row r="1748" spans="1:18" s="178" customFormat="1" hidden="1" x14ac:dyDescent="0.25">
      <c r="A1748" s="225" t="s">
        <v>774</v>
      </c>
      <c r="B1748" s="319" t="s">
        <v>1669</v>
      </c>
      <c r="C1748" s="178">
        <v>12</v>
      </c>
      <c r="D1748" s="656"/>
      <c r="E1748" s="708" t="s">
        <v>1695</v>
      </c>
      <c r="F1748" s="611">
        <v>15</v>
      </c>
      <c r="G1748" s="232">
        <v>3687</v>
      </c>
      <c r="H1748" s="232">
        <v>3582</v>
      </c>
      <c r="I1748" s="611">
        <f t="shared" ref="I1748:I1755" si="434">+F1748/G1748*H1748</f>
        <v>14.572823433685924</v>
      </c>
      <c r="J1748" s="611">
        <f t="shared" ref="J1748:J1755" si="435">+F1748+I1748</f>
        <v>29.572823433685926</v>
      </c>
      <c r="K1748" s="612">
        <v>1.4</v>
      </c>
      <c r="L1748" s="611">
        <f t="shared" ref="L1748:L1755" si="436">+J1748*1.4</f>
        <v>41.401952807160292</v>
      </c>
      <c r="M1748" s="232">
        <v>45</v>
      </c>
      <c r="N1748" s="631"/>
      <c r="O1748" s="590"/>
      <c r="P1748" s="178" t="s">
        <v>1945</v>
      </c>
      <c r="Q1748" s="836">
        <v>45324</v>
      </c>
      <c r="R1748" s="914">
        <f>+M1748*8000</f>
        <v>360000</v>
      </c>
    </row>
    <row r="1749" spans="1:18" s="178" customFormat="1" hidden="1" x14ac:dyDescent="0.25">
      <c r="A1749" s="225"/>
      <c r="B1749" s="319" t="s">
        <v>1669</v>
      </c>
      <c r="C1749" s="178">
        <v>13</v>
      </c>
      <c r="D1749" s="656"/>
      <c r="E1749" s="708" t="s">
        <v>1695</v>
      </c>
      <c r="F1749" s="611">
        <v>15</v>
      </c>
      <c r="G1749" s="232">
        <v>3687</v>
      </c>
      <c r="H1749" s="232">
        <v>3582</v>
      </c>
      <c r="I1749" s="611">
        <f t="shared" si="434"/>
        <v>14.572823433685924</v>
      </c>
      <c r="J1749" s="611">
        <f t="shared" si="435"/>
        <v>29.572823433685926</v>
      </c>
      <c r="K1749" s="612">
        <v>1.4</v>
      </c>
      <c r="L1749" s="611">
        <f t="shared" si="436"/>
        <v>41.401952807160292</v>
      </c>
      <c r="M1749" s="232">
        <v>30</v>
      </c>
      <c r="N1749" s="631"/>
      <c r="O1749" s="590"/>
      <c r="P1749" s="178" t="s">
        <v>2236</v>
      </c>
      <c r="Q1749" s="836">
        <v>45377</v>
      </c>
      <c r="R1749" s="914">
        <f>+M1749*20000</f>
        <v>600000</v>
      </c>
    </row>
    <row r="1750" spans="1:18" s="178" customFormat="1" x14ac:dyDescent="0.25">
      <c r="A1750" s="225"/>
      <c r="B1750" s="319" t="s">
        <v>1669</v>
      </c>
      <c r="C1750" s="178">
        <v>14</v>
      </c>
      <c r="D1750" s="656"/>
      <c r="E1750" s="628" t="s">
        <v>1696</v>
      </c>
      <c r="F1750" s="174">
        <v>15</v>
      </c>
      <c r="G1750" s="226">
        <v>3687</v>
      </c>
      <c r="H1750" s="226">
        <v>3582</v>
      </c>
      <c r="I1750" s="174">
        <f t="shared" si="434"/>
        <v>14.572823433685924</v>
      </c>
      <c r="J1750" s="174">
        <f t="shared" si="435"/>
        <v>29.572823433685926</v>
      </c>
      <c r="K1750" s="316">
        <v>1.4</v>
      </c>
      <c r="L1750" s="174">
        <f t="shared" si="436"/>
        <v>41.401952807160292</v>
      </c>
      <c r="M1750" s="226">
        <v>45</v>
      </c>
      <c r="N1750" s="631"/>
      <c r="O1750" s="590"/>
      <c r="Q1750" s="836"/>
      <c r="R1750" s="914"/>
    </row>
    <row r="1751" spans="1:18" s="178" customFormat="1" hidden="1" x14ac:dyDescent="0.25">
      <c r="A1751" s="225"/>
      <c r="B1751" s="319" t="s">
        <v>1669</v>
      </c>
      <c r="C1751" s="178">
        <v>15</v>
      </c>
      <c r="D1751" s="656"/>
      <c r="E1751" s="708" t="s">
        <v>1698</v>
      </c>
      <c r="F1751" s="611">
        <v>15</v>
      </c>
      <c r="G1751" s="232">
        <v>3687</v>
      </c>
      <c r="H1751" s="232">
        <v>3582</v>
      </c>
      <c r="I1751" s="611">
        <f t="shared" si="434"/>
        <v>14.572823433685924</v>
      </c>
      <c r="J1751" s="611">
        <f t="shared" si="435"/>
        <v>29.572823433685926</v>
      </c>
      <c r="K1751" s="612">
        <v>1.4</v>
      </c>
      <c r="L1751" s="611">
        <f t="shared" si="436"/>
        <v>41.401952807160292</v>
      </c>
      <c r="M1751" s="232">
        <v>40</v>
      </c>
      <c r="N1751" s="631"/>
      <c r="O1751" s="590"/>
      <c r="P1751" s="178" t="s">
        <v>12</v>
      </c>
      <c r="Q1751" s="836">
        <v>45324</v>
      </c>
      <c r="R1751" s="914">
        <f>+M1751*8000</f>
        <v>320000</v>
      </c>
    </row>
    <row r="1752" spans="1:18" s="178" customFormat="1" x14ac:dyDescent="0.25">
      <c r="A1752" s="225"/>
      <c r="B1752" s="319" t="s">
        <v>1669</v>
      </c>
      <c r="C1752" s="178">
        <v>16</v>
      </c>
      <c r="D1752" s="656"/>
      <c r="E1752" s="628" t="s">
        <v>1697</v>
      </c>
      <c r="F1752" s="174">
        <v>16</v>
      </c>
      <c r="G1752" s="226">
        <v>3687</v>
      </c>
      <c r="H1752" s="226">
        <v>3582</v>
      </c>
      <c r="I1752" s="174">
        <f t="shared" si="434"/>
        <v>15.544344995931652</v>
      </c>
      <c r="J1752" s="174">
        <f t="shared" si="435"/>
        <v>31.544344995931652</v>
      </c>
      <c r="K1752" s="316">
        <v>1.4</v>
      </c>
      <c r="L1752" s="174">
        <f t="shared" si="436"/>
        <v>44.162082994304313</v>
      </c>
      <c r="M1752" s="226">
        <v>40</v>
      </c>
      <c r="N1752" s="631"/>
      <c r="O1752" s="590"/>
      <c r="Q1752" s="836"/>
      <c r="R1752" s="914"/>
    </row>
    <row r="1753" spans="1:18" s="178" customFormat="1" hidden="1" x14ac:dyDescent="0.25">
      <c r="A1753" s="225"/>
      <c r="B1753" s="319" t="s">
        <v>1665</v>
      </c>
      <c r="C1753" s="178">
        <v>17</v>
      </c>
      <c r="D1753" s="656"/>
      <c r="E1753" s="708" t="s">
        <v>1664</v>
      </c>
      <c r="F1753" s="611">
        <v>15</v>
      </c>
      <c r="G1753" s="232">
        <v>3687</v>
      </c>
      <c r="H1753" s="232">
        <v>3582</v>
      </c>
      <c r="I1753" s="611">
        <f t="shared" si="434"/>
        <v>14.572823433685924</v>
      </c>
      <c r="J1753" s="611">
        <f t="shared" si="435"/>
        <v>29.572823433685926</v>
      </c>
      <c r="K1753" s="612">
        <v>1.4</v>
      </c>
      <c r="L1753" s="611">
        <f t="shared" si="436"/>
        <v>41.401952807160292</v>
      </c>
      <c r="M1753" s="698">
        <v>40</v>
      </c>
      <c r="N1753" s="633"/>
      <c r="O1753" s="590"/>
      <c r="P1753" s="178" t="s">
        <v>12</v>
      </c>
      <c r="Q1753" s="836">
        <v>45360</v>
      </c>
      <c r="R1753" s="914">
        <f>+M1753*30000</f>
        <v>1200000</v>
      </c>
    </row>
    <row r="1754" spans="1:18" s="178" customFormat="1" hidden="1" x14ac:dyDescent="0.25">
      <c r="A1754" s="225"/>
      <c r="B1754" s="319" t="s">
        <v>1666</v>
      </c>
      <c r="C1754" s="178">
        <v>18</v>
      </c>
      <c r="D1754" s="656"/>
      <c r="E1754" s="708" t="s">
        <v>1664</v>
      </c>
      <c r="F1754" s="611">
        <v>18</v>
      </c>
      <c r="G1754" s="232">
        <v>3687</v>
      </c>
      <c r="H1754" s="232">
        <v>3582</v>
      </c>
      <c r="I1754" s="611">
        <f t="shared" si="434"/>
        <v>17.487388120423109</v>
      </c>
      <c r="J1754" s="611">
        <f t="shared" si="435"/>
        <v>35.487388120423105</v>
      </c>
      <c r="K1754" s="612">
        <v>1.4</v>
      </c>
      <c r="L1754" s="611">
        <f t="shared" si="436"/>
        <v>49.682343368592342</v>
      </c>
      <c r="M1754" s="232">
        <v>40</v>
      </c>
      <c r="N1754" s="631"/>
      <c r="O1754" s="590"/>
      <c r="P1754" s="178" t="s">
        <v>12</v>
      </c>
      <c r="Q1754" s="836">
        <v>45406</v>
      </c>
      <c r="R1754" s="914">
        <f>+M1754*36000</f>
        <v>1440000</v>
      </c>
    </row>
    <row r="1755" spans="1:18" s="178" customFormat="1" hidden="1" x14ac:dyDescent="0.25">
      <c r="A1755" s="225"/>
      <c r="B1755" s="319" t="s">
        <v>1667</v>
      </c>
      <c r="C1755" s="178">
        <v>19</v>
      </c>
      <c r="D1755" s="656"/>
      <c r="E1755" s="708" t="s">
        <v>1668</v>
      </c>
      <c r="F1755" s="611">
        <v>15</v>
      </c>
      <c r="G1755" s="232">
        <v>3687</v>
      </c>
      <c r="H1755" s="232">
        <v>3582</v>
      </c>
      <c r="I1755" s="611">
        <f t="shared" si="434"/>
        <v>14.572823433685924</v>
      </c>
      <c r="J1755" s="611">
        <f t="shared" si="435"/>
        <v>29.572823433685926</v>
      </c>
      <c r="K1755" s="612">
        <v>1.4</v>
      </c>
      <c r="L1755" s="611">
        <f t="shared" si="436"/>
        <v>41.401952807160292</v>
      </c>
      <c r="M1755" s="232">
        <v>60</v>
      </c>
      <c r="N1755" s="631"/>
      <c r="O1755" s="590"/>
      <c r="P1755" s="178" t="s">
        <v>12</v>
      </c>
      <c r="Q1755" s="836">
        <v>45377</v>
      </c>
      <c r="R1755" s="914">
        <f>+M1755*20000</f>
        <v>1200000</v>
      </c>
    </row>
    <row r="1756" spans="1:18" s="178" customFormat="1" x14ac:dyDescent="0.25">
      <c r="A1756" s="225"/>
      <c r="B1756" s="319" t="s">
        <v>1683</v>
      </c>
      <c r="C1756" s="178">
        <v>20</v>
      </c>
      <c r="D1756" s="656"/>
      <c r="E1756" s="708" t="s">
        <v>1682</v>
      </c>
      <c r="F1756" s="611">
        <v>15</v>
      </c>
      <c r="G1756" s="232"/>
      <c r="H1756" s="232"/>
      <c r="I1756" s="611"/>
      <c r="J1756" s="611"/>
      <c r="K1756" s="612"/>
      <c r="L1756" s="611"/>
      <c r="M1756" s="232">
        <v>40</v>
      </c>
      <c r="N1756" s="631"/>
      <c r="O1756" s="590"/>
      <c r="P1756" s="178" t="s">
        <v>12</v>
      </c>
      <c r="Q1756" s="836">
        <v>45420</v>
      </c>
      <c r="R1756" s="914">
        <f>+M1756*14.5</f>
        <v>580</v>
      </c>
    </row>
    <row r="1757" spans="1:18" s="178" customFormat="1" hidden="1" x14ac:dyDescent="0.25">
      <c r="A1757" s="225"/>
      <c r="B1757" s="319" t="s">
        <v>2401</v>
      </c>
      <c r="C1757" s="178">
        <v>21</v>
      </c>
      <c r="D1757" s="656"/>
      <c r="E1757" s="708" t="s">
        <v>2402</v>
      </c>
      <c r="F1757" s="611">
        <v>5</v>
      </c>
      <c r="G1757" s="232"/>
      <c r="H1757" s="232"/>
      <c r="I1757" s="611"/>
      <c r="J1757" s="611"/>
      <c r="K1757" s="612"/>
      <c r="L1757" s="611"/>
      <c r="M1757" s="232">
        <v>25</v>
      </c>
      <c r="N1757" s="631"/>
      <c r="O1757" s="590"/>
      <c r="P1757" s="178" t="s">
        <v>12</v>
      </c>
      <c r="Q1757" s="836">
        <v>45402</v>
      </c>
      <c r="R1757" s="914">
        <f>+M1757*36000</f>
        <v>900000</v>
      </c>
    </row>
    <row r="1758" spans="1:18" s="178" customFormat="1" x14ac:dyDescent="0.25">
      <c r="A1758" s="225"/>
      <c r="B1758" s="319"/>
      <c r="C1758" s="178">
        <v>22</v>
      </c>
      <c r="D1758" s="656"/>
      <c r="E1758" s="708" t="s">
        <v>2403</v>
      </c>
      <c r="F1758" s="611">
        <v>5</v>
      </c>
      <c r="G1758" s="232"/>
      <c r="H1758" s="232"/>
      <c r="I1758" s="611"/>
      <c r="J1758" s="611"/>
      <c r="K1758" s="612"/>
      <c r="L1758" s="611"/>
      <c r="M1758" s="232">
        <v>25</v>
      </c>
      <c r="N1758" s="631"/>
      <c r="O1758" s="590"/>
      <c r="P1758" s="178" t="s">
        <v>12</v>
      </c>
      <c r="Q1758" s="836">
        <v>45467</v>
      </c>
      <c r="R1758" s="914"/>
    </row>
    <row r="1759" spans="1:18" s="178" customFormat="1" x14ac:dyDescent="0.25">
      <c r="A1759" s="225"/>
      <c r="B1759" s="319"/>
      <c r="C1759" s="178">
        <v>23</v>
      </c>
      <c r="D1759" s="656"/>
      <c r="E1759" s="628" t="s">
        <v>2404</v>
      </c>
      <c r="F1759" s="174">
        <v>5</v>
      </c>
      <c r="G1759" s="226"/>
      <c r="H1759" s="226"/>
      <c r="I1759" s="174"/>
      <c r="J1759" s="174"/>
      <c r="K1759" s="316"/>
      <c r="L1759" s="174"/>
      <c r="M1759" s="226">
        <v>25</v>
      </c>
      <c r="N1759" s="631"/>
      <c r="O1759" s="590"/>
      <c r="Q1759" s="836"/>
      <c r="R1759" s="914"/>
    </row>
    <row r="1760" spans="1:18" s="178" customFormat="1" x14ac:dyDescent="0.25">
      <c r="A1760" s="225"/>
      <c r="B1760" s="319"/>
      <c r="D1760" s="656"/>
      <c r="E1760" s="708" t="s">
        <v>2448</v>
      </c>
      <c r="F1760" s="611">
        <v>5</v>
      </c>
      <c r="G1760" s="232"/>
      <c r="H1760" s="232"/>
      <c r="I1760" s="611"/>
      <c r="J1760" s="611"/>
      <c r="K1760" s="612"/>
      <c r="L1760" s="611"/>
      <c r="M1760" s="232">
        <v>25</v>
      </c>
      <c r="N1760" s="631"/>
      <c r="O1760" s="590"/>
      <c r="P1760" s="178" t="s">
        <v>12</v>
      </c>
      <c r="Q1760" s="836">
        <v>45456</v>
      </c>
      <c r="R1760" s="914">
        <f>+M1760*14.5</f>
        <v>362.5</v>
      </c>
    </row>
    <row r="1761" spans="1:20" s="395" customFormat="1" ht="15.75" outlineLevel="1" x14ac:dyDescent="0.25">
      <c r="A1761" s="154"/>
      <c r="C1761" s="500"/>
      <c r="D1761" s="500"/>
      <c r="E1761" s="393" t="s">
        <v>178</v>
      </c>
      <c r="F1761" s="150">
        <f>SUM(F1728:F1730)</f>
        <v>15</v>
      </c>
      <c r="G1761" s="150"/>
      <c r="H1761" s="150"/>
      <c r="I1761" s="150"/>
      <c r="J1761" s="150"/>
      <c r="K1761" s="150"/>
      <c r="L1761" s="150">
        <f>SUM(L1728:L1730)</f>
        <v>48.50015253203172</v>
      </c>
      <c r="M1761" s="150">
        <f>SUM(M1728:M1730)</f>
        <v>55</v>
      </c>
      <c r="N1761" s="404"/>
      <c r="O1761" s="167"/>
      <c r="P1761" s="150"/>
      <c r="Q1761" s="854"/>
      <c r="R1761" s="915"/>
      <c r="S1761" s="11"/>
      <c r="T1761" s="11"/>
    </row>
    <row r="1762" spans="1:20" s="395" customFormat="1" ht="15.75" outlineLevel="1" x14ac:dyDescent="0.25">
      <c r="A1762" s="154"/>
      <c r="B1762" s="395">
        <v>2022</v>
      </c>
      <c r="C1762" s="500">
        <v>57</v>
      </c>
      <c r="D1762" s="500">
        <v>-32</v>
      </c>
      <c r="E1762" s="393">
        <f>+C1762+D1762</f>
        <v>25</v>
      </c>
      <c r="F1762" s="150"/>
      <c r="G1762" s="150"/>
      <c r="H1762" s="150"/>
      <c r="I1762" s="150"/>
      <c r="J1762" s="150"/>
      <c r="K1762" s="150"/>
      <c r="L1762" s="394">
        <f>+L1761/F1761</f>
        <v>3.233343502135448</v>
      </c>
      <c r="M1762" s="150"/>
      <c r="N1762" s="404"/>
      <c r="O1762" s="167"/>
      <c r="P1762" s="150"/>
      <c r="Q1762" s="854"/>
      <c r="R1762" s="915"/>
      <c r="S1762" s="11"/>
      <c r="T1762" s="11"/>
    </row>
    <row r="1763" spans="1:20" s="395" customFormat="1" ht="15.75" outlineLevel="1" x14ac:dyDescent="0.25">
      <c r="A1763" s="154"/>
      <c r="B1763" s="395">
        <v>2023</v>
      </c>
      <c r="C1763" s="500"/>
      <c r="D1763" s="500"/>
      <c r="E1763" s="393">
        <v>20</v>
      </c>
      <c r="F1763" s="150"/>
      <c r="G1763" s="150"/>
      <c r="H1763" s="150"/>
      <c r="I1763" s="150"/>
      <c r="J1763" s="150"/>
      <c r="K1763" s="150"/>
      <c r="L1763" s="394"/>
      <c r="M1763" s="150"/>
      <c r="N1763" s="404"/>
      <c r="O1763" s="167"/>
      <c r="P1763" s="150"/>
      <c r="Q1763" s="854"/>
      <c r="R1763" s="915"/>
      <c r="S1763" s="11"/>
      <c r="T1763" s="11"/>
    </row>
    <row r="1764" spans="1:20" s="395" customFormat="1" ht="15.75" outlineLevel="1" x14ac:dyDescent="0.25">
      <c r="A1764" s="154"/>
      <c r="C1764" s="500"/>
      <c r="D1764" s="500"/>
      <c r="E1764" s="393"/>
      <c r="F1764" s="150"/>
      <c r="G1764" s="150"/>
      <c r="H1764" s="150"/>
      <c r="I1764" s="150"/>
      <c r="J1764" s="150"/>
      <c r="K1764" s="150"/>
      <c r="L1764" s="394"/>
      <c r="M1764" s="150"/>
      <c r="N1764" s="404"/>
      <c r="O1764" s="167"/>
      <c r="P1764" s="150"/>
      <c r="Q1764" s="854"/>
      <c r="R1764" s="915"/>
      <c r="S1764" s="11"/>
      <c r="T1764" s="11"/>
    </row>
    <row r="1765" spans="1:20" s="395" customFormat="1" ht="15.75" outlineLevel="1" x14ac:dyDescent="0.25">
      <c r="A1765" s="154" t="s">
        <v>72</v>
      </c>
      <c r="C1765" s="500"/>
      <c r="D1765" s="500"/>
      <c r="E1765" s="393" t="s">
        <v>72</v>
      </c>
      <c r="F1765" s="150"/>
      <c r="G1765" s="150"/>
      <c r="H1765" s="150"/>
      <c r="I1765" s="258"/>
      <c r="J1765" s="258"/>
      <c r="K1765" s="150"/>
      <c r="L1765" s="394"/>
      <c r="M1765" s="150"/>
      <c r="N1765" s="404"/>
      <c r="P1765" s="160"/>
      <c r="Q1765" s="834"/>
      <c r="R1765" s="913"/>
      <c r="S1765" s="11"/>
      <c r="T1765" s="11"/>
    </row>
    <row r="1766" spans="1:20" s="395" customFormat="1" ht="15.75" hidden="1" outlineLevel="1" x14ac:dyDescent="0.25">
      <c r="A1766" s="393"/>
      <c r="B1766" s="393" t="s">
        <v>383</v>
      </c>
      <c r="C1766" s="395">
        <v>15</v>
      </c>
      <c r="D1766" s="395">
        <v>4</v>
      </c>
      <c r="E1766" s="317" t="s">
        <v>980</v>
      </c>
      <c r="F1766" s="493">
        <v>0.4</v>
      </c>
      <c r="G1766" s="509"/>
      <c r="H1766" s="493"/>
      <c r="I1766" s="493"/>
      <c r="J1766" s="493"/>
      <c r="K1766" s="533"/>
      <c r="L1766" s="493">
        <f t="shared" ref="L1766:L1770" si="437">+J1766*K1766+J1766</f>
        <v>0</v>
      </c>
      <c r="M1766" s="493">
        <v>5</v>
      </c>
      <c r="N1766" s="504"/>
      <c r="O1766" s="362"/>
      <c r="P1766" s="337" t="s">
        <v>12</v>
      </c>
      <c r="Q1766" s="835">
        <v>45310</v>
      </c>
      <c r="R1766" s="932">
        <f t="shared" ref="R1766:R1768" si="438">+M1766*7000</f>
        <v>35000</v>
      </c>
    </row>
    <row r="1767" spans="1:20" s="395" customFormat="1" ht="15.75" hidden="1" outlineLevel="1" x14ac:dyDescent="0.25">
      <c r="A1767" s="393"/>
      <c r="B1767" s="393" t="s">
        <v>383</v>
      </c>
      <c r="C1767" s="395">
        <v>16</v>
      </c>
      <c r="D1767" s="395">
        <v>4</v>
      </c>
      <c r="E1767" s="317" t="s">
        <v>980</v>
      </c>
      <c r="F1767" s="493">
        <v>0.4</v>
      </c>
      <c r="G1767" s="509"/>
      <c r="H1767" s="493"/>
      <c r="I1767" s="493"/>
      <c r="J1767" s="493"/>
      <c r="K1767" s="533"/>
      <c r="L1767" s="493">
        <f t="shared" si="437"/>
        <v>0</v>
      </c>
      <c r="M1767" s="493">
        <v>5</v>
      </c>
      <c r="N1767" s="504"/>
      <c r="O1767" s="362"/>
      <c r="P1767" s="337" t="s">
        <v>12</v>
      </c>
      <c r="Q1767" s="835">
        <v>45310</v>
      </c>
      <c r="R1767" s="932">
        <f t="shared" si="438"/>
        <v>35000</v>
      </c>
    </row>
    <row r="1768" spans="1:20" s="395" customFormat="1" ht="15.75" hidden="1" outlineLevel="1" x14ac:dyDescent="0.25">
      <c r="A1768" s="393"/>
      <c r="B1768" s="393" t="s">
        <v>383</v>
      </c>
      <c r="C1768" s="395">
        <v>17</v>
      </c>
      <c r="D1768" s="395">
        <v>4</v>
      </c>
      <c r="E1768" s="317" t="s">
        <v>980</v>
      </c>
      <c r="F1768" s="493">
        <v>0.4</v>
      </c>
      <c r="G1768" s="509"/>
      <c r="H1768" s="493"/>
      <c r="I1768" s="493"/>
      <c r="J1768" s="493"/>
      <c r="K1768" s="533"/>
      <c r="L1768" s="493">
        <f t="shared" si="437"/>
        <v>0</v>
      </c>
      <c r="M1768" s="493">
        <v>5</v>
      </c>
      <c r="N1768" s="504"/>
      <c r="O1768" s="362"/>
      <c r="P1768" s="337" t="s">
        <v>12</v>
      </c>
      <c r="Q1768" s="835">
        <v>45310</v>
      </c>
      <c r="R1768" s="932">
        <f t="shared" si="438"/>
        <v>35000</v>
      </c>
    </row>
    <row r="1769" spans="1:20" s="395" customFormat="1" ht="15.75" outlineLevel="1" x14ac:dyDescent="0.25">
      <c r="A1769" s="393"/>
      <c r="B1769" s="393" t="s">
        <v>383</v>
      </c>
      <c r="C1769" s="395">
        <v>18</v>
      </c>
      <c r="D1769" s="395">
        <v>4</v>
      </c>
      <c r="E1769" s="395" t="s">
        <v>980</v>
      </c>
      <c r="F1769" s="394">
        <v>0.4</v>
      </c>
      <c r="G1769" s="179"/>
      <c r="H1769" s="394"/>
      <c r="I1769" s="394"/>
      <c r="J1769" s="394"/>
      <c r="K1769" s="491"/>
      <c r="L1769" s="394">
        <f t="shared" si="437"/>
        <v>0</v>
      </c>
      <c r="M1769" s="394">
        <v>5</v>
      </c>
      <c r="N1769" s="504"/>
      <c r="O1769" s="362"/>
      <c r="Q1769" s="833"/>
      <c r="R1769" s="396"/>
    </row>
    <row r="1770" spans="1:20" s="395" customFormat="1" ht="15.75" outlineLevel="1" x14ac:dyDescent="0.25">
      <c r="A1770" s="393"/>
      <c r="B1770" s="393" t="s">
        <v>383</v>
      </c>
      <c r="C1770" s="395">
        <v>19</v>
      </c>
      <c r="D1770" s="395">
        <v>4</v>
      </c>
      <c r="E1770" s="395" t="s">
        <v>980</v>
      </c>
      <c r="F1770" s="394">
        <v>0.4</v>
      </c>
      <c r="G1770" s="179"/>
      <c r="H1770" s="394"/>
      <c r="I1770" s="394"/>
      <c r="J1770" s="394"/>
      <c r="K1770" s="491"/>
      <c r="L1770" s="394">
        <f t="shared" si="437"/>
        <v>0</v>
      </c>
      <c r="M1770" s="394">
        <v>5</v>
      </c>
      <c r="N1770" s="504"/>
      <c r="O1770" s="362"/>
      <c r="Q1770" s="833"/>
      <c r="R1770" s="396"/>
    </row>
    <row r="1771" spans="1:20" s="395" customFormat="1" ht="15.75" outlineLevel="1" x14ac:dyDescent="0.25">
      <c r="A1771" s="393"/>
      <c r="B1771" s="393" t="s">
        <v>800</v>
      </c>
      <c r="F1771" s="516"/>
      <c r="H1771" s="394"/>
      <c r="I1771" s="394"/>
      <c r="J1771" s="394"/>
      <c r="K1771" s="492"/>
      <c r="L1771" s="394"/>
      <c r="M1771" s="394"/>
      <c r="N1771" s="504"/>
      <c r="Q1771" s="833"/>
      <c r="R1771" s="396"/>
    </row>
    <row r="1772" spans="1:20" s="169" customFormat="1" ht="15.75" x14ac:dyDescent="0.25">
      <c r="A1772" s="395"/>
      <c r="B1772" s="395"/>
      <c r="C1772" s="395">
        <v>26</v>
      </c>
      <c r="D1772" s="395">
        <v>6</v>
      </c>
      <c r="E1772" s="276" t="s">
        <v>1072</v>
      </c>
      <c r="F1772" s="394">
        <v>1.5</v>
      </c>
      <c r="G1772" s="179">
        <v>8183</v>
      </c>
      <c r="H1772" s="394">
        <v>13183</v>
      </c>
      <c r="I1772" s="394">
        <f t="shared" ref="I1772:I1777" si="439">+F1772/G1772*H1772</f>
        <v>2.4165342783820112</v>
      </c>
      <c r="J1772" s="394">
        <f t="shared" ref="J1772:J1777" si="440">+F1772+I1772</f>
        <v>3.9165342783820112</v>
      </c>
      <c r="K1772" s="492">
        <v>0.3</v>
      </c>
      <c r="L1772" s="394">
        <f t="shared" ref="L1772:L1777" si="441">+J1772*K1772+J1772</f>
        <v>5.0914945618966145</v>
      </c>
      <c r="M1772" s="394">
        <v>5</v>
      </c>
      <c r="N1772" s="504"/>
      <c r="O1772" s="362"/>
      <c r="P1772" s="395"/>
      <c r="Q1772" s="833"/>
      <c r="R1772" s="396"/>
      <c r="S1772" s="395"/>
      <c r="T1772" s="395"/>
    </row>
    <row r="1773" spans="1:20" s="169" customFormat="1" ht="15.75" x14ac:dyDescent="0.25">
      <c r="A1773" s="395"/>
      <c r="B1773" s="395"/>
      <c r="C1773" s="395">
        <v>28</v>
      </c>
      <c r="D1773" s="395">
        <v>6</v>
      </c>
      <c r="E1773" s="276" t="s">
        <v>981</v>
      </c>
      <c r="F1773" s="394">
        <v>1.5</v>
      </c>
      <c r="G1773" s="179">
        <v>8183</v>
      </c>
      <c r="H1773" s="394">
        <v>13183</v>
      </c>
      <c r="I1773" s="394">
        <f t="shared" si="439"/>
        <v>2.4165342783820112</v>
      </c>
      <c r="J1773" s="394">
        <f t="shared" si="440"/>
        <v>3.9165342783820112</v>
      </c>
      <c r="K1773" s="492">
        <v>0.3</v>
      </c>
      <c r="L1773" s="394">
        <f t="shared" si="441"/>
        <v>5.0914945618966145</v>
      </c>
      <c r="M1773" s="394">
        <v>5</v>
      </c>
      <c r="N1773" s="504"/>
      <c r="O1773" s="362"/>
      <c r="P1773" s="395"/>
      <c r="Q1773" s="833"/>
      <c r="R1773" s="396"/>
      <c r="S1773" s="395"/>
      <c r="T1773" s="395"/>
    </row>
    <row r="1774" spans="1:20" s="169" customFormat="1" ht="15.75" x14ac:dyDescent="0.25">
      <c r="A1774" s="395"/>
      <c r="B1774" s="395"/>
      <c r="C1774" s="395">
        <v>29</v>
      </c>
      <c r="D1774" s="395">
        <v>6</v>
      </c>
      <c r="E1774" s="276" t="s">
        <v>981</v>
      </c>
      <c r="F1774" s="394">
        <v>1.5</v>
      </c>
      <c r="G1774" s="179">
        <v>8183</v>
      </c>
      <c r="H1774" s="394">
        <v>13183</v>
      </c>
      <c r="I1774" s="394">
        <f t="shared" si="439"/>
        <v>2.4165342783820112</v>
      </c>
      <c r="J1774" s="394">
        <f t="shared" si="440"/>
        <v>3.9165342783820112</v>
      </c>
      <c r="K1774" s="492">
        <v>0.3</v>
      </c>
      <c r="L1774" s="394">
        <f t="shared" si="441"/>
        <v>5.0914945618966145</v>
      </c>
      <c r="M1774" s="394">
        <v>5</v>
      </c>
      <c r="N1774" s="504"/>
      <c r="O1774" s="362"/>
      <c r="P1774" s="395"/>
      <c r="Q1774" s="833"/>
      <c r="R1774" s="396"/>
      <c r="S1774" s="395"/>
      <c r="T1774" s="395"/>
    </row>
    <row r="1775" spans="1:20" s="169" customFormat="1" ht="15.75" x14ac:dyDescent="0.25">
      <c r="A1775" s="395"/>
      <c r="B1775" s="395"/>
      <c r="C1775" s="395">
        <v>30</v>
      </c>
      <c r="D1775" s="395">
        <v>6</v>
      </c>
      <c r="E1775" s="276" t="s">
        <v>981</v>
      </c>
      <c r="F1775" s="394">
        <v>1.5</v>
      </c>
      <c r="G1775" s="179">
        <v>8183</v>
      </c>
      <c r="H1775" s="394">
        <v>13183</v>
      </c>
      <c r="I1775" s="394">
        <f t="shared" si="439"/>
        <v>2.4165342783820112</v>
      </c>
      <c r="J1775" s="394">
        <f t="shared" si="440"/>
        <v>3.9165342783820112</v>
      </c>
      <c r="K1775" s="492">
        <v>0.3</v>
      </c>
      <c r="L1775" s="394">
        <f t="shared" si="441"/>
        <v>5.0914945618966145</v>
      </c>
      <c r="M1775" s="394">
        <v>5</v>
      </c>
      <c r="N1775" s="504"/>
      <c r="O1775" s="362"/>
      <c r="P1775" s="395"/>
      <c r="Q1775" s="833"/>
      <c r="R1775" s="396"/>
      <c r="S1775" s="395"/>
      <c r="T1775" s="395"/>
    </row>
    <row r="1776" spans="1:20" s="169" customFormat="1" ht="15.75" x14ac:dyDescent="0.25">
      <c r="A1776" s="395"/>
      <c r="B1776" s="395"/>
      <c r="C1776" s="395">
        <v>31</v>
      </c>
      <c r="D1776" s="395">
        <v>6</v>
      </c>
      <c r="E1776" s="276" t="s">
        <v>981</v>
      </c>
      <c r="F1776" s="394">
        <v>1.5</v>
      </c>
      <c r="G1776" s="179">
        <v>8183</v>
      </c>
      <c r="H1776" s="394">
        <v>13183</v>
      </c>
      <c r="I1776" s="394">
        <f t="shared" si="439"/>
        <v>2.4165342783820112</v>
      </c>
      <c r="J1776" s="394">
        <f t="shared" si="440"/>
        <v>3.9165342783820112</v>
      </c>
      <c r="K1776" s="492">
        <v>0.3</v>
      </c>
      <c r="L1776" s="394">
        <f t="shared" si="441"/>
        <v>5.0914945618966145</v>
      </c>
      <c r="M1776" s="394">
        <v>5</v>
      </c>
      <c r="N1776" s="504"/>
      <c r="O1776" s="362"/>
      <c r="P1776" s="395"/>
      <c r="Q1776" s="833"/>
      <c r="R1776" s="396"/>
      <c r="S1776" s="395"/>
      <c r="T1776" s="395"/>
    </row>
    <row r="1777" spans="1:20" s="169" customFormat="1" ht="15.75" x14ac:dyDescent="0.25">
      <c r="A1777" s="395"/>
      <c r="B1777" s="395"/>
      <c r="C1777" s="395">
        <v>32</v>
      </c>
      <c r="D1777" s="395">
        <v>6</v>
      </c>
      <c r="E1777" s="276" t="s">
        <v>981</v>
      </c>
      <c r="F1777" s="394">
        <v>1.5</v>
      </c>
      <c r="G1777" s="179">
        <v>8183</v>
      </c>
      <c r="H1777" s="394">
        <v>13183</v>
      </c>
      <c r="I1777" s="394">
        <f t="shared" si="439"/>
        <v>2.4165342783820112</v>
      </c>
      <c r="J1777" s="394">
        <f t="shared" si="440"/>
        <v>3.9165342783820112</v>
      </c>
      <c r="K1777" s="492">
        <v>0.3</v>
      </c>
      <c r="L1777" s="394">
        <f t="shared" si="441"/>
        <v>5.0914945618966145</v>
      </c>
      <c r="M1777" s="394">
        <v>5</v>
      </c>
      <c r="N1777" s="504"/>
      <c r="O1777" s="362"/>
      <c r="P1777" s="395"/>
      <c r="Q1777" s="833"/>
      <c r="R1777" s="396"/>
      <c r="S1777" s="395"/>
      <c r="T1777" s="395"/>
    </row>
    <row r="1778" spans="1:20" s="169" customFormat="1" ht="15.75" x14ac:dyDescent="0.25">
      <c r="A1778" s="395"/>
      <c r="B1778" s="395"/>
      <c r="C1778" s="395">
        <v>33</v>
      </c>
      <c r="D1778" s="395">
        <v>6</v>
      </c>
      <c r="E1778" s="276" t="s">
        <v>981</v>
      </c>
      <c r="F1778" s="394"/>
      <c r="G1778" s="179"/>
      <c r="H1778" s="394"/>
      <c r="I1778" s="394"/>
      <c r="J1778" s="394"/>
      <c r="K1778" s="492"/>
      <c r="L1778" s="394"/>
      <c r="M1778" s="394"/>
      <c r="N1778" s="504"/>
      <c r="O1778" s="362"/>
      <c r="P1778" s="395"/>
      <c r="Q1778" s="833"/>
      <c r="R1778" s="396"/>
      <c r="S1778" s="395"/>
      <c r="T1778" s="395"/>
    </row>
    <row r="1779" spans="1:20" s="169" customFormat="1" ht="15.75" x14ac:dyDescent="0.25">
      <c r="A1779" s="395"/>
      <c r="B1779" s="395"/>
      <c r="C1779" s="395"/>
      <c r="D1779" s="395"/>
      <c r="E1779" s="429" t="s">
        <v>1069</v>
      </c>
      <c r="F1779" s="394"/>
      <c r="G1779" s="179"/>
      <c r="H1779" s="394"/>
      <c r="I1779" s="394"/>
      <c r="J1779" s="394"/>
      <c r="K1779" s="492"/>
      <c r="L1779" s="394"/>
      <c r="M1779" s="394"/>
      <c r="N1779" s="504"/>
      <c r="O1779" s="395"/>
      <c r="P1779" s="395"/>
      <c r="Q1779" s="833"/>
      <c r="R1779" s="396"/>
      <c r="S1779" s="395"/>
      <c r="T1779" s="395"/>
    </row>
    <row r="1780" spans="1:20" s="337" customFormat="1" ht="15.75" x14ac:dyDescent="0.25">
      <c r="A1780" s="169"/>
      <c r="B1780" s="331"/>
      <c r="E1780" s="337" t="s">
        <v>1236</v>
      </c>
      <c r="F1780" s="338"/>
      <c r="G1780" s="339"/>
      <c r="H1780" s="338"/>
      <c r="I1780" s="338"/>
      <c r="J1780" s="338"/>
      <c r="K1780" s="340"/>
      <c r="L1780" s="338"/>
      <c r="M1780" s="341"/>
      <c r="N1780" s="675"/>
      <c r="O1780" s="169"/>
      <c r="P1780" s="169"/>
      <c r="Q1780" s="835"/>
      <c r="R1780" s="580"/>
    </row>
    <row r="1781" spans="1:20" s="337" customFormat="1" ht="15.75" hidden="1" x14ac:dyDescent="0.25">
      <c r="A1781" s="169"/>
      <c r="B1781" s="331"/>
      <c r="D1781" s="337">
        <v>4</v>
      </c>
      <c r="E1781" s="704" t="s">
        <v>1206</v>
      </c>
      <c r="F1781" s="695">
        <v>2</v>
      </c>
      <c r="G1781" s="705">
        <v>8267</v>
      </c>
      <c r="H1781" s="695">
        <v>7400</v>
      </c>
      <c r="I1781" s="695">
        <f t="shared" ref="I1781:I1798" si="442">+F1781/G1781*H1781</f>
        <v>1.7902503931293092</v>
      </c>
      <c r="J1781" s="695">
        <f t="shared" ref="J1781:J1798" si="443">+F1781+I1781</f>
        <v>3.790250393129309</v>
      </c>
      <c r="K1781" s="706">
        <v>0.3</v>
      </c>
      <c r="L1781" s="695">
        <f t="shared" ref="L1781:L1798" si="444">+J1781*1.3</f>
        <v>4.9273255110681022</v>
      </c>
      <c r="M1781" s="707">
        <v>5</v>
      </c>
      <c r="N1781" s="675"/>
      <c r="O1781" s="361"/>
      <c r="P1781" s="337" t="s">
        <v>12</v>
      </c>
      <c r="Q1781" s="835">
        <v>45310</v>
      </c>
      <c r="R1781" s="932">
        <f>+M1781*7000</f>
        <v>35000</v>
      </c>
    </row>
    <row r="1782" spans="1:20" s="337" customFormat="1" ht="15.75" hidden="1" x14ac:dyDescent="0.25">
      <c r="A1782" s="169"/>
      <c r="B1782" s="331"/>
      <c r="D1782" s="337">
        <v>4</v>
      </c>
      <c r="E1782" s="704" t="s">
        <v>1206</v>
      </c>
      <c r="F1782" s="695">
        <v>2</v>
      </c>
      <c r="G1782" s="705">
        <v>8267</v>
      </c>
      <c r="H1782" s="695">
        <v>7400</v>
      </c>
      <c r="I1782" s="695">
        <f t="shared" si="442"/>
        <v>1.7902503931293092</v>
      </c>
      <c r="J1782" s="695">
        <f t="shared" si="443"/>
        <v>3.790250393129309</v>
      </c>
      <c r="K1782" s="706">
        <v>0.3</v>
      </c>
      <c r="L1782" s="695">
        <f t="shared" si="444"/>
        <v>4.9273255110681022</v>
      </c>
      <c r="M1782" s="707">
        <v>5</v>
      </c>
      <c r="N1782" s="675"/>
      <c r="O1782" s="361"/>
      <c r="P1782" s="337" t="s">
        <v>12</v>
      </c>
      <c r="Q1782" s="835">
        <v>45310</v>
      </c>
      <c r="R1782" s="932">
        <f t="shared" ref="R1782:R1795" si="445">+M1782*7000</f>
        <v>35000</v>
      </c>
    </row>
    <row r="1783" spans="1:20" s="337" customFormat="1" ht="15.75" hidden="1" x14ac:dyDescent="0.25">
      <c r="A1783" s="169"/>
      <c r="B1783" s="331"/>
      <c r="D1783" s="337">
        <v>4</v>
      </c>
      <c r="E1783" s="704" t="s">
        <v>1206</v>
      </c>
      <c r="F1783" s="695">
        <v>2</v>
      </c>
      <c r="G1783" s="705">
        <v>8267</v>
      </c>
      <c r="H1783" s="695">
        <v>7400</v>
      </c>
      <c r="I1783" s="695">
        <f t="shared" si="442"/>
        <v>1.7902503931293092</v>
      </c>
      <c r="J1783" s="695">
        <f t="shared" si="443"/>
        <v>3.790250393129309</v>
      </c>
      <c r="K1783" s="706">
        <v>0.3</v>
      </c>
      <c r="L1783" s="695">
        <f t="shared" si="444"/>
        <v>4.9273255110681022</v>
      </c>
      <c r="M1783" s="707">
        <v>5</v>
      </c>
      <c r="N1783" s="675"/>
      <c r="O1783" s="361"/>
      <c r="P1783" s="337" t="s">
        <v>12</v>
      </c>
      <c r="Q1783" s="835">
        <v>45310</v>
      </c>
      <c r="R1783" s="932">
        <f t="shared" si="445"/>
        <v>35000</v>
      </c>
    </row>
    <row r="1784" spans="1:20" s="337" customFormat="1" ht="15.75" hidden="1" x14ac:dyDescent="0.25">
      <c r="A1784" s="169"/>
      <c r="B1784" s="331"/>
      <c r="D1784" s="337">
        <v>4</v>
      </c>
      <c r="E1784" s="704" t="s">
        <v>1206</v>
      </c>
      <c r="F1784" s="695">
        <v>2</v>
      </c>
      <c r="G1784" s="705">
        <v>8267</v>
      </c>
      <c r="H1784" s="695">
        <v>7400</v>
      </c>
      <c r="I1784" s="695">
        <f t="shared" si="442"/>
        <v>1.7902503931293092</v>
      </c>
      <c r="J1784" s="695">
        <f t="shared" si="443"/>
        <v>3.790250393129309</v>
      </c>
      <c r="K1784" s="706">
        <v>0.3</v>
      </c>
      <c r="L1784" s="695">
        <f t="shared" si="444"/>
        <v>4.9273255110681022</v>
      </c>
      <c r="M1784" s="707">
        <v>5</v>
      </c>
      <c r="N1784" s="675"/>
      <c r="O1784" s="361"/>
      <c r="P1784" s="337" t="s">
        <v>12</v>
      </c>
      <c r="Q1784" s="835">
        <v>45310</v>
      </c>
      <c r="R1784" s="932">
        <f t="shared" si="445"/>
        <v>35000</v>
      </c>
    </row>
    <row r="1785" spans="1:20" s="337" customFormat="1" ht="15.75" hidden="1" x14ac:dyDescent="0.25">
      <c r="A1785" s="169"/>
      <c r="B1785" s="331"/>
      <c r="D1785" s="337">
        <v>4</v>
      </c>
      <c r="E1785" s="704" t="s">
        <v>1206</v>
      </c>
      <c r="F1785" s="695">
        <v>2</v>
      </c>
      <c r="G1785" s="705">
        <v>8267</v>
      </c>
      <c r="H1785" s="695">
        <v>7400</v>
      </c>
      <c r="I1785" s="695">
        <f t="shared" si="442"/>
        <v>1.7902503931293092</v>
      </c>
      <c r="J1785" s="695">
        <f t="shared" si="443"/>
        <v>3.790250393129309</v>
      </c>
      <c r="K1785" s="706">
        <v>0.3</v>
      </c>
      <c r="L1785" s="695">
        <f t="shared" si="444"/>
        <v>4.9273255110681022</v>
      </c>
      <c r="M1785" s="707">
        <v>5</v>
      </c>
      <c r="N1785" s="675"/>
      <c r="O1785" s="361"/>
      <c r="P1785" s="337" t="s">
        <v>12</v>
      </c>
      <c r="Q1785" s="835">
        <v>45310</v>
      </c>
      <c r="R1785" s="932">
        <f t="shared" si="445"/>
        <v>35000</v>
      </c>
    </row>
    <row r="1786" spans="1:20" s="337" customFormat="1" ht="15.75" hidden="1" x14ac:dyDescent="0.25">
      <c r="A1786" s="169"/>
      <c r="B1786" s="331"/>
      <c r="D1786" s="337">
        <v>4</v>
      </c>
      <c r="E1786" s="704" t="s">
        <v>1206</v>
      </c>
      <c r="F1786" s="695">
        <v>2</v>
      </c>
      <c r="G1786" s="705">
        <v>8267</v>
      </c>
      <c r="H1786" s="695">
        <v>7400</v>
      </c>
      <c r="I1786" s="695">
        <f t="shared" si="442"/>
        <v>1.7902503931293092</v>
      </c>
      <c r="J1786" s="695">
        <f t="shared" si="443"/>
        <v>3.790250393129309</v>
      </c>
      <c r="K1786" s="706">
        <v>0.3</v>
      </c>
      <c r="L1786" s="695">
        <f t="shared" si="444"/>
        <v>4.9273255110681022</v>
      </c>
      <c r="M1786" s="707">
        <v>5</v>
      </c>
      <c r="N1786" s="675"/>
      <c r="O1786" s="361"/>
      <c r="P1786" s="337" t="s">
        <v>12</v>
      </c>
      <c r="Q1786" s="835">
        <v>45310</v>
      </c>
      <c r="R1786" s="932">
        <f t="shared" si="445"/>
        <v>35000</v>
      </c>
    </row>
    <row r="1787" spans="1:20" s="337" customFormat="1" ht="15.75" hidden="1" x14ac:dyDescent="0.25">
      <c r="A1787" s="169"/>
      <c r="B1787" s="331"/>
      <c r="D1787" s="337">
        <v>4</v>
      </c>
      <c r="E1787" s="704" t="s">
        <v>1206</v>
      </c>
      <c r="F1787" s="695">
        <v>2</v>
      </c>
      <c r="G1787" s="705">
        <v>8267</v>
      </c>
      <c r="H1787" s="695">
        <v>7400</v>
      </c>
      <c r="I1787" s="695">
        <f t="shared" si="442"/>
        <v>1.7902503931293092</v>
      </c>
      <c r="J1787" s="695">
        <f t="shared" si="443"/>
        <v>3.790250393129309</v>
      </c>
      <c r="K1787" s="706">
        <v>0.3</v>
      </c>
      <c r="L1787" s="695">
        <f t="shared" si="444"/>
        <v>4.9273255110681022</v>
      </c>
      <c r="M1787" s="707">
        <v>5</v>
      </c>
      <c r="N1787" s="675"/>
      <c r="O1787" s="361"/>
      <c r="P1787" s="337" t="s">
        <v>12</v>
      </c>
      <c r="Q1787" s="835">
        <v>45310</v>
      </c>
      <c r="R1787" s="932">
        <f t="shared" si="445"/>
        <v>35000</v>
      </c>
    </row>
    <row r="1788" spans="1:20" s="337" customFormat="1" ht="15.75" hidden="1" x14ac:dyDescent="0.25">
      <c r="A1788" s="169"/>
      <c r="B1788" s="331"/>
      <c r="D1788" s="337">
        <v>4</v>
      </c>
      <c r="E1788" s="704" t="s">
        <v>1206</v>
      </c>
      <c r="F1788" s="695">
        <v>2</v>
      </c>
      <c r="G1788" s="705">
        <v>8267</v>
      </c>
      <c r="H1788" s="695">
        <v>7400</v>
      </c>
      <c r="I1788" s="695">
        <f t="shared" si="442"/>
        <v>1.7902503931293092</v>
      </c>
      <c r="J1788" s="695">
        <f t="shared" si="443"/>
        <v>3.790250393129309</v>
      </c>
      <c r="K1788" s="706">
        <v>0.3</v>
      </c>
      <c r="L1788" s="695">
        <f t="shared" si="444"/>
        <v>4.9273255110681022</v>
      </c>
      <c r="M1788" s="707">
        <v>5</v>
      </c>
      <c r="N1788" s="675"/>
      <c r="O1788" s="361"/>
      <c r="P1788" s="337" t="s">
        <v>12</v>
      </c>
      <c r="Q1788" s="835">
        <v>45310</v>
      </c>
      <c r="R1788" s="932">
        <f t="shared" si="445"/>
        <v>35000</v>
      </c>
    </row>
    <row r="1789" spans="1:20" s="337" customFormat="1" ht="15.75" hidden="1" x14ac:dyDescent="0.25">
      <c r="A1789" s="169"/>
      <c r="B1789" s="331"/>
      <c r="D1789" s="337">
        <v>4</v>
      </c>
      <c r="E1789" s="704" t="s">
        <v>1206</v>
      </c>
      <c r="F1789" s="695">
        <v>2</v>
      </c>
      <c r="G1789" s="705">
        <v>8267</v>
      </c>
      <c r="H1789" s="695">
        <v>7400</v>
      </c>
      <c r="I1789" s="695">
        <f t="shared" si="442"/>
        <v>1.7902503931293092</v>
      </c>
      <c r="J1789" s="695">
        <f t="shared" si="443"/>
        <v>3.790250393129309</v>
      </c>
      <c r="K1789" s="706">
        <v>0.3</v>
      </c>
      <c r="L1789" s="695">
        <f t="shared" si="444"/>
        <v>4.9273255110681022</v>
      </c>
      <c r="M1789" s="707">
        <v>5</v>
      </c>
      <c r="N1789" s="675"/>
      <c r="O1789" s="361"/>
      <c r="P1789" s="337" t="s">
        <v>12</v>
      </c>
      <c r="Q1789" s="835">
        <v>45310</v>
      </c>
      <c r="R1789" s="932">
        <f t="shared" si="445"/>
        <v>35000</v>
      </c>
    </row>
    <row r="1790" spans="1:20" s="337" customFormat="1" ht="15.75" hidden="1" x14ac:dyDescent="0.25">
      <c r="A1790" s="169"/>
      <c r="B1790" s="331"/>
      <c r="D1790" s="337">
        <v>4</v>
      </c>
      <c r="E1790" s="704" t="s">
        <v>1206</v>
      </c>
      <c r="F1790" s="695">
        <v>2</v>
      </c>
      <c r="G1790" s="705">
        <v>8267</v>
      </c>
      <c r="H1790" s="695">
        <v>7400</v>
      </c>
      <c r="I1790" s="695">
        <f t="shared" si="442"/>
        <v>1.7902503931293092</v>
      </c>
      <c r="J1790" s="695">
        <f t="shared" si="443"/>
        <v>3.790250393129309</v>
      </c>
      <c r="K1790" s="706">
        <v>0.3</v>
      </c>
      <c r="L1790" s="695">
        <f t="shared" si="444"/>
        <v>4.9273255110681022</v>
      </c>
      <c r="M1790" s="707">
        <v>5</v>
      </c>
      <c r="N1790" s="675"/>
      <c r="O1790" s="361"/>
      <c r="P1790" s="337" t="s">
        <v>12</v>
      </c>
      <c r="Q1790" s="835">
        <v>45310</v>
      </c>
      <c r="R1790" s="932">
        <f t="shared" si="445"/>
        <v>35000</v>
      </c>
    </row>
    <row r="1791" spans="1:20" s="337" customFormat="1" ht="15.75" hidden="1" x14ac:dyDescent="0.25">
      <c r="A1791" s="169"/>
      <c r="B1791" s="331"/>
      <c r="D1791" s="337">
        <v>4</v>
      </c>
      <c r="E1791" s="704" t="s">
        <v>1206</v>
      </c>
      <c r="F1791" s="695">
        <v>2</v>
      </c>
      <c r="G1791" s="705">
        <v>8267</v>
      </c>
      <c r="H1791" s="695">
        <v>7400</v>
      </c>
      <c r="I1791" s="695">
        <f t="shared" si="442"/>
        <v>1.7902503931293092</v>
      </c>
      <c r="J1791" s="695">
        <f t="shared" si="443"/>
        <v>3.790250393129309</v>
      </c>
      <c r="K1791" s="706">
        <v>0.3</v>
      </c>
      <c r="L1791" s="695">
        <f t="shared" si="444"/>
        <v>4.9273255110681022</v>
      </c>
      <c r="M1791" s="707">
        <v>5</v>
      </c>
      <c r="N1791" s="675"/>
      <c r="O1791" s="361"/>
      <c r="P1791" s="337" t="s">
        <v>12</v>
      </c>
      <c r="Q1791" s="835">
        <v>45310</v>
      </c>
      <c r="R1791" s="932">
        <f t="shared" si="445"/>
        <v>35000</v>
      </c>
    </row>
    <row r="1792" spans="1:20" s="337" customFormat="1" ht="15.75" hidden="1" x14ac:dyDescent="0.25">
      <c r="A1792" s="169"/>
      <c r="B1792" s="331"/>
      <c r="D1792" s="337">
        <v>4</v>
      </c>
      <c r="E1792" s="704" t="s">
        <v>1206</v>
      </c>
      <c r="F1792" s="695">
        <v>2</v>
      </c>
      <c r="G1792" s="705">
        <v>8267</v>
      </c>
      <c r="H1792" s="695">
        <v>7400</v>
      </c>
      <c r="I1792" s="695">
        <f t="shared" si="442"/>
        <v>1.7902503931293092</v>
      </c>
      <c r="J1792" s="695">
        <f t="shared" si="443"/>
        <v>3.790250393129309</v>
      </c>
      <c r="K1792" s="706">
        <v>0.3</v>
      </c>
      <c r="L1792" s="695">
        <f t="shared" si="444"/>
        <v>4.9273255110681022</v>
      </c>
      <c r="M1792" s="707">
        <v>5</v>
      </c>
      <c r="N1792" s="675"/>
      <c r="O1792" s="361"/>
      <c r="P1792" s="337" t="s">
        <v>12</v>
      </c>
      <c r="Q1792" s="835">
        <v>45310</v>
      </c>
      <c r="R1792" s="932">
        <f t="shared" si="445"/>
        <v>35000</v>
      </c>
    </row>
    <row r="1793" spans="1:18" s="337" customFormat="1" ht="15.75" hidden="1" x14ac:dyDescent="0.25">
      <c r="A1793" s="169"/>
      <c r="B1793" s="331"/>
      <c r="D1793" s="337">
        <v>4</v>
      </c>
      <c r="E1793" s="704" t="s">
        <v>1206</v>
      </c>
      <c r="F1793" s="695">
        <v>2</v>
      </c>
      <c r="G1793" s="705">
        <v>8267</v>
      </c>
      <c r="H1793" s="695">
        <v>7400</v>
      </c>
      <c r="I1793" s="695">
        <f t="shared" si="442"/>
        <v>1.7902503931293092</v>
      </c>
      <c r="J1793" s="695">
        <f t="shared" si="443"/>
        <v>3.790250393129309</v>
      </c>
      <c r="K1793" s="706">
        <v>0.3</v>
      </c>
      <c r="L1793" s="695">
        <f t="shared" si="444"/>
        <v>4.9273255110681022</v>
      </c>
      <c r="M1793" s="707">
        <v>5</v>
      </c>
      <c r="N1793" s="675"/>
      <c r="O1793" s="361"/>
      <c r="P1793" s="337" t="s">
        <v>12</v>
      </c>
      <c r="Q1793" s="835">
        <v>45310</v>
      </c>
      <c r="R1793" s="932">
        <f t="shared" si="445"/>
        <v>35000</v>
      </c>
    </row>
    <row r="1794" spans="1:18" s="337" customFormat="1" ht="15.75" hidden="1" x14ac:dyDescent="0.25">
      <c r="A1794" s="169"/>
      <c r="B1794" s="331"/>
      <c r="D1794" s="337">
        <v>4</v>
      </c>
      <c r="E1794" s="704" t="s">
        <v>1206</v>
      </c>
      <c r="F1794" s="695">
        <v>2</v>
      </c>
      <c r="G1794" s="705">
        <v>8267</v>
      </c>
      <c r="H1794" s="695">
        <v>7400</v>
      </c>
      <c r="I1794" s="695">
        <f t="shared" si="442"/>
        <v>1.7902503931293092</v>
      </c>
      <c r="J1794" s="695">
        <f t="shared" si="443"/>
        <v>3.790250393129309</v>
      </c>
      <c r="K1794" s="706">
        <v>0.3</v>
      </c>
      <c r="L1794" s="695">
        <f t="shared" si="444"/>
        <v>4.9273255110681022</v>
      </c>
      <c r="M1794" s="707">
        <v>5</v>
      </c>
      <c r="N1794" s="675"/>
      <c r="O1794" s="361"/>
      <c r="P1794" s="337" t="s">
        <v>12</v>
      </c>
      <c r="Q1794" s="835">
        <v>45310</v>
      </c>
      <c r="R1794" s="932">
        <f t="shared" si="445"/>
        <v>35000</v>
      </c>
    </row>
    <row r="1795" spans="1:18" s="337" customFormat="1" ht="15.75" hidden="1" x14ac:dyDescent="0.25">
      <c r="A1795" s="169"/>
      <c r="B1795" s="331"/>
      <c r="D1795" s="337">
        <v>4</v>
      </c>
      <c r="E1795" s="704" t="s">
        <v>1206</v>
      </c>
      <c r="F1795" s="695">
        <v>2</v>
      </c>
      <c r="G1795" s="705">
        <v>8267</v>
      </c>
      <c r="H1795" s="695">
        <v>7400</v>
      </c>
      <c r="I1795" s="695">
        <f t="shared" si="442"/>
        <v>1.7902503931293092</v>
      </c>
      <c r="J1795" s="695">
        <f t="shared" si="443"/>
        <v>3.790250393129309</v>
      </c>
      <c r="K1795" s="706">
        <v>0.3</v>
      </c>
      <c r="L1795" s="695">
        <f t="shared" si="444"/>
        <v>4.9273255110681022</v>
      </c>
      <c r="M1795" s="707">
        <v>5</v>
      </c>
      <c r="N1795" s="675"/>
      <c r="O1795" s="361"/>
      <c r="P1795" s="337" t="s">
        <v>12</v>
      </c>
      <c r="Q1795" s="835">
        <v>45310</v>
      </c>
      <c r="R1795" s="932">
        <f t="shared" si="445"/>
        <v>35000</v>
      </c>
    </row>
    <row r="1796" spans="1:18" s="337" customFormat="1" ht="15.75" x14ac:dyDescent="0.25">
      <c r="A1796" s="169"/>
      <c r="B1796" s="331"/>
      <c r="D1796" s="337">
        <v>10</v>
      </c>
      <c r="E1796" s="337" t="s">
        <v>101</v>
      </c>
      <c r="F1796" s="338">
        <v>2</v>
      </c>
      <c r="G1796" s="339">
        <v>8267</v>
      </c>
      <c r="H1796" s="338">
        <v>7400</v>
      </c>
      <c r="I1796" s="338">
        <f t="shared" si="442"/>
        <v>1.7902503931293092</v>
      </c>
      <c r="J1796" s="338">
        <f t="shared" si="443"/>
        <v>3.790250393129309</v>
      </c>
      <c r="K1796" s="340">
        <v>0.3</v>
      </c>
      <c r="L1796" s="338">
        <f t="shared" si="444"/>
        <v>4.9273255110681022</v>
      </c>
      <c r="M1796" s="341">
        <v>5</v>
      </c>
      <c r="N1796" s="675"/>
      <c r="O1796" s="361"/>
      <c r="P1796" s="169"/>
      <c r="Q1796" s="835"/>
      <c r="R1796" s="580"/>
    </row>
    <row r="1797" spans="1:18" s="337" customFormat="1" ht="15.75" x14ac:dyDescent="0.25">
      <c r="A1797" s="169"/>
      <c r="B1797" s="331"/>
      <c r="D1797" s="337">
        <v>10</v>
      </c>
      <c r="E1797" s="337" t="s">
        <v>101</v>
      </c>
      <c r="F1797" s="338">
        <v>2</v>
      </c>
      <c r="G1797" s="339">
        <v>8267</v>
      </c>
      <c r="H1797" s="338">
        <v>7400</v>
      </c>
      <c r="I1797" s="338">
        <f t="shared" si="442"/>
        <v>1.7902503931293092</v>
      </c>
      <c r="J1797" s="338">
        <f t="shared" si="443"/>
        <v>3.790250393129309</v>
      </c>
      <c r="K1797" s="340">
        <v>0.3</v>
      </c>
      <c r="L1797" s="338">
        <f t="shared" si="444"/>
        <v>4.9273255110681022</v>
      </c>
      <c r="M1797" s="341">
        <v>5</v>
      </c>
      <c r="N1797" s="675"/>
      <c r="O1797" s="361"/>
      <c r="P1797" s="169"/>
      <c r="Q1797" s="835"/>
      <c r="R1797" s="580"/>
    </row>
    <row r="1798" spans="1:18" s="337" customFormat="1" ht="15.75" hidden="1" x14ac:dyDescent="0.25">
      <c r="A1798" s="169"/>
      <c r="B1798" s="331"/>
      <c r="D1798" s="337">
        <v>5</v>
      </c>
      <c r="E1798" s="704" t="s">
        <v>1206</v>
      </c>
      <c r="F1798" s="695">
        <v>2</v>
      </c>
      <c r="G1798" s="705">
        <v>8267</v>
      </c>
      <c r="H1798" s="695">
        <v>7400</v>
      </c>
      <c r="I1798" s="695">
        <f t="shared" si="442"/>
        <v>1.7902503931293092</v>
      </c>
      <c r="J1798" s="695">
        <f t="shared" si="443"/>
        <v>3.790250393129309</v>
      </c>
      <c r="K1798" s="706">
        <v>0.3</v>
      </c>
      <c r="L1798" s="695">
        <f t="shared" si="444"/>
        <v>4.9273255110681022</v>
      </c>
      <c r="M1798" s="707">
        <v>5</v>
      </c>
      <c r="N1798" s="675"/>
      <c r="O1798" s="361"/>
      <c r="P1798" s="169" t="s">
        <v>12</v>
      </c>
      <c r="Q1798" s="835">
        <v>45310</v>
      </c>
      <c r="R1798" s="580">
        <f>+M1798*7000</f>
        <v>35000</v>
      </c>
    </row>
    <row r="1799" spans="1:18" s="337" customFormat="1" ht="15.75" hidden="1" x14ac:dyDescent="0.25">
      <c r="A1799" s="169"/>
      <c r="B1799" s="331"/>
      <c r="D1799" s="337">
        <v>5</v>
      </c>
      <c r="E1799" s="704" t="s">
        <v>798</v>
      </c>
      <c r="F1799" s="695">
        <v>2</v>
      </c>
      <c r="G1799" s="705">
        <v>8267</v>
      </c>
      <c r="H1799" s="695">
        <v>7400</v>
      </c>
      <c r="I1799" s="695">
        <f t="shared" ref="I1799:I1803" si="446">+F1799/G1799*H1799</f>
        <v>1.7902503931293092</v>
      </c>
      <c r="J1799" s="695">
        <f t="shared" ref="J1799:J1803" si="447">+F1799+I1799</f>
        <v>3.790250393129309</v>
      </c>
      <c r="K1799" s="706">
        <v>0.3</v>
      </c>
      <c r="L1799" s="695">
        <f t="shared" ref="L1799:L1803" si="448">+J1799*1.3</f>
        <v>4.9273255110681022</v>
      </c>
      <c r="M1799" s="707">
        <v>5</v>
      </c>
      <c r="N1799" s="675"/>
      <c r="O1799" s="361"/>
      <c r="P1799" s="169" t="s">
        <v>12</v>
      </c>
      <c r="Q1799" s="835">
        <v>45309</v>
      </c>
      <c r="R1799" s="580">
        <f>+M1799*7000</f>
        <v>35000</v>
      </c>
    </row>
    <row r="1800" spans="1:18" s="337" customFormat="1" ht="15.75" hidden="1" x14ac:dyDescent="0.25">
      <c r="A1800" s="169"/>
      <c r="B1800" s="331"/>
      <c r="D1800" s="337">
        <v>5</v>
      </c>
      <c r="E1800" s="704" t="s">
        <v>656</v>
      </c>
      <c r="F1800" s="695">
        <v>2</v>
      </c>
      <c r="G1800" s="705">
        <v>8267</v>
      </c>
      <c r="H1800" s="695">
        <v>7400</v>
      </c>
      <c r="I1800" s="695">
        <f t="shared" si="446"/>
        <v>1.7902503931293092</v>
      </c>
      <c r="J1800" s="695">
        <f t="shared" si="447"/>
        <v>3.790250393129309</v>
      </c>
      <c r="K1800" s="706">
        <v>0.3</v>
      </c>
      <c r="L1800" s="695">
        <f t="shared" si="448"/>
        <v>4.9273255110681022</v>
      </c>
      <c r="M1800" s="707">
        <v>5</v>
      </c>
      <c r="N1800" s="675"/>
      <c r="O1800" s="361"/>
      <c r="P1800" s="169" t="s">
        <v>12</v>
      </c>
      <c r="Q1800" s="835">
        <v>45309</v>
      </c>
      <c r="R1800" s="580">
        <f>+M1800*7000</f>
        <v>35000</v>
      </c>
    </row>
    <row r="1801" spans="1:18" s="337" customFormat="1" ht="15.75" hidden="1" x14ac:dyDescent="0.25">
      <c r="A1801" s="169"/>
      <c r="B1801" s="331"/>
      <c r="D1801" s="337">
        <v>5</v>
      </c>
      <c r="E1801" s="704" t="s">
        <v>656</v>
      </c>
      <c r="F1801" s="695">
        <v>2</v>
      </c>
      <c r="G1801" s="705">
        <v>8267</v>
      </c>
      <c r="H1801" s="695">
        <v>7400</v>
      </c>
      <c r="I1801" s="695">
        <f t="shared" si="446"/>
        <v>1.7902503931293092</v>
      </c>
      <c r="J1801" s="695">
        <f t="shared" si="447"/>
        <v>3.790250393129309</v>
      </c>
      <c r="K1801" s="706">
        <v>0.3</v>
      </c>
      <c r="L1801" s="695">
        <f t="shared" si="448"/>
        <v>4.9273255110681022</v>
      </c>
      <c r="M1801" s="707">
        <v>5</v>
      </c>
      <c r="N1801" s="675"/>
      <c r="O1801" s="361"/>
      <c r="P1801" s="169" t="s">
        <v>12</v>
      </c>
      <c r="Q1801" s="835">
        <v>45310</v>
      </c>
      <c r="R1801" s="580">
        <f t="shared" ref="R1801:R1803" si="449">+M1801*7000</f>
        <v>35000</v>
      </c>
    </row>
    <row r="1802" spans="1:18" s="337" customFormat="1" ht="15.75" hidden="1" x14ac:dyDescent="0.25">
      <c r="A1802" s="169"/>
      <c r="B1802" s="331"/>
      <c r="D1802" s="337">
        <v>5</v>
      </c>
      <c r="E1802" s="704" t="s">
        <v>656</v>
      </c>
      <c r="F1802" s="695">
        <v>2</v>
      </c>
      <c r="G1802" s="705">
        <v>8267</v>
      </c>
      <c r="H1802" s="695">
        <v>7400</v>
      </c>
      <c r="I1802" s="695">
        <f t="shared" si="446"/>
        <v>1.7902503931293092</v>
      </c>
      <c r="J1802" s="695">
        <f t="shared" si="447"/>
        <v>3.790250393129309</v>
      </c>
      <c r="K1802" s="706">
        <v>0.3</v>
      </c>
      <c r="L1802" s="695">
        <f t="shared" si="448"/>
        <v>4.9273255110681022</v>
      </c>
      <c r="M1802" s="707">
        <v>5</v>
      </c>
      <c r="N1802" s="675"/>
      <c r="O1802" s="361"/>
      <c r="P1802" s="169" t="s">
        <v>12</v>
      </c>
      <c r="Q1802" s="835">
        <v>45310</v>
      </c>
      <c r="R1802" s="580">
        <f t="shared" si="449"/>
        <v>35000</v>
      </c>
    </row>
    <row r="1803" spans="1:18" s="337" customFormat="1" ht="15.75" hidden="1" x14ac:dyDescent="0.25">
      <c r="A1803" s="169"/>
      <c r="B1803" s="331"/>
      <c r="D1803" s="337">
        <v>5</v>
      </c>
      <c r="E1803" s="704" t="s">
        <v>656</v>
      </c>
      <c r="F1803" s="695">
        <v>2</v>
      </c>
      <c r="G1803" s="705">
        <v>8267</v>
      </c>
      <c r="H1803" s="695">
        <v>7400</v>
      </c>
      <c r="I1803" s="695">
        <f t="shared" si="446"/>
        <v>1.7902503931293092</v>
      </c>
      <c r="J1803" s="695">
        <f t="shared" si="447"/>
        <v>3.790250393129309</v>
      </c>
      <c r="K1803" s="706">
        <v>0.3</v>
      </c>
      <c r="L1803" s="695">
        <f t="shared" si="448"/>
        <v>4.9273255110681022</v>
      </c>
      <c r="M1803" s="707">
        <v>5</v>
      </c>
      <c r="N1803" s="675"/>
      <c r="O1803" s="361"/>
      <c r="P1803" s="169" t="s">
        <v>12</v>
      </c>
      <c r="Q1803" s="835">
        <v>45310</v>
      </c>
      <c r="R1803" s="580">
        <f t="shared" si="449"/>
        <v>35000</v>
      </c>
    </row>
    <row r="1804" spans="1:18" s="178" customFormat="1" collapsed="1" x14ac:dyDescent="0.25">
      <c r="A1804" s="225"/>
      <c r="B1804" s="225"/>
      <c r="C1804" s="318"/>
      <c r="E1804" s="549" t="s">
        <v>1367</v>
      </c>
      <c r="F1804" s="225"/>
      <c r="G1804" s="226"/>
      <c r="H1804" s="227"/>
      <c r="I1804" s="226"/>
      <c r="J1804" s="174"/>
      <c r="K1804" s="174"/>
      <c r="L1804" s="316"/>
      <c r="M1804" s="174"/>
      <c r="N1804" s="663"/>
      <c r="Q1804" s="836"/>
      <c r="R1804" s="914"/>
    </row>
    <row r="1805" spans="1:18" s="178" customFormat="1" x14ac:dyDescent="0.25">
      <c r="A1805" s="225"/>
      <c r="B1805" s="318" t="s">
        <v>1327</v>
      </c>
      <c r="D1805" s="178">
        <v>10</v>
      </c>
      <c r="E1805" s="178" t="s">
        <v>1328</v>
      </c>
      <c r="F1805" s="226">
        <v>2</v>
      </c>
      <c r="G1805" s="227">
        <v>9682</v>
      </c>
      <c r="H1805" s="226">
        <v>7766</v>
      </c>
      <c r="I1805" s="174">
        <f t="shared" ref="I1805:I1834" si="450">+F1805/G1805*H1805</f>
        <v>1.6042140053707912</v>
      </c>
      <c r="J1805" s="174">
        <f t="shared" ref="J1805:J1834" si="451">+F1805+I1805</f>
        <v>3.6042140053707912</v>
      </c>
      <c r="K1805" s="316">
        <v>0.4</v>
      </c>
      <c r="L1805" s="174">
        <f t="shared" ref="L1805:L1834" si="452">+J1805*1.4</f>
        <v>5.0458996075191074</v>
      </c>
      <c r="M1805" s="226">
        <v>5</v>
      </c>
      <c r="N1805" s="631"/>
      <c r="O1805" s="590"/>
      <c r="Q1805" s="836"/>
      <c r="R1805" s="914"/>
    </row>
    <row r="1806" spans="1:18" s="178" customFormat="1" x14ac:dyDescent="0.25">
      <c r="A1806" s="225"/>
      <c r="B1806" s="318" t="s">
        <v>1327</v>
      </c>
      <c r="D1806" s="178">
        <v>10</v>
      </c>
      <c r="E1806" s="178" t="s">
        <v>1328</v>
      </c>
      <c r="F1806" s="226">
        <v>2</v>
      </c>
      <c r="G1806" s="227">
        <v>9682</v>
      </c>
      <c r="H1806" s="226">
        <v>7766</v>
      </c>
      <c r="I1806" s="174">
        <f t="shared" si="450"/>
        <v>1.6042140053707912</v>
      </c>
      <c r="J1806" s="174">
        <f t="shared" si="451"/>
        <v>3.6042140053707912</v>
      </c>
      <c r="K1806" s="316">
        <v>0.4</v>
      </c>
      <c r="L1806" s="174">
        <f t="shared" si="452"/>
        <v>5.0458996075191074</v>
      </c>
      <c r="M1806" s="226">
        <v>5</v>
      </c>
      <c r="N1806" s="631"/>
      <c r="O1806" s="590"/>
      <c r="Q1806" s="836"/>
      <c r="R1806" s="914"/>
    </row>
    <row r="1807" spans="1:18" s="178" customFormat="1" hidden="1" x14ac:dyDescent="0.25">
      <c r="A1807" s="225"/>
      <c r="B1807" s="318" t="s">
        <v>1327</v>
      </c>
      <c r="D1807" s="178">
        <v>6</v>
      </c>
      <c r="E1807" s="213" t="s">
        <v>1336</v>
      </c>
      <c r="F1807" s="232">
        <v>1.5</v>
      </c>
      <c r="G1807" s="305">
        <v>9682</v>
      </c>
      <c r="H1807" s="232">
        <v>7766</v>
      </c>
      <c r="I1807" s="611">
        <f t="shared" si="450"/>
        <v>1.2031605040280933</v>
      </c>
      <c r="J1807" s="611">
        <f t="shared" si="451"/>
        <v>2.7031605040280935</v>
      </c>
      <c r="K1807" s="612">
        <v>0.4</v>
      </c>
      <c r="L1807" s="611">
        <f t="shared" si="452"/>
        <v>3.7844247056393305</v>
      </c>
      <c r="M1807" s="232">
        <v>5</v>
      </c>
      <c r="N1807" s="631"/>
      <c r="O1807" s="590"/>
      <c r="P1807" s="178" t="s">
        <v>12</v>
      </c>
      <c r="Q1807" s="836">
        <v>45315</v>
      </c>
      <c r="R1807" s="914">
        <f>+M1807*7000</f>
        <v>35000</v>
      </c>
    </row>
    <row r="1808" spans="1:18" s="178" customFormat="1" hidden="1" x14ac:dyDescent="0.25">
      <c r="A1808" s="225"/>
      <c r="B1808" s="318" t="s">
        <v>1327</v>
      </c>
      <c r="D1808" s="178">
        <v>6</v>
      </c>
      <c r="E1808" s="213" t="s">
        <v>1336</v>
      </c>
      <c r="F1808" s="232">
        <v>1.5</v>
      </c>
      <c r="G1808" s="305">
        <v>9682</v>
      </c>
      <c r="H1808" s="232">
        <v>7766</v>
      </c>
      <c r="I1808" s="611">
        <f t="shared" si="450"/>
        <v>1.2031605040280933</v>
      </c>
      <c r="J1808" s="611">
        <f t="shared" si="451"/>
        <v>2.7031605040280935</v>
      </c>
      <c r="K1808" s="612">
        <v>0.4</v>
      </c>
      <c r="L1808" s="611">
        <f t="shared" si="452"/>
        <v>3.7844247056393305</v>
      </c>
      <c r="M1808" s="232">
        <v>5</v>
      </c>
      <c r="N1808" s="631"/>
      <c r="O1808" s="590"/>
      <c r="P1808" s="178" t="s">
        <v>12</v>
      </c>
      <c r="Q1808" s="836">
        <v>45347</v>
      </c>
      <c r="R1808" s="914">
        <f>+M1808*10000</f>
        <v>50000</v>
      </c>
    </row>
    <row r="1809" spans="1:18" s="178" customFormat="1" hidden="1" x14ac:dyDescent="0.25">
      <c r="A1809" s="225"/>
      <c r="B1809" s="318" t="s">
        <v>1327</v>
      </c>
      <c r="D1809" s="178">
        <v>6</v>
      </c>
      <c r="E1809" s="213" t="s">
        <v>1336</v>
      </c>
      <c r="F1809" s="232">
        <v>1.5</v>
      </c>
      <c r="G1809" s="305">
        <v>9682</v>
      </c>
      <c r="H1809" s="232">
        <v>7766</v>
      </c>
      <c r="I1809" s="611">
        <f t="shared" si="450"/>
        <v>1.2031605040280933</v>
      </c>
      <c r="J1809" s="611">
        <f t="shared" si="451"/>
        <v>2.7031605040280935</v>
      </c>
      <c r="K1809" s="612">
        <v>0.4</v>
      </c>
      <c r="L1809" s="611">
        <f t="shared" si="452"/>
        <v>3.7844247056393305</v>
      </c>
      <c r="M1809" s="232">
        <v>5</v>
      </c>
      <c r="N1809" s="631"/>
      <c r="O1809" s="590"/>
      <c r="P1809" s="178" t="s">
        <v>12</v>
      </c>
      <c r="Q1809" s="836">
        <v>45347</v>
      </c>
      <c r="R1809" s="914">
        <f>+M1809*10000</f>
        <v>50000</v>
      </c>
    </row>
    <row r="1810" spans="1:18" s="178" customFormat="1" hidden="1" x14ac:dyDescent="0.25">
      <c r="A1810" s="225"/>
      <c r="B1810" s="318" t="s">
        <v>1327</v>
      </c>
      <c r="D1810" s="178">
        <v>6</v>
      </c>
      <c r="E1810" s="213" t="s">
        <v>1336</v>
      </c>
      <c r="F1810" s="232">
        <v>1.5</v>
      </c>
      <c r="G1810" s="305">
        <v>9682</v>
      </c>
      <c r="H1810" s="232">
        <v>7766</v>
      </c>
      <c r="I1810" s="611">
        <f t="shared" si="450"/>
        <v>1.2031605040280933</v>
      </c>
      <c r="J1810" s="611">
        <f t="shared" si="451"/>
        <v>2.7031605040280935</v>
      </c>
      <c r="K1810" s="612">
        <v>0.4</v>
      </c>
      <c r="L1810" s="611">
        <f t="shared" si="452"/>
        <v>3.7844247056393305</v>
      </c>
      <c r="M1810" s="232">
        <v>5</v>
      </c>
      <c r="N1810" s="631"/>
      <c r="O1810" s="590"/>
      <c r="P1810" s="178" t="s">
        <v>12</v>
      </c>
      <c r="Q1810" s="836">
        <v>45353</v>
      </c>
      <c r="R1810" s="914">
        <f>+M1810*15000</f>
        <v>75000</v>
      </c>
    </row>
    <row r="1811" spans="1:18" s="178" customFormat="1" hidden="1" x14ac:dyDescent="0.25">
      <c r="A1811" s="225"/>
      <c r="B1811" s="318" t="s">
        <v>1327</v>
      </c>
      <c r="D1811" s="178">
        <v>6</v>
      </c>
      <c r="E1811" s="213" t="s">
        <v>1336</v>
      </c>
      <c r="F1811" s="232">
        <v>1.5</v>
      </c>
      <c r="G1811" s="305">
        <v>9682</v>
      </c>
      <c r="H1811" s="232">
        <v>7766</v>
      </c>
      <c r="I1811" s="611">
        <f t="shared" si="450"/>
        <v>1.2031605040280933</v>
      </c>
      <c r="J1811" s="611">
        <f t="shared" si="451"/>
        <v>2.7031605040280935</v>
      </c>
      <c r="K1811" s="612">
        <v>0.4</v>
      </c>
      <c r="L1811" s="611">
        <f t="shared" si="452"/>
        <v>3.7844247056393305</v>
      </c>
      <c r="M1811" s="232">
        <v>5</v>
      </c>
      <c r="N1811" s="631"/>
      <c r="O1811" s="590"/>
      <c r="P1811" s="178" t="s">
        <v>12</v>
      </c>
      <c r="Q1811" s="836">
        <v>45357</v>
      </c>
      <c r="R1811" s="914">
        <f>+M1811*18000</f>
        <v>90000</v>
      </c>
    </row>
    <row r="1812" spans="1:18" s="178" customFormat="1" x14ac:dyDescent="0.25">
      <c r="A1812" s="225"/>
      <c r="B1812" s="318" t="s">
        <v>1327</v>
      </c>
      <c r="D1812" s="178">
        <v>6</v>
      </c>
      <c r="E1812" s="178" t="s">
        <v>1336</v>
      </c>
      <c r="F1812" s="226">
        <v>1.5</v>
      </c>
      <c r="G1812" s="227">
        <v>9682</v>
      </c>
      <c r="H1812" s="226">
        <v>7766</v>
      </c>
      <c r="I1812" s="174">
        <f t="shared" si="450"/>
        <v>1.2031605040280933</v>
      </c>
      <c r="J1812" s="174">
        <f t="shared" si="451"/>
        <v>2.7031605040280935</v>
      </c>
      <c r="K1812" s="316">
        <v>0.4</v>
      </c>
      <c r="L1812" s="174">
        <f t="shared" si="452"/>
        <v>3.7844247056393305</v>
      </c>
      <c r="M1812" s="226">
        <v>5</v>
      </c>
      <c r="N1812" s="631"/>
      <c r="O1812" s="590"/>
      <c r="Q1812" s="836"/>
      <c r="R1812" s="914"/>
    </row>
    <row r="1813" spans="1:18" s="178" customFormat="1" x14ac:dyDescent="0.25">
      <c r="A1813" s="225"/>
      <c r="B1813" s="318" t="s">
        <v>1327</v>
      </c>
      <c r="D1813" s="178">
        <v>6</v>
      </c>
      <c r="E1813" s="178" t="s">
        <v>1336</v>
      </c>
      <c r="F1813" s="226">
        <v>1.5</v>
      </c>
      <c r="G1813" s="227">
        <v>9682</v>
      </c>
      <c r="H1813" s="226">
        <v>7766</v>
      </c>
      <c r="I1813" s="174">
        <f t="shared" si="450"/>
        <v>1.2031605040280933</v>
      </c>
      <c r="J1813" s="174">
        <f t="shared" si="451"/>
        <v>2.7031605040280935</v>
      </c>
      <c r="K1813" s="316">
        <v>0.4</v>
      </c>
      <c r="L1813" s="174">
        <f t="shared" si="452"/>
        <v>3.7844247056393305</v>
      </c>
      <c r="M1813" s="226">
        <v>5</v>
      </c>
      <c r="N1813" s="631"/>
      <c r="O1813" s="590"/>
      <c r="Q1813" s="836"/>
      <c r="R1813" s="914"/>
    </row>
    <row r="1814" spans="1:18" s="178" customFormat="1" x14ac:dyDescent="0.25">
      <c r="A1814" s="225"/>
      <c r="B1814" s="318" t="s">
        <v>1327</v>
      </c>
      <c r="D1814" s="178">
        <v>6</v>
      </c>
      <c r="E1814" s="178" t="s">
        <v>1336</v>
      </c>
      <c r="F1814" s="226">
        <v>1.5</v>
      </c>
      <c r="G1814" s="227">
        <v>9682</v>
      </c>
      <c r="H1814" s="226">
        <v>7766</v>
      </c>
      <c r="I1814" s="174">
        <f t="shared" si="450"/>
        <v>1.2031605040280933</v>
      </c>
      <c r="J1814" s="174">
        <f t="shared" si="451"/>
        <v>2.7031605040280935</v>
      </c>
      <c r="K1814" s="316">
        <v>0.4</v>
      </c>
      <c r="L1814" s="174">
        <f t="shared" si="452"/>
        <v>3.7844247056393305</v>
      </c>
      <c r="M1814" s="226">
        <v>5</v>
      </c>
      <c r="N1814" s="631"/>
      <c r="O1814" s="590"/>
      <c r="Q1814" s="836"/>
      <c r="R1814" s="914"/>
    </row>
    <row r="1815" spans="1:18" s="178" customFormat="1" x14ac:dyDescent="0.25">
      <c r="A1815" s="225"/>
      <c r="B1815" s="318" t="s">
        <v>1327</v>
      </c>
      <c r="D1815" s="178">
        <v>6</v>
      </c>
      <c r="E1815" s="178" t="s">
        <v>1336</v>
      </c>
      <c r="F1815" s="226">
        <v>1.5</v>
      </c>
      <c r="G1815" s="227">
        <v>9682</v>
      </c>
      <c r="H1815" s="226">
        <v>7766</v>
      </c>
      <c r="I1815" s="174">
        <f t="shared" si="450"/>
        <v>1.2031605040280933</v>
      </c>
      <c r="J1815" s="174">
        <f t="shared" si="451"/>
        <v>2.7031605040280935</v>
      </c>
      <c r="K1815" s="316">
        <v>0.4</v>
      </c>
      <c r="L1815" s="174">
        <f t="shared" si="452"/>
        <v>3.7844247056393305</v>
      </c>
      <c r="M1815" s="226">
        <v>5</v>
      </c>
      <c r="N1815" s="631"/>
      <c r="O1815" s="590"/>
      <c r="Q1815" s="836"/>
      <c r="R1815" s="914"/>
    </row>
    <row r="1816" spans="1:18" s="178" customFormat="1" ht="15.75" hidden="1" x14ac:dyDescent="0.25">
      <c r="A1816" s="225"/>
      <c r="B1816" s="318" t="s">
        <v>1327</v>
      </c>
      <c r="D1816" s="178">
        <v>5</v>
      </c>
      <c r="E1816" s="213" t="s">
        <v>1329</v>
      </c>
      <c r="F1816" s="232">
        <v>1.5</v>
      </c>
      <c r="G1816" s="305">
        <v>9682</v>
      </c>
      <c r="H1816" s="232">
        <v>7766</v>
      </c>
      <c r="I1816" s="611">
        <f t="shared" si="450"/>
        <v>1.2031605040280933</v>
      </c>
      <c r="J1816" s="611">
        <f t="shared" si="451"/>
        <v>2.7031605040280935</v>
      </c>
      <c r="K1816" s="612">
        <v>0.4</v>
      </c>
      <c r="L1816" s="611">
        <f t="shared" si="452"/>
        <v>3.7844247056393305</v>
      </c>
      <c r="M1816" s="232">
        <v>5</v>
      </c>
      <c r="N1816" s="631"/>
      <c r="O1816" s="590"/>
      <c r="P1816" s="169" t="s">
        <v>12</v>
      </c>
      <c r="Q1816" s="835">
        <v>45310</v>
      </c>
      <c r="R1816" s="580">
        <f t="shared" ref="R1816:R1819" si="453">+M1816*7000</f>
        <v>35000</v>
      </c>
    </row>
    <row r="1817" spans="1:18" s="178" customFormat="1" ht="15.75" hidden="1" x14ac:dyDescent="0.25">
      <c r="A1817" s="225"/>
      <c r="B1817" s="318" t="s">
        <v>1327</v>
      </c>
      <c r="D1817" s="178">
        <v>5</v>
      </c>
      <c r="E1817" s="213" t="s">
        <v>1329</v>
      </c>
      <c r="F1817" s="232">
        <v>1.5</v>
      </c>
      <c r="G1817" s="305">
        <v>9682</v>
      </c>
      <c r="H1817" s="232">
        <v>7766</v>
      </c>
      <c r="I1817" s="611">
        <f t="shared" si="450"/>
        <v>1.2031605040280933</v>
      </c>
      <c r="J1817" s="611">
        <f t="shared" si="451"/>
        <v>2.7031605040280935</v>
      </c>
      <c r="K1817" s="612">
        <v>0.4</v>
      </c>
      <c r="L1817" s="611">
        <f t="shared" si="452"/>
        <v>3.7844247056393305</v>
      </c>
      <c r="M1817" s="232">
        <v>5</v>
      </c>
      <c r="N1817" s="631"/>
      <c r="O1817" s="590"/>
      <c r="P1817" s="169" t="s">
        <v>12</v>
      </c>
      <c r="Q1817" s="835">
        <v>45310</v>
      </c>
      <c r="R1817" s="580">
        <f t="shared" si="453"/>
        <v>35000</v>
      </c>
    </row>
    <row r="1818" spans="1:18" s="178" customFormat="1" ht="15.75" hidden="1" x14ac:dyDescent="0.25">
      <c r="A1818" s="225"/>
      <c r="B1818" s="318" t="s">
        <v>1327</v>
      </c>
      <c r="D1818" s="178">
        <v>5</v>
      </c>
      <c r="E1818" s="213" t="s">
        <v>1329</v>
      </c>
      <c r="F1818" s="232">
        <v>1.5</v>
      </c>
      <c r="G1818" s="305">
        <v>9682</v>
      </c>
      <c r="H1818" s="232">
        <v>7766</v>
      </c>
      <c r="I1818" s="611">
        <f t="shared" si="450"/>
        <v>1.2031605040280933</v>
      </c>
      <c r="J1818" s="611">
        <f t="shared" si="451"/>
        <v>2.7031605040280935</v>
      </c>
      <c r="K1818" s="612">
        <v>0.4</v>
      </c>
      <c r="L1818" s="611">
        <f t="shared" si="452"/>
        <v>3.7844247056393305</v>
      </c>
      <c r="M1818" s="232">
        <v>5</v>
      </c>
      <c r="N1818" s="631"/>
      <c r="O1818" s="590"/>
      <c r="P1818" s="169" t="s">
        <v>12</v>
      </c>
      <c r="Q1818" s="835">
        <v>45310</v>
      </c>
      <c r="R1818" s="580">
        <f t="shared" si="453"/>
        <v>35000</v>
      </c>
    </row>
    <row r="1819" spans="1:18" s="178" customFormat="1" ht="15.75" hidden="1" x14ac:dyDescent="0.25">
      <c r="A1819" s="225"/>
      <c r="B1819" s="318" t="s">
        <v>1327</v>
      </c>
      <c r="D1819" s="178">
        <v>5</v>
      </c>
      <c r="E1819" s="213" t="s">
        <v>1329</v>
      </c>
      <c r="F1819" s="232">
        <v>1.5</v>
      </c>
      <c r="G1819" s="305">
        <v>9682</v>
      </c>
      <c r="H1819" s="232">
        <v>7766</v>
      </c>
      <c r="I1819" s="611">
        <f t="shared" si="450"/>
        <v>1.2031605040280933</v>
      </c>
      <c r="J1819" s="611">
        <f t="shared" si="451"/>
        <v>2.7031605040280935</v>
      </c>
      <c r="K1819" s="612">
        <v>0.4</v>
      </c>
      <c r="L1819" s="611">
        <f t="shared" si="452"/>
        <v>3.7844247056393305</v>
      </c>
      <c r="M1819" s="232">
        <v>5</v>
      </c>
      <c r="N1819" s="631"/>
      <c r="O1819" s="590"/>
      <c r="P1819" s="169" t="s">
        <v>12</v>
      </c>
      <c r="Q1819" s="835">
        <v>45310</v>
      </c>
      <c r="R1819" s="580">
        <f t="shared" si="453"/>
        <v>35000</v>
      </c>
    </row>
    <row r="1820" spans="1:18" s="178" customFormat="1" ht="15.75" hidden="1" x14ac:dyDescent="0.25">
      <c r="A1820" s="225"/>
      <c r="B1820" s="318" t="s">
        <v>1327</v>
      </c>
      <c r="D1820" s="178">
        <v>5</v>
      </c>
      <c r="E1820" s="804" t="s">
        <v>1329</v>
      </c>
      <c r="F1820" s="713">
        <v>1.5</v>
      </c>
      <c r="G1820" s="801">
        <v>9682</v>
      </c>
      <c r="H1820" s="713">
        <v>7766</v>
      </c>
      <c r="I1820" s="712">
        <f t="shared" si="450"/>
        <v>1.2031605040280933</v>
      </c>
      <c r="J1820" s="712">
        <f t="shared" si="451"/>
        <v>2.7031605040280935</v>
      </c>
      <c r="K1820" s="714">
        <v>0.4</v>
      </c>
      <c r="L1820" s="712">
        <f t="shared" si="452"/>
        <v>3.7844247056393305</v>
      </c>
      <c r="M1820" s="713">
        <v>5</v>
      </c>
      <c r="N1820" s="631"/>
      <c r="O1820" s="590"/>
      <c r="P1820" s="169" t="s">
        <v>2072</v>
      </c>
      <c r="Q1820" s="836">
        <v>45351</v>
      </c>
      <c r="R1820" s="914"/>
    </row>
    <row r="1821" spans="1:18" s="178" customFormat="1" ht="15.75" hidden="1" x14ac:dyDescent="0.25">
      <c r="A1821" s="225"/>
      <c r="B1821" s="318" t="s">
        <v>1327</v>
      </c>
      <c r="D1821" s="178">
        <v>5</v>
      </c>
      <c r="E1821" s="213" t="s">
        <v>1329</v>
      </c>
      <c r="F1821" s="232">
        <v>1.5</v>
      </c>
      <c r="G1821" s="305">
        <v>9682</v>
      </c>
      <c r="H1821" s="232">
        <v>7766</v>
      </c>
      <c r="I1821" s="611">
        <f t="shared" si="450"/>
        <v>1.2031605040280933</v>
      </c>
      <c r="J1821" s="611">
        <f t="shared" si="451"/>
        <v>2.7031605040280935</v>
      </c>
      <c r="K1821" s="612">
        <v>0.4</v>
      </c>
      <c r="L1821" s="611">
        <f t="shared" si="452"/>
        <v>3.7844247056393305</v>
      </c>
      <c r="M1821" s="232">
        <v>5</v>
      </c>
      <c r="N1821" s="631"/>
      <c r="O1821" s="590"/>
      <c r="P1821" s="169" t="s">
        <v>12</v>
      </c>
      <c r="Q1821" s="836">
        <v>45357</v>
      </c>
      <c r="R1821" s="580">
        <f>+M1821*18000</f>
        <v>90000</v>
      </c>
    </row>
    <row r="1822" spans="1:18" s="178" customFormat="1" ht="15.75" hidden="1" x14ac:dyDescent="0.25">
      <c r="A1822" s="225"/>
      <c r="B1822" s="318" t="s">
        <v>1327</v>
      </c>
      <c r="D1822" s="178">
        <v>5</v>
      </c>
      <c r="E1822" s="213" t="s">
        <v>1329</v>
      </c>
      <c r="F1822" s="232">
        <v>1.5</v>
      </c>
      <c r="G1822" s="305">
        <v>9682</v>
      </c>
      <c r="H1822" s="232">
        <v>7766</v>
      </c>
      <c r="I1822" s="611">
        <f t="shared" si="450"/>
        <v>1.2031605040280933</v>
      </c>
      <c r="J1822" s="611">
        <f t="shared" si="451"/>
        <v>2.7031605040280935</v>
      </c>
      <c r="K1822" s="612">
        <v>0.4</v>
      </c>
      <c r="L1822" s="611">
        <f t="shared" si="452"/>
        <v>3.7844247056393305</v>
      </c>
      <c r="M1822" s="232">
        <v>5</v>
      </c>
      <c r="N1822" s="631"/>
      <c r="O1822" s="590"/>
      <c r="P1822" s="169" t="s">
        <v>12</v>
      </c>
      <c r="Q1822" s="836">
        <v>45391</v>
      </c>
      <c r="R1822" s="914">
        <f>+M1822*36000</f>
        <v>180000</v>
      </c>
    </row>
    <row r="1823" spans="1:18" s="178" customFormat="1" ht="15.75" hidden="1" x14ac:dyDescent="0.25">
      <c r="A1823" s="225"/>
      <c r="B1823" s="318" t="s">
        <v>1327</v>
      </c>
      <c r="D1823" s="178">
        <v>5</v>
      </c>
      <c r="E1823" s="804" t="s">
        <v>1329</v>
      </c>
      <c r="F1823" s="713">
        <v>1.5</v>
      </c>
      <c r="G1823" s="801">
        <v>9682</v>
      </c>
      <c r="H1823" s="713">
        <v>7766</v>
      </c>
      <c r="I1823" s="712">
        <f t="shared" si="450"/>
        <v>1.2031605040280933</v>
      </c>
      <c r="J1823" s="712">
        <f t="shared" si="451"/>
        <v>2.7031605040280935</v>
      </c>
      <c r="K1823" s="714">
        <v>0.4</v>
      </c>
      <c r="L1823" s="712">
        <f t="shared" si="452"/>
        <v>3.7844247056393305</v>
      </c>
      <c r="M1823" s="713">
        <v>5</v>
      </c>
      <c r="N1823" s="631"/>
      <c r="O1823" s="590"/>
      <c r="P1823" s="169" t="s">
        <v>2446</v>
      </c>
      <c r="Q1823" s="836">
        <v>45401</v>
      </c>
      <c r="R1823" s="914">
        <f>+M1823*36000</f>
        <v>180000</v>
      </c>
    </row>
    <row r="1824" spans="1:18" s="178" customFormat="1" ht="15.75" hidden="1" x14ac:dyDescent="0.25">
      <c r="A1824" s="225"/>
      <c r="B1824" s="318" t="s">
        <v>1327</v>
      </c>
      <c r="D1824" s="178">
        <v>5</v>
      </c>
      <c r="E1824" s="213" t="s">
        <v>1329</v>
      </c>
      <c r="F1824" s="232">
        <v>1.5</v>
      </c>
      <c r="G1824" s="305">
        <v>9682</v>
      </c>
      <c r="H1824" s="232">
        <v>7766</v>
      </c>
      <c r="I1824" s="611">
        <f t="shared" si="450"/>
        <v>1.2031605040280933</v>
      </c>
      <c r="J1824" s="611">
        <f t="shared" si="451"/>
        <v>2.7031605040280935</v>
      </c>
      <c r="K1824" s="612">
        <v>0.4</v>
      </c>
      <c r="L1824" s="611">
        <f t="shared" si="452"/>
        <v>3.7844247056393305</v>
      </c>
      <c r="M1824" s="232">
        <v>5</v>
      </c>
      <c r="N1824" s="631"/>
      <c r="O1824" s="590"/>
      <c r="P1824" s="169" t="s">
        <v>12</v>
      </c>
      <c r="Q1824" s="836">
        <v>45420</v>
      </c>
      <c r="R1824" s="914">
        <f>+M1824*14.5</f>
        <v>72.5</v>
      </c>
    </row>
    <row r="1825" spans="1:18" s="178" customFormat="1" ht="15.75" hidden="1" x14ac:dyDescent="0.25">
      <c r="A1825" s="225"/>
      <c r="B1825" s="318" t="s">
        <v>1327</v>
      </c>
      <c r="D1825" s="178">
        <v>5</v>
      </c>
      <c r="E1825" s="213" t="s">
        <v>1329</v>
      </c>
      <c r="F1825" s="232">
        <v>1.5</v>
      </c>
      <c r="G1825" s="305">
        <v>9682</v>
      </c>
      <c r="H1825" s="232">
        <v>7766</v>
      </c>
      <c r="I1825" s="611">
        <f t="shared" si="450"/>
        <v>1.2031605040280933</v>
      </c>
      <c r="J1825" s="611">
        <f t="shared" si="451"/>
        <v>2.7031605040280935</v>
      </c>
      <c r="K1825" s="612">
        <v>0.4</v>
      </c>
      <c r="L1825" s="611">
        <f t="shared" si="452"/>
        <v>3.7844247056393305</v>
      </c>
      <c r="M1825" s="232">
        <v>5</v>
      </c>
      <c r="N1825" s="631"/>
      <c r="O1825" s="590"/>
      <c r="P1825" s="169" t="s">
        <v>12</v>
      </c>
      <c r="Q1825" s="836">
        <v>45420</v>
      </c>
      <c r="R1825" s="914">
        <f>+M1825*14.5</f>
        <v>72.5</v>
      </c>
    </row>
    <row r="1826" spans="1:18" s="178" customFormat="1" hidden="1" x14ac:dyDescent="0.25">
      <c r="A1826" s="225"/>
      <c r="B1826" s="318" t="s">
        <v>1327</v>
      </c>
      <c r="D1826" s="178">
        <v>6</v>
      </c>
      <c r="E1826" s="213" t="s">
        <v>1329</v>
      </c>
      <c r="F1826" s="232">
        <v>1.5</v>
      </c>
      <c r="G1826" s="305">
        <v>9682</v>
      </c>
      <c r="H1826" s="232">
        <v>7766</v>
      </c>
      <c r="I1826" s="611">
        <f t="shared" si="450"/>
        <v>1.2031605040280933</v>
      </c>
      <c r="J1826" s="611">
        <f t="shared" si="451"/>
        <v>2.7031605040280935</v>
      </c>
      <c r="K1826" s="612">
        <v>0.4</v>
      </c>
      <c r="L1826" s="611">
        <f t="shared" si="452"/>
        <v>3.7844247056393305</v>
      </c>
      <c r="M1826" s="232">
        <v>5</v>
      </c>
      <c r="N1826" s="631"/>
      <c r="O1826" s="590"/>
      <c r="P1826" s="178" t="s">
        <v>1873</v>
      </c>
      <c r="Q1826" s="836">
        <v>45303</v>
      </c>
      <c r="R1826" s="914">
        <f>+M1826*7000</f>
        <v>35000</v>
      </c>
    </row>
    <row r="1827" spans="1:18" s="178" customFormat="1" hidden="1" x14ac:dyDescent="0.25">
      <c r="A1827" s="225"/>
      <c r="B1827" s="318" t="s">
        <v>1327</v>
      </c>
      <c r="D1827" s="178">
        <v>6</v>
      </c>
      <c r="E1827" s="213" t="s">
        <v>1329</v>
      </c>
      <c r="F1827" s="232">
        <v>1.5</v>
      </c>
      <c r="G1827" s="305">
        <v>9682</v>
      </c>
      <c r="H1827" s="232">
        <v>7766</v>
      </c>
      <c r="I1827" s="611">
        <f t="shared" si="450"/>
        <v>1.2031605040280933</v>
      </c>
      <c r="J1827" s="611">
        <f t="shared" si="451"/>
        <v>2.7031605040280935</v>
      </c>
      <c r="K1827" s="612">
        <v>0.4</v>
      </c>
      <c r="L1827" s="611">
        <f t="shared" si="452"/>
        <v>3.7844247056393305</v>
      </c>
      <c r="M1827" s="232">
        <v>5</v>
      </c>
      <c r="N1827" s="631"/>
      <c r="O1827" s="590"/>
      <c r="P1827" s="178" t="s">
        <v>1873</v>
      </c>
      <c r="Q1827" s="836">
        <v>45315</v>
      </c>
      <c r="R1827" s="914">
        <f>+M1827*7000</f>
        <v>35000</v>
      </c>
    </row>
    <row r="1828" spans="1:18" s="178" customFormat="1" hidden="1" x14ac:dyDescent="0.25">
      <c r="A1828" s="225"/>
      <c r="B1828" s="318" t="s">
        <v>1327</v>
      </c>
      <c r="D1828" s="178">
        <v>6</v>
      </c>
      <c r="E1828" s="213" t="s">
        <v>1329</v>
      </c>
      <c r="F1828" s="232">
        <v>1.5</v>
      </c>
      <c r="G1828" s="305">
        <v>9682</v>
      </c>
      <c r="H1828" s="232">
        <v>7766</v>
      </c>
      <c r="I1828" s="611">
        <f t="shared" si="450"/>
        <v>1.2031605040280933</v>
      </c>
      <c r="J1828" s="611">
        <f t="shared" si="451"/>
        <v>2.7031605040280935</v>
      </c>
      <c r="K1828" s="612">
        <v>0.4</v>
      </c>
      <c r="L1828" s="611">
        <f t="shared" si="452"/>
        <v>3.7844247056393305</v>
      </c>
      <c r="M1828" s="232">
        <v>5</v>
      </c>
      <c r="N1828" s="631"/>
      <c r="O1828" s="590"/>
      <c r="P1828" s="178" t="s">
        <v>12</v>
      </c>
      <c r="Q1828" s="836">
        <v>45347</v>
      </c>
      <c r="R1828" s="914">
        <f>+M1828*10000</f>
        <v>50000</v>
      </c>
    </row>
    <row r="1829" spans="1:18" s="178" customFormat="1" hidden="1" x14ac:dyDescent="0.25">
      <c r="A1829" s="225"/>
      <c r="B1829" s="318" t="s">
        <v>1327</v>
      </c>
      <c r="D1829" s="178">
        <v>6</v>
      </c>
      <c r="E1829" s="213" t="s">
        <v>1329</v>
      </c>
      <c r="F1829" s="232">
        <v>1.5</v>
      </c>
      <c r="G1829" s="305">
        <v>9682</v>
      </c>
      <c r="H1829" s="232">
        <v>7766</v>
      </c>
      <c r="I1829" s="611">
        <f t="shared" si="450"/>
        <v>1.2031605040280933</v>
      </c>
      <c r="J1829" s="611">
        <f t="shared" si="451"/>
        <v>2.7031605040280935</v>
      </c>
      <c r="K1829" s="612">
        <v>0.4</v>
      </c>
      <c r="L1829" s="611">
        <f t="shared" si="452"/>
        <v>3.7844247056393305</v>
      </c>
      <c r="M1829" s="232">
        <v>5</v>
      </c>
      <c r="N1829" s="631"/>
      <c r="O1829" s="590"/>
      <c r="P1829" s="178" t="s">
        <v>12</v>
      </c>
      <c r="Q1829" s="836">
        <v>45347</v>
      </c>
      <c r="R1829" s="914">
        <f>+M1829*10000</f>
        <v>50000</v>
      </c>
    </row>
    <row r="1830" spans="1:18" s="178" customFormat="1" hidden="1" x14ac:dyDescent="0.25">
      <c r="A1830" s="225"/>
      <c r="B1830" s="318" t="s">
        <v>1327</v>
      </c>
      <c r="D1830" s="178">
        <v>6</v>
      </c>
      <c r="E1830" s="213" t="s">
        <v>1329</v>
      </c>
      <c r="F1830" s="232">
        <v>1.5</v>
      </c>
      <c r="G1830" s="305">
        <v>9682</v>
      </c>
      <c r="H1830" s="232">
        <v>7766</v>
      </c>
      <c r="I1830" s="611">
        <f t="shared" si="450"/>
        <v>1.2031605040280933</v>
      </c>
      <c r="J1830" s="611">
        <f t="shared" si="451"/>
        <v>2.7031605040280935</v>
      </c>
      <c r="K1830" s="612">
        <v>0.4</v>
      </c>
      <c r="L1830" s="611">
        <f t="shared" si="452"/>
        <v>3.7844247056393305</v>
      </c>
      <c r="M1830" s="232">
        <v>5</v>
      </c>
      <c r="N1830" s="631"/>
      <c r="O1830" s="590"/>
      <c r="P1830" s="178" t="s">
        <v>12</v>
      </c>
      <c r="Q1830" s="836">
        <v>45353</v>
      </c>
      <c r="R1830" s="914">
        <f>+M1830*15000</f>
        <v>75000</v>
      </c>
    </row>
    <row r="1831" spans="1:18" s="178" customFormat="1" hidden="1" x14ac:dyDescent="0.25">
      <c r="A1831" s="225"/>
      <c r="B1831" s="318" t="s">
        <v>1327</v>
      </c>
      <c r="D1831" s="178">
        <v>6</v>
      </c>
      <c r="E1831" s="213" t="s">
        <v>1329</v>
      </c>
      <c r="F1831" s="232">
        <v>1.5</v>
      </c>
      <c r="G1831" s="305">
        <v>9682</v>
      </c>
      <c r="H1831" s="232">
        <v>7766</v>
      </c>
      <c r="I1831" s="611">
        <f t="shared" si="450"/>
        <v>1.2031605040280933</v>
      </c>
      <c r="J1831" s="611">
        <f t="shared" si="451"/>
        <v>2.7031605040280935</v>
      </c>
      <c r="K1831" s="612">
        <v>0.4</v>
      </c>
      <c r="L1831" s="611">
        <f t="shared" si="452"/>
        <v>3.7844247056393305</v>
      </c>
      <c r="M1831" s="232">
        <v>5</v>
      </c>
      <c r="N1831" s="631"/>
      <c r="O1831" s="590"/>
      <c r="P1831" s="178" t="s">
        <v>12</v>
      </c>
      <c r="Q1831" s="836">
        <v>45353</v>
      </c>
      <c r="R1831" s="914">
        <f t="shared" ref="R1831:R1832" si="454">+M1831*15000</f>
        <v>75000</v>
      </c>
    </row>
    <row r="1832" spans="1:18" s="178" customFormat="1" hidden="1" x14ac:dyDescent="0.25">
      <c r="A1832" s="225"/>
      <c r="B1832" s="318" t="s">
        <v>1327</v>
      </c>
      <c r="D1832" s="178">
        <v>5</v>
      </c>
      <c r="E1832" s="213" t="s">
        <v>1329</v>
      </c>
      <c r="F1832" s="232">
        <v>1.5</v>
      </c>
      <c r="G1832" s="305">
        <v>9682</v>
      </c>
      <c r="H1832" s="232">
        <v>7766</v>
      </c>
      <c r="I1832" s="611">
        <f t="shared" si="450"/>
        <v>1.2031605040280933</v>
      </c>
      <c r="J1832" s="611">
        <f t="shared" si="451"/>
        <v>2.7031605040280935</v>
      </c>
      <c r="K1832" s="612">
        <v>0.4</v>
      </c>
      <c r="L1832" s="611">
        <f t="shared" si="452"/>
        <v>3.7844247056393305</v>
      </c>
      <c r="M1832" s="232">
        <v>5</v>
      </c>
      <c r="N1832" s="631"/>
      <c r="O1832" s="590"/>
      <c r="P1832" s="178" t="s">
        <v>12</v>
      </c>
      <c r="Q1832" s="836">
        <v>45353</v>
      </c>
      <c r="R1832" s="914">
        <f t="shared" si="454"/>
        <v>75000</v>
      </c>
    </row>
    <row r="1833" spans="1:18" s="178" customFormat="1" x14ac:dyDescent="0.25">
      <c r="A1833" s="225"/>
      <c r="B1833" s="318" t="s">
        <v>1327</v>
      </c>
      <c r="D1833" s="178">
        <v>5</v>
      </c>
      <c r="E1833" s="213" t="s">
        <v>1329</v>
      </c>
      <c r="F1833" s="232">
        <v>1.5</v>
      </c>
      <c r="G1833" s="305">
        <v>9682</v>
      </c>
      <c r="H1833" s="232">
        <v>7766</v>
      </c>
      <c r="I1833" s="611">
        <f t="shared" si="450"/>
        <v>1.2031605040280933</v>
      </c>
      <c r="J1833" s="611">
        <f t="shared" si="451"/>
        <v>2.7031605040280935</v>
      </c>
      <c r="K1833" s="612">
        <v>0.4</v>
      </c>
      <c r="L1833" s="611">
        <f t="shared" si="452"/>
        <v>3.7844247056393305</v>
      </c>
      <c r="M1833" s="232">
        <v>5</v>
      </c>
      <c r="N1833" s="631"/>
      <c r="O1833" s="590"/>
      <c r="P1833" s="178" t="s">
        <v>12</v>
      </c>
      <c r="Q1833" s="836">
        <v>45426</v>
      </c>
      <c r="R1833" s="914">
        <f>+M1833*14.5</f>
        <v>72.5</v>
      </c>
    </row>
    <row r="1834" spans="1:18" s="178" customFormat="1" hidden="1" x14ac:dyDescent="0.25">
      <c r="A1834" s="225"/>
      <c r="B1834" s="318" t="s">
        <v>1327</v>
      </c>
      <c r="D1834" s="178">
        <v>6</v>
      </c>
      <c r="E1834" s="213" t="s">
        <v>1329</v>
      </c>
      <c r="F1834" s="232">
        <v>1.5</v>
      </c>
      <c r="G1834" s="305">
        <v>9682</v>
      </c>
      <c r="H1834" s="232">
        <v>7766</v>
      </c>
      <c r="I1834" s="611">
        <f t="shared" si="450"/>
        <v>1.2031605040280933</v>
      </c>
      <c r="J1834" s="611">
        <f t="shared" si="451"/>
        <v>2.7031605040280935</v>
      </c>
      <c r="K1834" s="612">
        <v>0.4</v>
      </c>
      <c r="L1834" s="611">
        <f t="shared" si="452"/>
        <v>3.7844247056393305</v>
      </c>
      <c r="M1834" s="232">
        <v>5</v>
      </c>
      <c r="N1834" s="631"/>
      <c r="O1834" s="590"/>
      <c r="P1834" s="178" t="s">
        <v>12</v>
      </c>
      <c r="Q1834" s="836">
        <v>45357</v>
      </c>
      <c r="R1834" s="914">
        <f>+M1834*18000</f>
        <v>90000</v>
      </c>
    </row>
    <row r="1835" spans="1:18" s="178" customFormat="1" x14ac:dyDescent="0.25">
      <c r="A1835" s="225"/>
      <c r="B1835" s="654">
        <v>45352</v>
      </c>
      <c r="F1835" s="226"/>
      <c r="G1835" s="227"/>
      <c r="H1835" s="226"/>
      <c r="I1835" s="174"/>
      <c r="J1835" s="174"/>
      <c r="K1835" s="316"/>
      <c r="L1835" s="174"/>
      <c r="M1835" s="226"/>
      <c r="N1835" s="226"/>
      <c r="Q1835" s="836"/>
      <c r="R1835" s="914"/>
    </row>
    <row r="1836" spans="1:18" s="178" customFormat="1" x14ac:dyDescent="0.25">
      <c r="A1836" s="225" t="s">
        <v>781</v>
      </c>
      <c r="B1836" s="319"/>
      <c r="D1836" s="656">
        <v>4</v>
      </c>
      <c r="E1836" s="708" t="s">
        <v>2154</v>
      </c>
      <c r="F1836" s="232">
        <v>1.62</v>
      </c>
      <c r="G1836" s="213">
        <v>4192</v>
      </c>
      <c r="H1836" s="232">
        <v>3417</v>
      </c>
      <c r="I1836" s="232">
        <f t="shared" ref="I1836:I1899" si="455">+H1836/G1836*F1836</f>
        <v>1.3205009541984734</v>
      </c>
      <c r="J1836" s="863">
        <f t="shared" ref="J1836:J1899" si="456">+F1836+I1836</f>
        <v>2.9405009541984732</v>
      </c>
      <c r="K1836" s="864">
        <v>1.4</v>
      </c>
      <c r="L1836" s="232">
        <f t="shared" ref="L1836:L1899" si="457">+J1836*K1836</f>
        <v>4.1167013358778624</v>
      </c>
      <c r="M1836" s="232">
        <v>5</v>
      </c>
      <c r="P1836" s="178" t="s">
        <v>12</v>
      </c>
      <c r="Q1836" s="229">
        <v>45449</v>
      </c>
      <c r="R1836" s="914">
        <f>+M1836*14.5</f>
        <v>72.5</v>
      </c>
    </row>
    <row r="1837" spans="1:18" s="178" customFormat="1" x14ac:dyDescent="0.25">
      <c r="A1837" s="225"/>
      <c r="B1837" s="319"/>
      <c r="D1837" s="656">
        <v>4</v>
      </c>
      <c r="E1837" s="628" t="s">
        <v>2154</v>
      </c>
      <c r="F1837" s="226">
        <v>1.62</v>
      </c>
      <c r="G1837" s="178">
        <v>4192</v>
      </c>
      <c r="H1837" s="226">
        <v>3417</v>
      </c>
      <c r="I1837" s="226">
        <f t="shared" si="455"/>
        <v>1.3205009541984734</v>
      </c>
      <c r="J1837" s="820">
        <f t="shared" si="456"/>
        <v>2.9405009541984732</v>
      </c>
      <c r="K1837" s="228">
        <v>1.4</v>
      </c>
      <c r="L1837" s="226">
        <f t="shared" si="457"/>
        <v>4.1167013358778624</v>
      </c>
      <c r="M1837" s="226">
        <v>5</v>
      </c>
      <c r="R1837" s="914"/>
    </row>
    <row r="1838" spans="1:18" s="178" customFormat="1" x14ac:dyDescent="0.25">
      <c r="A1838" s="225"/>
      <c r="B1838" s="319"/>
      <c r="D1838" s="656">
        <v>4</v>
      </c>
      <c r="E1838" s="628" t="s">
        <v>2154</v>
      </c>
      <c r="F1838" s="226">
        <v>1.62</v>
      </c>
      <c r="G1838" s="178">
        <v>4192</v>
      </c>
      <c r="H1838" s="226">
        <v>3417</v>
      </c>
      <c r="I1838" s="226">
        <f t="shared" si="455"/>
        <v>1.3205009541984734</v>
      </c>
      <c r="J1838" s="820">
        <f t="shared" si="456"/>
        <v>2.9405009541984732</v>
      </c>
      <c r="K1838" s="228">
        <v>1.4</v>
      </c>
      <c r="L1838" s="226">
        <f t="shared" si="457"/>
        <v>4.1167013358778624</v>
      </c>
      <c r="M1838" s="226">
        <v>5</v>
      </c>
      <c r="R1838" s="914"/>
    </row>
    <row r="1839" spans="1:18" s="178" customFormat="1" x14ac:dyDescent="0.25">
      <c r="A1839" s="225"/>
      <c r="B1839" s="319"/>
      <c r="D1839" s="656">
        <v>4</v>
      </c>
      <c r="E1839" s="628" t="s">
        <v>2154</v>
      </c>
      <c r="F1839" s="226">
        <v>1.62</v>
      </c>
      <c r="G1839" s="178">
        <v>4192</v>
      </c>
      <c r="H1839" s="226">
        <v>3417</v>
      </c>
      <c r="I1839" s="226">
        <f t="shared" si="455"/>
        <v>1.3205009541984734</v>
      </c>
      <c r="J1839" s="820">
        <f t="shared" si="456"/>
        <v>2.9405009541984732</v>
      </c>
      <c r="K1839" s="228">
        <v>1.4</v>
      </c>
      <c r="L1839" s="226">
        <f t="shared" si="457"/>
        <v>4.1167013358778624</v>
      </c>
      <c r="M1839" s="226">
        <v>5</v>
      </c>
      <c r="R1839" s="914"/>
    </row>
    <row r="1840" spans="1:18" s="178" customFormat="1" x14ac:dyDescent="0.25">
      <c r="A1840" s="225"/>
      <c r="B1840" s="319"/>
      <c r="D1840" s="656">
        <v>4</v>
      </c>
      <c r="E1840" s="628" t="s">
        <v>2154</v>
      </c>
      <c r="F1840" s="226">
        <v>1.62</v>
      </c>
      <c r="G1840" s="178">
        <v>4192</v>
      </c>
      <c r="H1840" s="226">
        <v>3417</v>
      </c>
      <c r="I1840" s="226">
        <f t="shared" si="455"/>
        <v>1.3205009541984734</v>
      </c>
      <c r="J1840" s="820">
        <f t="shared" si="456"/>
        <v>2.9405009541984732</v>
      </c>
      <c r="K1840" s="228">
        <v>1.4</v>
      </c>
      <c r="L1840" s="226">
        <f t="shared" si="457"/>
        <v>4.1167013358778624</v>
      </c>
      <c r="M1840" s="226">
        <v>5</v>
      </c>
      <c r="R1840" s="914"/>
    </row>
    <row r="1841" spans="1:18" s="178" customFormat="1" x14ac:dyDescent="0.25">
      <c r="A1841" s="225"/>
      <c r="B1841" s="319"/>
      <c r="D1841" s="656">
        <v>4</v>
      </c>
      <c r="E1841" s="628" t="s">
        <v>2154</v>
      </c>
      <c r="F1841" s="226">
        <v>1.62</v>
      </c>
      <c r="G1841" s="178">
        <v>4192</v>
      </c>
      <c r="H1841" s="226">
        <v>3417</v>
      </c>
      <c r="I1841" s="226">
        <f t="shared" si="455"/>
        <v>1.3205009541984734</v>
      </c>
      <c r="J1841" s="820">
        <f t="shared" si="456"/>
        <v>2.9405009541984732</v>
      </c>
      <c r="K1841" s="228">
        <v>1.4</v>
      </c>
      <c r="L1841" s="226">
        <f t="shared" si="457"/>
        <v>4.1167013358778624</v>
      </c>
      <c r="M1841" s="226">
        <v>5</v>
      </c>
      <c r="R1841" s="914"/>
    </row>
    <row r="1842" spans="1:18" s="178" customFormat="1" x14ac:dyDescent="0.25">
      <c r="A1842" s="225"/>
      <c r="B1842" s="319"/>
      <c r="D1842" s="656">
        <v>4</v>
      </c>
      <c r="E1842" s="628" t="s">
        <v>2154</v>
      </c>
      <c r="F1842" s="226">
        <v>1.62</v>
      </c>
      <c r="G1842" s="178">
        <v>4192</v>
      </c>
      <c r="H1842" s="226">
        <v>3417</v>
      </c>
      <c r="I1842" s="226">
        <f t="shared" si="455"/>
        <v>1.3205009541984734</v>
      </c>
      <c r="J1842" s="820">
        <f t="shared" si="456"/>
        <v>2.9405009541984732</v>
      </c>
      <c r="K1842" s="228">
        <v>1.4</v>
      </c>
      <c r="L1842" s="226">
        <f t="shared" si="457"/>
        <v>4.1167013358778624</v>
      </c>
      <c r="M1842" s="226">
        <v>5</v>
      </c>
      <c r="R1842" s="914"/>
    </row>
    <row r="1843" spans="1:18" s="178" customFormat="1" x14ac:dyDescent="0.25">
      <c r="A1843" s="225"/>
      <c r="B1843" s="319"/>
      <c r="D1843" s="656">
        <v>4</v>
      </c>
      <c r="E1843" s="628" t="s">
        <v>2154</v>
      </c>
      <c r="F1843" s="226">
        <v>1.62</v>
      </c>
      <c r="G1843" s="178">
        <v>4192</v>
      </c>
      <c r="H1843" s="226">
        <v>3417</v>
      </c>
      <c r="I1843" s="226">
        <f t="shared" si="455"/>
        <v>1.3205009541984734</v>
      </c>
      <c r="J1843" s="820">
        <f t="shared" si="456"/>
        <v>2.9405009541984732</v>
      </c>
      <c r="K1843" s="228">
        <v>1.4</v>
      </c>
      <c r="L1843" s="226">
        <f t="shared" si="457"/>
        <v>4.1167013358778624</v>
      </c>
      <c r="M1843" s="226">
        <v>5</v>
      </c>
      <c r="R1843" s="914"/>
    </row>
    <row r="1844" spans="1:18" s="178" customFormat="1" x14ac:dyDescent="0.25">
      <c r="A1844" s="225"/>
      <c r="B1844" s="319"/>
      <c r="D1844" s="656">
        <v>4</v>
      </c>
      <c r="E1844" s="628" t="s">
        <v>2154</v>
      </c>
      <c r="F1844" s="226">
        <v>1.62</v>
      </c>
      <c r="G1844" s="178">
        <v>4192</v>
      </c>
      <c r="H1844" s="226">
        <v>3417</v>
      </c>
      <c r="I1844" s="226">
        <f t="shared" si="455"/>
        <v>1.3205009541984734</v>
      </c>
      <c r="J1844" s="820">
        <f t="shared" si="456"/>
        <v>2.9405009541984732</v>
      </c>
      <c r="K1844" s="228">
        <v>1.4</v>
      </c>
      <c r="L1844" s="226">
        <f t="shared" si="457"/>
        <v>4.1167013358778624</v>
      </c>
      <c r="M1844" s="226">
        <v>5</v>
      </c>
      <c r="R1844" s="914"/>
    </row>
    <row r="1845" spans="1:18" s="178" customFormat="1" x14ac:dyDescent="0.25">
      <c r="A1845" s="225"/>
      <c r="B1845" s="319"/>
      <c r="D1845" s="656">
        <v>4</v>
      </c>
      <c r="E1845" s="628" t="s">
        <v>2154</v>
      </c>
      <c r="F1845" s="226">
        <v>1.62</v>
      </c>
      <c r="G1845" s="178">
        <v>4192</v>
      </c>
      <c r="H1845" s="226">
        <v>3417</v>
      </c>
      <c r="I1845" s="226">
        <f t="shared" si="455"/>
        <v>1.3205009541984734</v>
      </c>
      <c r="J1845" s="820">
        <f t="shared" si="456"/>
        <v>2.9405009541984732</v>
      </c>
      <c r="K1845" s="228">
        <v>1.4</v>
      </c>
      <c r="L1845" s="226">
        <f t="shared" si="457"/>
        <v>4.1167013358778624</v>
      </c>
      <c r="M1845" s="226">
        <v>5</v>
      </c>
      <c r="R1845" s="914"/>
    </row>
    <row r="1846" spans="1:18" s="178" customFormat="1" x14ac:dyDescent="0.25">
      <c r="A1846" s="225"/>
      <c r="B1846" s="319"/>
      <c r="D1846" s="656">
        <v>4</v>
      </c>
      <c r="E1846" s="628" t="s">
        <v>2154</v>
      </c>
      <c r="F1846" s="226">
        <v>1.62</v>
      </c>
      <c r="G1846" s="178">
        <v>4192</v>
      </c>
      <c r="H1846" s="226">
        <v>3417</v>
      </c>
      <c r="I1846" s="226">
        <f t="shared" si="455"/>
        <v>1.3205009541984734</v>
      </c>
      <c r="J1846" s="820">
        <f t="shared" si="456"/>
        <v>2.9405009541984732</v>
      </c>
      <c r="K1846" s="228">
        <v>1.4</v>
      </c>
      <c r="L1846" s="226">
        <f t="shared" si="457"/>
        <v>4.1167013358778624</v>
      </c>
      <c r="M1846" s="226">
        <v>5</v>
      </c>
      <c r="R1846" s="914"/>
    </row>
    <row r="1847" spans="1:18" s="178" customFormat="1" x14ac:dyDescent="0.25">
      <c r="A1847" s="225"/>
      <c r="B1847" s="319"/>
      <c r="D1847" s="656">
        <v>4</v>
      </c>
      <c r="E1847" s="628" t="s">
        <v>2154</v>
      </c>
      <c r="F1847" s="226">
        <v>1.62</v>
      </c>
      <c r="G1847" s="178">
        <v>4192</v>
      </c>
      <c r="H1847" s="226">
        <v>3417</v>
      </c>
      <c r="I1847" s="226">
        <f t="shared" si="455"/>
        <v>1.3205009541984734</v>
      </c>
      <c r="J1847" s="820">
        <f t="shared" si="456"/>
        <v>2.9405009541984732</v>
      </c>
      <c r="K1847" s="228">
        <v>1.4</v>
      </c>
      <c r="L1847" s="226">
        <f t="shared" si="457"/>
        <v>4.1167013358778624</v>
      </c>
      <c r="M1847" s="226">
        <v>5</v>
      </c>
      <c r="R1847" s="914"/>
    </row>
    <row r="1848" spans="1:18" s="178" customFormat="1" hidden="1" x14ac:dyDescent="0.25">
      <c r="A1848" s="225"/>
      <c r="B1848" s="319"/>
      <c r="D1848" s="656">
        <v>4</v>
      </c>
      <c r="E1848" s="708" t="s">
        <v>2155</v>
      </c>
      <c r="F1848" s="232">
        <v>1.62</v>
      </c>
      <c r="G1848" s="213">
        <v>4192</v>
      </c>
      <c r="H1848" s="232">
        <v>3417</v>
      </c>
      <c r="I1848" s="232">
        <f t="shared" si="455"/>
        <v>1.3205009541984734</v>
      </c>
      <c r="J1848" s="863">
        <f t="shared" si="456"/>
        <v>2.9405009541984732</v>
      </c>
      <c r="K1848" s="864">
        <v>1.4</v>
      </c>
      <c r="L1848" s="232">
        <f t="shared" si="457"/>
        <v>4.1167013358778624</v>
      </c>
      <c r="M1848" s="232">
        <v>5</v>
      </c>
      <c r="P1848" s="178" t="s">
        <v>12</v>
      </c>
      <c r="Q1848" s="229">
        <v>45420</v>
      </c>
      <c r="R1848" s="914">
        <f>+M1848*14.5</f>
        <v>72.5</v>
      </c>
    </row>
    <row r="1849" spans="1:18" s="178" customFormat="1" hidden="1" x14ac:dyDescent="0.25">
      <c r="A1849" s="225"/>
      <c r="B1849" s="319"/>
      <c r="D1849" s="656">
        <v>4</v>
      </c>
      <c r="E1849" s="708" t="s">
        <v>2155</v>
      </c>
      <c r="F1849" s="232">
        <v>1.62</v>
      </c>
      <c r="G1849" s="213">
        <v>4192</v>
      </c>
      <c r="H1849" s="232">
        <v>3417</v>
      </c>
      <c r="I1849" s="232">
        <f t="shared" si="455"/>
        <v>1.3205009541984734</v>
      </c>
      <c r="J1849" s="863">
        <f t="shared" si="456"/>
        <v>2.9405009541984732</v>
      </c>
      <c r="K1849" s="864">
        <v>1.4</v>
      </c>
      <c r="L1849" s="232">
        <f t="shared" si="457"/>
        <v>4.1167013358778624</v>
      </c>
      <c r="M1849" s="232">
        <v>5</v>
      </c>
      <c r="P1849" s="178" t="s">
        <v>12</v>
      </c>
      <c r="Q1849" s="229">
        <v>45420</v>
      </c>
      <c r="R1849" s="914">
        <f t="shared" ref="R1849:R1851" si="458">+M1849*14.5</f>
        <v>72.5</v>
      </c>
    </row>
    <row r="1850" spans="1:18" s="178" customFormat="1" hidden="1" x14ac:dyDescent="0.25">
      <c r="A1850" s="225"/>
      <c r="B1850" s="319"/>
      <c r="D1850" s="656">
        <v>4</v>
      </c>
      <c r="E1850" s="708" t="s">
        <v>2155</v>
      </c>
      <c r="F1850" s="232">
        <v>1.62</v>
      </c>
      <c r="G1850" s="213">
        <v>4192</v>
      </c>
      <c r="H1850" s="232">
        <v>3417</v>
      </c>
      <c r="I1850" s="232">
        <f t="shared" si="455"/>
        <v>1.3205009541984734</v>
      </c>
      <c r="J1850" s="863">
        <f t="shared" si="456"/>
        <v>2.9405009541984732</v>
      </c>
      <c r="K1850" s="864">
        <v>1.4</v>
      </c>
      <c r="L1850" s="232">
        <f t="shared" si="457"/>
        <v>4.1167013358778624</v>
      </c>
      <c r="M1850" s="232">
        <v>5</v>
      </c>
      <c r="P1850" s="178" t="s">
        <v>12</v>
      </c>
      <c r="Q1850" s="229">
        <v>45420</v>
      </c>
      <c r="R1850" s="914">
        <f t="shared" si="458"/>
        <v>72.5</v>
      </c>
    </row>
    <row r="1851" spans="1:18" s="178" customFormat="1" hidden="1" x14ac:dyDescent="0.25">
      <c r="A1851" s="225"/>
      <c r="B1851" s="319"/>
      <c r="D1851" s="656">
        <v>4</v>
      </c>
      <c r="E1851" s="708" t="s">
        <v>2155</v>
      </c>
      <c r="F1851" s="232">
        <v>1.62</v>
      </c>
      <c r="G1851" s="213">
        <v>4192</v>
      </c>
      <c r="H1851" s="232">
        <v>3417</v>
      </c>
      <c r="I1851" s="232">
        <f t="shared" si="455"/>
        <v>1.3205009541984734</v>
      </c>
      <c r="J1851" s="863">
        <f t="shared" si="456"/>
        <v>2.9405009541984732</v>
      </c>
      <c r="K1851" s="864">
        <v>1.4</v>
      </c>
      <c r="L1851" s="232">
        <f t="shared" si="457"/>
        <v>4.1167013358778624</v>
      </c>
      <c r="M1851" s="232">
        <v>5</v>
      </c>
      <c r="P1851" s="178" t="s">
        <v>12</v>
      </c>
      <c r="Q1851" s="229">
        <v>45420</v>
      </c>
      <c r="R1851" s="914">
        <f t="shared" si="458"/>
        <v>72.5</v>
      </c>
    </row>
    <row r="1852" spans="1:18" s="178" customFormat="1" hidden="1" x14ac:dyDescent="0.25">
      <c r="A1852" s="225"/>
      <c r="B1852" s="319"/>
      <c r="D1852" s="656">
        <v>4</v>
      </c>
      <c r="E1852" s="708" t="s">
        <v>2155</v>
      </c>
      <c r="F1852" s="232">
        <v>1.62</v>
      </c>
      <c r="G1852" s="213">
        <v>4192</v>
      </c>
      <c r="H1852" s="232">
        <v>3417</v>
      </c>
      <c r="I1852" s="232">
        <f t="shared" si="455"/>
        <v>1.3205009541984734</v>
      </c>
      <c r="J1852" s="863">
        <f t="shared" si="456"/>
        <v>2.9405009541984732</v>
      </c>
      <c r="K1852" s="864">
        <v>1.4</v>
      </c>
      <c r="L1852" s="232">
        <f t="shared" si="457"/>
        <v>4.1167013358778624</v>
      </c>
      <c r="M1852" s="232">
        <v>5</v>
      </c>
      <c r="P1852" s="178" t="s">
        <v>12</v>
      </c>
      <c r="Q1852" s="229">
        <v>45426</v>
      </c>
      <c r="R1852" s="914"/>
    </row>
    <row r="1853" spans="1:18" s="178" customFormat="1" hidden="1" x14ac:dyDescent="0.25">
      <c r="A1853" s="225"/>
      <c r="B1853" s="319"/>
      <c r="D1853" s="656">
        <v>4</v>
      </c>
      <c r="E1853" s="708" t="s">
        <v>2155</v>
      </c>
      <c r="F1853" s="232">
        <v>1.62</v>
      </c>
      <c r="G1853" s="213">
        <v>4192</v>
      </c>
      <c r="H1853" s="232">
        <v>3417</v>
      </c>
      <c r="I1853" s="232">
        <f t="shared" si="455"/>
        <v>1.3205009541984734</v>
      </c>
      <c r="J1853" s="863">
        <f t="shared" si="456"/>
        <v>2.9405009541984732</v>
      </c>
      <c r="K1853" s="864">
        <v>1.4</v>
      </c>
      <c r="L1853" s="232">
        <f t="shared" si="457"/>
        <v>4.1167013358778624</v>
      </c>
      <c r="M1853" s="232">
        <v>5</v>
      </c>
      <c r="P1853" s="178" t="s">
        <v>12</v>
      </c>
      <c r="Q1853" s="229">
        <v>45426</v>
      </c>
      <c r="R1853" s="914"/>
    </row>
    <row r="1854" spans="1:18" s="178" customFormat="1" hidden="1" x14ac:dyDescent="0.25">
      <c r="A1854" s="225"/>
      <c r="B1854" s="319"/>
      <c r="D1854" s="656">
        <v>4</v>
      </c>
      <c r="E1854" s="708" t="s">
        <v>2155</v>
      </c>
      <c r="F1854" s="232">
        <v>1.62</v>
      </c>
      <c r="G1854" s="213">
        <v>4192</v>
      </c>
      <c r="H1854" s="232">
        <v>3417</v>
      </c>
      <c r="I1854" s="232">
        <f t="shared" si="455"/>
        <v>1.3205009541984734</v>
      </c>
      <c r="J1854" s="863">
        <f t="shared" si="456"/>
        <v>2.9405009541984732</v>
      </c>
      <c r="K1854" s="864">
        <v>1.4</v>
      </c>
      <c r="L1854" s="232">
        <f t="shared" si="457"/>
        <v>4.1167013358778624</v>
      </c>
      <c r="M1854" s="232">
        <v>5</v>
      </c>
      <c r="P1854" s="178" t="s">
        <v>12</v>
      </c>
      <c r="Q1854" s="229">
        <v>45426</v>
      </c>
      <c r="R1854" s="914"/>
    </row>
    <row r="1855" spans="1:18" s="178" customFormat="1" hidden="1" x14ac:dyDescent="0.25">
      <c r="A1855" s="225"/>
      <c r="B1855" s="319"/>
      <c r="D1855" s="656">
        <v>4</v>
      </c>
      <c r="E1855" s="708" t="s">
        <v>2155</v>
      </c>
      <c r="F1855" s="232">
        <v>1.62</v>
      </c>
      <c r="G1855" s="213">
        <v>4192</v>
      </c>
      <c r="H1855" s="232">
        <v>3417</v>
      </c>
      <c r="I1855" s="232">
        <f t="shared" si="455"/>
        <v>1.3205009541984734</v>
      </c>
      <c r="J1855" s="863">
        <f t="shared" si="456"/>
        <v>2.9405009541984732</v>
      </c>
      <c r="K1855" s="864">
        <v>1.4</v>
      </c>
      <c r="L1855" s="232">
        <f t="shared" si="457"/>
        <v>4.1167013358778624</v>
      </c>
      <c r="M1855" s="232">
        <v>5</v>
      </c>
      <c r="P1855" s="178" t="s">
        <v>12</v>
      </c>
      <c r="Q1855" s="229">
        <v>45426</v>
      </c>
      <c r="R1855" s="914"/>
    </row>
    <row r="1856" spans="1:18" s="178" customFormat="1" hidden="1" x14ac:dyDescent="0.25">
      <c r="A1856" s="225"/>
      <c r="B1856" s="319"/>
      <c r="D1856" s="656">
        <v>4</v>
      </c>
      <c r="E1856" s="708" t="s">
        <v>2155</v>
      </c>
      <c r="F1856" s="232">
        <v>1.62</v>
      </c>
      <c r="G1856" s="213">
        <v>4192</v>
      </c>
      <c r="H1856" s="232">
        <v>3417</v>
      </c>
      <c r="I1856" s="232">
        <f t="shared" si="455"/>
        <v>1.3205009541984734</v>
      </c>
      <c r="J1856" s="863">
        <f t="shared" si="456"/>
        <v>2.9405009541984732</v>
      </c>
      <c r="K1856" s="864">
        <v>1.4</v>
      </c>
      <c r="L1856" s="232">
        <f t="shared" si="457"/>
        <v>4.1167013358778624</v>
      </c>
      <c r="M1856" s="232">
        <v>5</v>
      </c>
      <c r="P1856" s="178" t="s">
        <v>12</v>
      </c>
      <c r="Q1856" s="229">
        <v>45491</v>
      </c>
      <c r="R1856" s="914"/>
    </row>
    <row r="1857" spans="1:18" s="178" customFormat="1" hidden="1" x14ac:dyDescent="0.25">
      <c r="A1857" s="225"/>
      <c r="B1857" s="319"/>
      <c r="D1857" s="656">
        <v>4</v>
      </c>
      <c r="E1857" s="708" t="s">
        <v>2155</v>
      </c>
      <c r="F1857" s="232">
        <v>1.62</v>
      </c>
      <c r="G1857" s="213">
        <v>4192</v>
      </c>
      <c r="H1857" s="232">
        <v>3417</v>
      </c>
      <c r="I1857" s="232">
        <f t="shared" si="455"/>
        <v>1.3205009541984734</v>
      </c>
      <c r="J1857" s="863">
        <f t="shared" si="456"/>
        <v>2.9405009541984732</v>
      </c>
      <c r="K1857" s="864">
        <v>1.4</v>
      </c>
      <c r="L1857" s="232">
        <f t="shared" si="457"/>
        <v>4.1167013358778624</v>
      </c>
      <c r="M1857" s="232">
        <v>5</v>
      </c>
      <c r="P1857" s="178" t="s">
        <v>12</v>
      </c>
      <c r="Q1857" s="229">
        <v>45491</v>
      </c>
      <c r="R1857" s="914"/>
    </row>
    <row r="1858" spans="1:18" s="178" customFormat="1" x14ac:dyDescent="0.25">
      <c r="A1858" s="225"/>
      <c r="B1858" s="319"/>
      <c r="D1858" s="656">
        <v>4</v>
      </c>
      <c r="E1858" s="628" t="s">
        <v>2155</v>
      </c>
      <c r="F1858" s="226">
        <v>1.62</v>
      </c>
      <c r="G1858" s="178">
        <v>4192</v>
      </c>
      <c r="H1858" s="226">
        <v>3417</v>
      </c>
      <c r="I1858" s="226">
        <f t="shared" si="455"/>
        <v>1.3205009541984734</v>
      </c>
      <c r="J1858" s="820">
        <f t="shared" si="456"/>
        <v>2.9405009541984732</v>
      </c>
      <c r="K1858" s="228">
        <v>1.4</v>
      </c>
      <c r="L1858" s="226">
        <f t="shared" si="457"/>
        <v>4.1167013358778624</v>
      </c>
      <c r="M1858" s="226">
        <v>5</v>
      </c>
      <c r="R1858" s="914"/>
    </row>
    <row r="1859" spans="1:18" s="178" customFormat="1" x14ac:dyDescent="0.25">
      <c r="A1859" s="225"/>
      <c r="B1859" s="319"/>
      <c r="D1859" s="656">
        <v>4</v>
      </c>
      <c r="E1859" s="628" t="s">
        <v>2155</v>
      </c>
      <c r="F1859" s="226">
        <v>1.62</v>
      </c>
      <c r="G1859" s="178">
        <v>4192</v>
      </c>
      <c r="H1859" s="226">
        <v>3417</v>
      </c>
      <c r="I1859" s="226">
        <f t="shared" si="455"/>
        <v>1.3205009541984734</v>
      </c>
      <c r="J1859" s="820">
        <f t="shared" si="456"/>
        <v>2.9405009541984732</v>
      </c>
      <c r="K1859" s="228">
        <v>1.4</v>
      </c>
      <c r="L1859" s="226">
        <f t="shared" si="457"/>
        <v>4.1167013358778624</v>
      </c>
      <c r="M1859" s="226">
        <v>5</v>
      </c>
      <c r="R1859" s="914"/>
    </row>
    <row r="1860" spans="1:18" s="178" customFormat="1" hidden="1" x14ac:dyDescent="0.25">
      <c r="A1860" s="225"/>
      <c r="B1860" s="319"/>
      <c r="D1860" s="656">
        <v>5</v>
      </c>
      <c r="E1860" s="708" t="s">
        <v>2155</v>
      </c>
      <c r="F1860" s="232">
        <v>1.62</v>
      </c>
      <c r="G1860" s="213">
        <v>4192</v>
      </c>
      <c r="H1860" s="232">
        <v>3417</v>
      </c>
      <c r="I1860" s="232">
        <f t="shared" si="455"/>
        <v>1.3205009541984734</v>
      </c>
      <c r="J1860" s="863">
        <f t="shared" si="456"/>
        <v>2.9405009541984732</v>
      </c>
      <c r="K1860" s="864">
        <v>1.4</v>
      </c>
      <c r="L1860" s="232">
        <f t="shared" si="457"/>
        <v>4.1167013358778624</v>
      </c>
      <c r="M1860" s="232">
        <v>5</v>
      </c>
      <c r="P1860" s="178" t="s">
        <v>2223</v>
      </c>
      <c r="Q1860" s="229">
        <v>45377</v>
      </c>
      <c r="R1860" s="914">
        <f>+M1860*20000</f>
        <v>100000</v>
      </c>
    </row>
    <row r="1861" spans="1:18" s="178" customFormat="1" hidden="1" x14ac:dyDescent="0.25">
      <c r="A1861" s="225"/>
      <c r="B1861" s="319"/>
      <c r="D1861" s="656">
        <v>5</v>
      </c>
      <c r="E1861" s="708" t="s">
        <v>2155</v>
      </c>
      <c r="F1861" s="232">
        <v>1.62</v>
      </c>
      <c r="G1861" s="213">
        <v>4192</v>
      </c>
      <c r="H1861" s="232">
        <v>3417</v>
      </c>
      <c r="I1861" s="232">
        <f t="shared" si="455"/>
        <v>1.3205009541984734</v>
      </c>
      <c r="J1861" s="863">
        <f t="shared" si="456"/>
        <v>2.9405009541984732</v>
      </c>
      <c r="K1861" s="864">
        <v>1.4</v>
      </c>
      <c r="L1861" s="232">
        <f t="shared" si="457"/>
        <v>4.1167013358778624</v>
      </c>
      <c r="M1861" s="232">
        <v>5</v>
      </c>
      <c r="P1861" s="178" t="s">
        <v>2223</v>
      </c>
      <c r="Q1861" s="229">
        <v>45377</v>
      </c>
      <c r="R1861" s="914">
        <f t="shared" ref="R1861:R1863" si="459">+M1861*20000</f>
        <v>100000</v>
      </c>
    </row>
    <row r="1862" spans="1:18" s="178" customFormat="1" hidden="1" x14ac:dyDescent="0.25">
      <c r="A1862" s="225"/>
      <c r="B1862" s="319"/>
      <c r="D1862" s="656">
        <v>5</v>
      </c>
      <c r="E1862" s="708" t="s">
        <v>2155</v>
      </c>
      <c r="F1862" s="232">
        <v>1.62</v>
      </c>
      <c r="G1862" s="213">
        <v>4192</v>
      </c>
      <c r="H1862" s="232">
        <v>3417</v>
      </c>
      <c r="I1862" s="232">
        <f t="shared" si="455"/>
        <v>1.3205009541984734</v>
      </c>
      <c r="J1862" s="863">
        <f t="shared" si="456"/>
        <v>2.9405009541984732</v>
      </c>
      <c r="K1862" s="864">
        <v>1.4</v>
      </c>
      <c r="L1862" s="232">
        <f t="shared" si="457"/>
        <v>4.1167013358778624</v>
      </c>
      <c r="M1862" s="232">
        <v>5</v>
      </c>
      <c r="P1862" s="178" t="s">
        <v>2223</v>
      </c>
      <c r="Q1862" s="229">
        <v>45377</v>
      </c>
      <c r="R1862" s="914">
        <f t="shared" si="459"/>
        <v>100000</v>
      </c>
    </row>
    <row r="1863" spans="1:18" s="178" customFormat="1" hidden="1" x14ac:dyDescent="0.25">
      <c r="A1863" s="225"/>
      <c r="B1863" s="319"/>
      <c r="D1863" s="656">
        <v>5</v>
      </c>
      <c r="E1863" s="708" t="s">
        <v>2155</v>
      </c>
      <c r="F1863" s="232">
        <v>1.62</v>
      </c>
      <c r="G1863" s="213">
        <v>4192</v>
      </c>
      <c r="H1863" s="232">
        <v>3417</v>
      </c>
      <c r="I1863" s="232">
        <f t="shared" si="455"/>
        <v>1.3205009541984734</v>
      </c>
      <c r="J1863" s="863">
        <f t="shared" si="456"/>
        <v>2.9405009541984732</v>
      </c>
      <c r="K1863" s="864">
        <v>1.4</v>
      </c>
      <c r="L1863" s="232">
        <f t="shared" si="457"/>
        <v>4.1167013358778624</v>
      </c>
      <c r="M1863" s="232">
        <v>5</v>
      </c>
      <c r="P1863" s="178" t="s">
        <v>2223</v>
      </c>
      <c r="Q1863" s="229">
        <v>45377</v>
      </c>
      <c r="R1863" s="914">
        <f t="shared" si="459"/>
        <v>100000</v>
      </c>
    </row>
    <row r="1864" spans="1:18" s="178" customFormat="1" hidden="1" x14ac:dyDescent="0.25">
      <c r="A1864" s="225"/>
      <c r="B1864" s="319"/>
      <c r="D1864" s="656">
        <v>5</v>
      </c>
      <c r="E1864" s="708" t="s">
        <v>2155</v>
      </c>
      <c r="F1864" s="232">
        <v>1.62</v>
      </c>
      <c r="G1864" s="213">
        <v>4192</v>
      </c>
      <c r="H1864" s="232">
        <v>3417</v>
      </c>
      <c r="I1864" s="232">
        <f t="shared" si="455"/>
        <v>1.3205009541984734</v>
      </c>
      <c r="J1864" s="863">
        <f t="shared" si="456"/>
        <v>2.9405009541984732</v>
      </c>
      <c r="K1864" s="864">
        <v>1.4</v>
      </c>
      <c r="L1864" s="232">
        <f t="shared" si="457"/>
        <v>4.1167013358778624</v>
      </c>
      <c r="M1864" s="232">
        <v>5</v>
      </c>
      <c r="P1864" s="178" t="s">
        <v>2184</v>
      </c>
      <c r="Q1864" s="229">
        <v>45391</v>
      </c>
      <c r="R1864" s="914">
        <f>+M1864*36000</f>
        <v>180000</v>
      </c>
    </row>
    <row r="1865" spans="1:18" s="178" customFormat="1" hidden="1" x14ac:dyDescent="0.25">
      <c r="A1865" s="225"/>
      <c r="B1865" s="319"/>
      <c r="D1865" s="656">
        <v>5</v>
      </c>
      <c r="E1865" s="708" t="s">
        <v>2155</v>
      </c>
      <c r="F1865" s="232">
        <v>1.62</v>
      </c>
      <c r="G1865" s="213">
        <v>4192</v>
      </c>
      <c r="H1865" s="232">
        <v>3417</v>
      </c>
      <c r="I1865" s="232">
        <f t="shared" si="455"/>
        <v>1.3205009541984734</v>
      </c>
      <c r="J1865" s="863">
        <f t="shared" si="456"/>
        <v>2.9405009541984732</v>
      </c>
      <c r="K1865" s="864">
        <v>1.4</v>
      </c>
      <c r="L1865" s="232">
        <f t="shared" si="457"/>
        <v>4.1167013358778624</v>
      </c>
      <c r="M1865" s="232">
        <v>5</v>
      </c>
      <c r="P1865" s="178" t="s">
        <v>2184</v>
      </c>
      <c r="Q1865" s="229">
        <v>45391</v>
      </c>
      <c r="R1865" s="914">
        <f t="shared" ref="R1865:R1866" si="460">+M1865*36000</f>
        <v>180000</v>
      </c>
    </row>
    <row r="1866" spans="1:18" s="178" customFormat="1" hidden="1" x14ac:dyDescent="0.25">
      <c r="A1866" s="225"/>
      <c r="B1866" s="319"/>
      <c r="D1866" s="656">
        <v>5</v>
      </c>
      <c r="E1866" s="708" t="s">
        <v>2155</v>
      </c>
      <c r="F1866" s="232">
        <v>1.62</v>
      </c>
      <c r="G1866" s="213">
        <v>4192</v>
      </c>
      <c r="H1866" s="232">
        <v>3417</v>
      </c>
      <c r="I1866" s="232">
        <f t="shared" si="455"/>
        <v>1.3205009541984734</v>
      </c>
      <c r="J1866" s="863">
        <f t="shared" si="456"/>
        <v>2.9405009541984732</v>
      </c>
      <c r="K1866" s="864">
        <v>1.4</v>
      </c>
      <c r="L1866" s="232">
        <f t="shared" si="457"/>
        <v>4.1167013358778624</v>
      </c>
      <c r="M1866" s="232">
        <v>5</v>
      </c>
      <c r="P1866" s="178" t="s">
        <v>2184</v>
      </c>
      <c r="Q1866" s="229">
        <v>45391</v>
      </c>
      <c r="R1866" s="914">
        <f t="shared" si="460"/>
        <v>180000</v>
      </c>
    </row>
    <row r="1867" spans="1:18" s="178" customFormat="1" hidden="1" x14ac:dyDescent="0.25">
      <c r="A1867" s="225"/>
      <c r="B1867" s="319"/>
      <c r="D1867" s="656">
        <v>5</v>
      </c>
      <c r="E1867" s="708" t="s">
        <v>2155</v>
      </c>
      <c r="F1867" s="232">
        <v>1.62</v>
      </c>
      <c r="G1867" s="213">
        <v>4192</v>
      </c>
      <c r="H1867" s="232">
        <v>3417</v>
      </c>
      <c r="I1867" s="232">
        <f t="shared" si="455"/>
        <v>1.3205009541984734</v>
      </c>
      <c r="J1867" s="863">
        <f t="shared" si="456"/>
        <v>2.9405009541984732</v>
      </c>
      <c r="K1867" s="864">
        <v>1.4</v>
      </c>
      <c r="L1867" s="232">
        <f t="shared" si="457"/>
        <v>4.1167013358778624</v>
      </c>
      <c r="M1867" s="232">
        <v>5</v>
      </c>
      <c r="P1867" s="178" t="s">
        <v>2069</v>
      </c>
      <c r="Q1867" s="229">
        <v>45404</v>
      </c>
      <c r="R1867" s="914">
        <f>+M1867*36000</f>
        <v>180000</v>
      </c>
    </row>
    <row r="1868" spans="1:18" s="178" customFormat="1" hidden="1" x14ac:dyDescent="0.25">
      <c r="A1868" s="225"/>
      <c r="B1868" s="319"/>
      <c r="D1868" s="656">
        <v>5</v>
      </c>
      <c r="E1868" s="708" t="s">
        <v>2155</v>
      </c>
      <c r="F1868" s="232">
        <v>1.62</v>
      </c>
      <c r="G1868" s="213">
        <v>4192</v>
      </c>
      <c r="H1868" s="232">
        <v>3417</v>
      </c>
      <c r="I1868" s="232">
        <f t="shared" si="455"/>
        <v>1.3205009541984734</v>
      </c>
      <c r="J1868" s="863">
        <f t="shared" si="456"/>
        <v>2.9405009541984732</v>
      </c>
      <c r="K1868" s="864">
        <v>1.4</v>
      </c>
      <c r="L1868" s="232">
        <f t="shared" si="457"/>
        <v>4.1167013358778624</v>
      </c>
      <c r="M1868" s="232">
        <v>5</v>
      </c>
      <c r="P1868" s="178" t="s">
        <v>2069</v>
      </c>
      <c r="Q1868" s="229">
        <v>45404</v>
      </c>
      <c r="R1868" s="914">
        <f t="shared" ref="R1868:R1869" si="461">+M1868*36000</f>
        <v>180000</v>
      </c>
    </row>
    <row r="1869" spans="1:18" s="178" customFormat="1" hidden="1" x14ac:dyDescent="0.25">
      <c r="A1869" s="225"/>
      <c r="B1869" s="319"/>
      <c r="D1869" s="656">
        <v>5</v>
      </c>
      <c r="E1869" s="708" t="s">
        <v>2155</v>
      </c>
      <c r="F1869" s="232">
        <v>1.62</v>
      </c>
      <c r="G1869" s="213">
        <v>4192</v>
      </c>
      <c r="H1869" s="232">
        <v>3417</v>
      </c>
      <c r="I1869" s="232">
        <f t="shared" si="455"/>
        <v>1.3205009541984734</v>
      </c>
      <c r="J1869" s="863">
        <f t="shared" si="456"/>
        <v>2.9405009541984732</v>
      </c>
      <c r="K1869" s="864">
        <v>1.4</v>
      </c>
      <c r="L1869" s="232">
        <f t="shared" si="457"/>
        <v>4.1167013358778624</v>
      </c>
      <c r="M1869" s="232">
        <v>5</v>
      </c>
      <c r="P1869" s="178" t="s">
        <v>2069</v>
      </c>
      <c r="Q1869" s="229">
        <v>45404</v>
      </c>
      <c r="R1869" s="914">
        <f t="shared" si="461"/>
        <v>180000</v>
      </c>
    </row>
    <row r="1870" spans="1:18" s="178" customFormat="1" x14ac:dyDescent="0.25">
      <c r="A1870" s="225"/>
      <c r="B1870" s="319"/>
      <c r="D1870" s="656">
        <v>5</v>
      </c>
      <c r="E1870" s="708" t="s">
        <v>2155</v>
      </c>
      <c r="F1870" s="232">
        <v>1.62</v>
      </c>
      <c r="G1870" s="213">
        <v>4192</v>
      </c>
      <c r="H1870" s="232">
        <v>3417</v>
      </c>
      <c r="I1870" s="232">
        <f t="shared" si="455"/>
        <v>1.3205009541984734</v>
      </c>
      <c r="J1870" s="863">
        <f t="shared" si="456"/>
        <v>2.9405009541984732</v>
      </c>
      <c r="K1870" s="864">
        <v>1.4</v>
      </c>
      <c r="L1870" s="232">
        <f t="shared" si="457"/>
        <v>4.1167013358778624</v>
      </c>
      <c r="M1870" s="232">
        <v>5</v>
      </c>
      <c r="P1870" s="178" t="s">
        <v>12</v>
      </c>
      <c r="Q1870" s="229">
        <v>45436</v>
      </c>
      <c r="R1870" s="914">
        <f>+M1870*14.5</f>
        <v>72.5</v>
      </c>
    </row>
    <row r="1871" spans="1:18" s="178" customFormat="1" x14ac:dyDescent="0.25">
      <c r="A1871" s="225"/>
      <c r="B1871" s="319"/>
      <c r="D1871" s="656">
        <v>5</v>
      </c>
      <c r="E1871" s="628" t="s">
        <v>2155</v>
      </c>
      <c r="F1871" s="226">
        <v>1.62</v>
      </c>
      <c r="G1871" s="178">
        <v>4192</v>
      </c>
      <c r="H1871" s="226">
        <v>3417</v>
      </c>
      <c r="I1871" s="226">
        <f t="shared" si="455"/>
        <v>1.3205009541984734</v>
      </c>
      <c r="J1871" s="820">
        <f t="shared" si="456"/>
        <v>2.9405009541984732</v>
      </c>
      <c r="K1871" s="228">
        <v>1.4</v>
      </c>
      <c r="L1871" s="226">
        <f t="shared" si="457"/>
        <v>4.1167013358778624</v>
      </c>
      <c r="M1871" s="226">
        <v>5</v>
      </c>
      <c r="R1871" s="914"/>
    </row>
    <row r="1872" spans="1:18" s="178" customFormat="1" hidden="1" x14ac:dyDescent="0.25">
      <c r="A1872" s="225"/>
      <c r="B1872" s="319"/>
      <c r="D1872" s="656">
        <v>6</v>
      </c>
      <c r="E1872" s="708" t="s">
        <v>2154</v>
      </c>
      <c r="F1872" s="232">
        <v>1.62</v>
      </c>
      <c r="G1872" s="213">
        <v>4192</v>
      </c>
      <c r="H1872" s="232">
        <v>3417</v>
      </c>
      <c r="I1872" s="232">
        <f t="shared" si="455"/>
        <v>1.3205009541984734</v>
      </c>
      <c r="J1872" s="863">
        <f t="shared" si="456"/>
        <v>2.9405009541984732</v>
      </c>
      <c r="K1872" s="864">
        <v>1.4</v>
      </c>
      <c r="L1872" s="232">
        <f t="shared" si="457"/>
        <v>4.1167013358778624</v>
      </c>
      <c r="M1872" s="232">
        <v>5</v>
      </c>
      <c r="P1872" s="178" t="s">
        <v>2172</v>
      </c>
      <c r="Q1872" s="229">
        <v>45464</v>
      </c>
      <c r="R1872" s="914">
        <f>+M1872*14</f>
        <v>70</v>
      </c>
    </row>
    <row r="1873" spans="1:18" s="178" customFormat="1" hidden="1" x14ac:dyDescent="0.25">
      <c r="A1873" s="225"/>
      <c r="B1873" s="319"/>
      <c r="D1873" s="656">
        <v>6</v>
      </c>
      <c r="E1873" s="708" t="s">
        <v>2154</v>
      </c>
      <c r="F1873" s="232">
        <v>1.62</v>
      </c>
      <c r="G1873" s="213">
        <v>4192</v>
      </c>
      <c r="H1873" s="232">
        <v>3417</v>
      </c>
      <c r="I1873" s="232">
        <f t="shared" si="455"/>
        <v>1.3205009541984734</v>
      </c>
      <c r="J1873" s="863">
        <f t="shared" si="456"/>
        <v>2.9405009541984732</v>
      </c>
      <c r="K1873" s="864">
        <v>1.4</v>
      </c>
      <c r="L1873" s="232">
        <f t="shared" si="457"/>
        <v>4.1167013358778624</v>
      </c>
      <c r="M1873" s="232">
        <v>5</v>
      </c>
      <c r="P1873" s="178" t="s">
        <v>2172</v>
      </c>
      <c r="Q1873" s="229">
        <v>45499</v>
      </c>
      <c r="R1873" s="914"/>
    </row>
    <row r="1874" spans="1:18" s="178" customFormat="1" hidden="1" x14ac:dyDescent="0.25">
      <c r="A1874" s="225"/>
      <c r="B1874" s="319"/>
      <c r="D1874" s="656">
        <v>6</v>
      </c>
      <c r="E1874" s="708" t="s">
        <v>2154</v>
      </c>
      <c r="F1874" s="232">
        <v>1.62</v>
      </c>
      <c r="G1874" s="213">
        <v>4192</v>
      </c>
      <c r="H1874" s="232">
        <v>3417</v>
      </c>
      <c r="I1874" s="232">
        <f t="shared" si="455"/>
        <v>1.3205009541984734</v>
      </c>
      <c r="J1874" s="863">
        <f t="shared" si="456"/>
        <v>2.9405009541984732</v>
      </c>
      <c r="K1874" s="864">
        <v>1.4</v>
      </c>
      <c r="L1874" s="232">
        <f t="shared" si="457"/>
        <v>4.1167013358778624</v>
      </c>
      <c r="M1874" s="232">
        <v>5</v>
      </c>
      <c r="P1874" s="178" t="s">
        <v>2172</v>
      </c>
      <c r="Q1874" s="229">
        <v>45499</v>
      </c>
      <c r="R1874" s="914"/>
    </row>
    <row r="1875" spans="1:18" s="178" customFormat="1" hidden="1" x14ac:dyDescent="0.25">
      <c r="A1875" s="225"/>
      <c r="B1875" s="319"/>
      <c r="D1875" s="656">
        <v>6</v>
      </c>
      <c r="E1875" s="708" t="s">
        <v>2154</v>
      </c>
      <c r="F1875" s="232">
        <v>1.62</v>
      </c>
      <c r="G1875" s="213">
        <v>4192</v>
      </c>
      <c r="H1875" s="232">
        <v>3417</v>
      </c>
      <c r="I1875" s="232">
        <f t="shared" si="455"/>
        <v>1.3205009541984734</v>
      </c>
      <c r="J1875" s="863">
        <f t="shared" si="456"/>
        <v>2.9405009541984732</v>
      </c>
      <c r="K1875" s="864">
        <v>1.4</v>
      </c>
      <c r="L1875" s="232">
        <f t="shared" si="457"/>
        <v>4.1167013358778624</v>
      </c>
      <c r="M1875" s="232">
        <v>5</v>
      </c>
      <c r="P1875" s="178" t="s">
        <v>2172</v>
      </c>
      <c r="Q1875" s="229">
        <v>45499</v>
      </c>
      <c r="R1875" s="914"/>
    </row>
    <row r="1876" spans="1:18" s="178" customFormat="1" hidden="1" x14ac:dyDescent="0.25">
      <c r="A1876" s="225"/>
      <c r="B1876" s="319"/>
      <c r="D1876" s="656">
        <v>6</v>
      </c>
      <c r="E1876" s="708" t="s">
        <v>2154</v>
      </c>
      <c r="F1876" s="232">
        <v>1.62</v>
      </c>
      <c r="G1876" s="213">
        <v>4192</v>
      </c>
      <c r="H1876" s="232">
        <v>3417</v>
      </c>
      <c r="I1876" s="232">
        <f t="shared" si="455"/>
        <v>1.3205009541984734</v>
      </c>
      <c r="J1876" s="863">
        <f t="shared" si="456"/>
        <v>2.9405009541984732</v>
      </c>
      <c r="K1876" s="864">
        <v>1.4</v>
      </c>
      <c r="L1876" s="232">
        <f t="shared" si="457"/>
        <v>4.1167013358778624</v>
      </c>
      <c r="M1876" s="232">
        <v>5</v>
      </c>
      <c r="P1876" s="178" t="s">
        <v>2172</v>
      </c>
      <c r="Q1876" s="229">
        <v>45499</v>
      </c>
      <c r="R1876" s="914"/>
    </row>
    <row r="1877" spans="1:18" s="178" customFormat="1" hidden="1" x14ac:dyDescent="0.25">
      <c r="A1877" s="225"/>
      <c r="B1877" s="319"/>
      <c r="D1877" s="656">
        <v>6</v>
      </c>
      <c r="E1877" s="708" t="s">
        <v>2154</v>
      </c>
      <c r="F1877" s="232">
        <v>1.62</v>
      </c>
      <c r="G1877" s="213">
        <v>4192</v>
      </c>
      <c r="H1877" s="232">
        <v>3417</v>
      </c>
      <c r="I1877" s="232">
        <f t="shared" si="455"/>
        <v>1.3205009541984734</v>
      </c>
      <c r="J1877" s="863">
        <f t="shared" si="456"/>
        <v>2.9405009541984732</v>
      </c>
      <c r="K1877" s="864">
        <v>1.4</v>
      </c>
      <c r="L1877" s="232">
        <f t="shared" si="457"/>
        <v>4.1167013358778624</v>
      </c>
      <c r="M1877" s="232">
        <v>5</v>
      </c>
      <c r="P1877" s="178" t="s">
        <v>2172</v>
      </c>
      <c r="Q1877" s="229">
        <v>45499</v>
      </c>
      <c r="R1877" s="914"/>
    </row>
    <row r="1878" spans="1:18" s="178" customFormat="1" hidden="1" x14ac:dyDescent="0.25">
      <c r="A1878" s="225"/>
      <c r="B1878" s="319"/>
      <c r="D1878" s="656">
        <v>6</v>
      </c>
      <c r="E1878" s="708" t="s">
        <v>2154</v>
      </c>
      <c r="F1878" s="232">
        <v>1.62</v>
      </c>
      <c r="G1878" s="213">
        <v>4192</v>
      </c>
      <c r="H1878" s="232">
        <v>3417</v>
      </c>
      <c r="I1878" s="232">
        <f t="shared" si="455"/>
        <v>1.3205009541984734</v>
      </c>
      <c r="J1878" s="863">
        <f t="shared" si="456"/>
        <v>2.9405009541984732</v>
      </c>
      <c r="K1878" s="864">
        <v>1.4</v>
      </c>
      <c r="L1878" s="232">
        <f t="shared" si="457"/>
        <v>4.1167013358778624</v>
      </c>
      <c r="M1878" s="232">
        <v>5</v>
      </c>
      <c r="P1878" s="178" t="s">
        <v>2172</v>
      </c>
      <c r="Q1878" s="229">
        <v>45499</v>
      </c>
      <c r="R1878" s="914"/>
    </row>
    <row r="1879" spans="1:18" s="178" customFormat="1" hidden="1" x14ac:dyDescent="0.25">
      <c r="A1879" s="225"/>
      <c r="B1879" s="319"/>
      <c r="D1879" s="656">
        <v>6</v>
      </c>
      <c r="E1879" s="708" t="s">
        <v>2154</v>
      </c>
      <c r="F1879" s="232">
        <v>1.62</v>
      </c>
      <c r="G1879" s="213">
        <v>4192</v>
      </c>
      <c r="H1879" s="232">
        <v>3417</v>
      </c>
      <c r="I1879" s="232">
        <f t="shared" si="455"/>
        <v>1.3205009541984734</v>
      </c>
      <c r="J1879" s="863">
        <f t="shared" si="456"/>
        <v>2.9405009541984732</v>
      </c>
      <c r="K1879" s="864">
        <v>1.4</v>
      </c>
      <c r="L1879" s="232">
        <f t="shared" si="457"/>
        <v>4.1167013358778624</v>
      </c>
      <c r="M1879" s="232">
        <v>5</v>
      </c>
      <c r="P1879" s="178" t="s">
        <v>2172</v>
      </c>
      <c r="Q1879" s="229">
        <v>45499</v>
      </c>
      <c r="R1879" s="914"/>
    </row>
    <row r="1880" spans="1:18" s="178" customFormat="1" x14ac:dyDescent="0.25">
      <c r="A1880" s="225"/>
      <c r="B1880" s="319"/>
      <c r="D1880" s="656">
        <v>6</v>
      </c>
      <c r="E1880" s="708" t="s">
        <v>2154</v>
      </c>
      <c r="F1880" s="232">
        <v>1.62</v>
      </c>
      <c r="G1880" s="213">
        <v>4192</v>
      </c>
      <c r="H1880" s="232">
        <v>3417</v>
      </c>
      <c r="I1880" s="232">
        <f t="shared" si="455"/>
        <v>1.3205009541984734</v>
      </c>
      <c r="J1880" s="863">
        <f t="shared" si="456"/>
        <v>2.9405009541984732</v>
      </c>
      <c r="K1880" s="864">
        <v>1.4</v>
      </c>
      <c r="L1880" s="232">
        <f t="shared" si="457"/>
        <v>4.1167013358778624</v>
      </c>
      <c r="M1880" s="232">
        <v>5</v>
      </c>
      <c r="P1880" s="178" t="s">
        <v>1818</v>
      </c>
      <c r="Q1880" s="229">
        <v>45486</v>
      </c>
      <c r="R1880" s="914"/>
    </row>
    <row r="1881" spans="1:18" s="178" customFormat="1" x14ac:dyDescent="0.25">
      <c r="A1881" s="225"/>
      <c r="B1881" s="319"/>
      <c r="D1881" s="656">
        <v>6</v>
      </c>
      <c r="E1881" s="628" t="s">
        <v>2154</v>
      </c>
      <c r="F1881" s="226">
        <v>1.62</v>
      </c>
      <c r="G1881" s="178">
        <v>4192</v>
      </c>
      <c r="H1881" s="226">
        <v>3417</v>
      </c>
      <c r="I1881" s="226">
        <f t="shared" si="455"/>
        <v>1.3205009541984734</v>
      </c>
      <c r="J1881" s="820">
        <f t="shared" si="456"/>
        <v>2.9405009541984732</v>
      </c>
      <c r="K1881" s="228">
        <v>1.4</v>
      </c>
      <c r="L1881" s="226">
        <f t="shared" si="457"/>
        <v>4.1167013358778624</v>
      </c>
      <c r="M1881" s="226">
        <v>5</v>
      </c>
      <c r="R1881" s="914"/>
    </row>
    <row r="1882" spans="1:18" s="178" customFormat="1" x14ac:dyDescent="0.25">
      <c r="A1882" s="225"/>
      <c r="B1882" s="319"/>
      <c r="D1882" s="656">
        <v>6</v>
      </c>
      <c r="E1882" s="628" t="s">
        <v>2154</v>
      </c>
      <c r="F1882" s="226">
        <v>1.62</v>
      </c>
      <c r="G1882" s="178">
        <v>4192</v>
      </c>
      <c r="H1882" s="226">
        <v>3417</v>
      </c>
      <c r="I1882" s="226">
        <f t="shared" si="455"/>
        <v>1.3205009541984734</v>
      </c>
      <c r="J1882" s="820">
        <f t="shared" si="456"/>
        <v>2.9405009541984732</v>
      </c>
      <c r="K1882" s="228">
        <v>1.4</v>
      </c>
      <c r="L1882" s="226">
        <f t="shared" si="457"/>
        <v>4.1167013358778624</v>
      </c>
      <c r="M1882" s="226">
        <v>5</v>
      </c>
      <c r="R1882" s="914"/>
    </row>
    <row r="1883" spans="1:18" s="178" customFormat="1" x14ac:dyDescent="0.25">
      <c r="A1883" s="225"/>
      <c r="B1883" s="319"/>
      <c r="D1883" s="656">
        <v>6</v>
      </c>
      <c r="E1883" s="628" t="s">
        <v>2154</v>
      </c>
      <c r="F1883" s="226">
        <v>1.62</v>
      </c>
      <c r="G1883" s="178">
        <v>4192</v>
      </c>
      <c r="H1883" s="226">
        <v>3417</v>
      </c>
      <c r="I1883" s="226">
        <f t="shared" si="455"/>
        <v>1.3205009541984734</v>
      </c>
      <c r="J1883" s="820">
        <f t="shared" si="456"/>
        <v>2.9405009541984732</v>
      </c>
      <c r="K1883" s="228">
        <v>1.4</v>
      </c>
      <c r="L1883" s="226">
        <f t="shared" si="457"/>
        <v>4.1167013358778624</v>
      </c>
      <c r="M1883" s="226">
        <v>5</v>
      </c>
      <c r="R1883" s="914"/>
    </row>
    <row r="1884" spans="1:18" s="178" customFormat="1" hidden="1" x14ac:dyDescent="0.25">
      <c r="A1884" s="225"/>
      <c r="B1884" s="319"/>
      <c r="D1884" s="656">
        <v>6</v>
      </c>
      <c r="E1884" s="708" t="s">
        <v>2155</v>
      </c>
      <c r="F1884" s="232">
        <v>1.62</v>
      </c>
      <c r="G1884" s="213">
        <v>4192</v>
      </c>
      <c r="H1884" s="232">
        <v>3417</v>
      </c>
      <c r="I1884" s="232">
        <f t="shared" si="455"/>
        <v>1.3205009541984734</v>
      </c>
      <c r="J1884" s="863">
        <f t="shared" si="456"/>
        <v>2.9405009541984732</v>
      </c>
      <c r="K1884" s="864">
        <v>1.4</v>
      </c>
      <c r="L1884" s="232">
        <f t="shared" si="457"/>
        <v>4.1167013358778624</v>
      </c>
      <c r="M1884" s="232">
        <v>5</v>
      </c>
      <c r="P1884" s="178" t="s">
        <v>12</v>
      </c>
      <c r="Q1884" s="229">
        <v>45437</v>
      </c>
      <c r="R1884" s="914">
        <f>+M1884*20000</f>
        <v>100000</v>
      </c>
    </row>
    <row r="1885" spans="1:18" s="178" customFormat="1" hidden="1" x14ac:dyDescent="0.25">
      <c r="A1885" s="225"/>
      <c r="B1885" s="319"/>
      <c r="D1885" s="656">
        <v>6</v>
      </c>
      <c r="E1885" s="708" t="s">
        <v>2155</v>
      </c>
      <c r="F1885" s="232">
        <v>1.62</v>
      </c>
      <c r="G1885" s="213">
        <v>4192</v>
      </c>
      <c r="H1885" s="232">
        <v>3417</v>
      </c>
      <c r="I1885" s="232">
        <f t="shared" si="455"/>
        <v>1.3205009541984734</v>
      </c>
      <c r="J1885" s="863">
        <f t="shared" si="456"/>
        <v>2.9405009541984732</v>
      </c>
      <c r="K1885" s="864">
        <v>1.4</v>
      </c>
      <c r="L1885" s="232">
        <f t="shared" si="457"/>
        <v>4.1167013358778624</v>
      </c>
      <c r="M1885" s="232">
        <v>5</v>
      </c>
      <c r="P1885" s="178" t="s">
        <v>12</v>
      </c>
      <c r="Q1885" s="229">
        <v>45437</v>
      </c>
      <c r="R1885" s="914">
        <f>+M1885*20000</f>
        <v>100000</v>
      </c>
    </row>
    <row r="1886" spans="1:18" s="178" customFormat="1" hidden="1" x14ac:dyDescent="0.25">
      <c r="A1886" s="225"/>
      <c r="B1886" s="319"/>
      <c r="D1886" s="656">
        <v>6</v>
      </c>
      <c r="E1886" s="708" t="s">
        <v>2155</v>
      </c>
      <c r="F1886" s="232">
        <v>1.62</v>
      </c>
      <c r="G1886" s="213">
        <v>4192</v>
      </c>
      <c r="H1886" s="232">
        <v>3417</v>
      </c>
      <c r="I1886" s="232">
        <f t="shared" si="455"/>
        <v>1.3205009541984734</v>
      </c>
      <c r="J1886" s="863">
        <f t="shared" si="456"/>
        <v>2.9405009541984732</v>
      </c>
      <c r="K1886" s="864">
        <v>1.4</v>
      </c>
      <c r="L1886" s="232">
        <f t="shared" si="457"/>
        <v>4.1167013358778624</v>
      </c>
      <c r="M1886" s="232">
        <v>5</v>
      </c>
      <c r="P1886" s="178" t="s">
        <v>2172</v>
      </c>
      <c r="Q1886" s="229">
        <v>45436</v>
      </c>
      <c r="R1886" s="914">
        <f>+M1886*14.5</f>
        <v>72.5</v>
      </c>
    </row>
    <row r="1887" spans="1:18" s="178" customFormat="1" hidden="1" x14ac:dyDescent="0.25">
      <c r="A1887" s="225"/>
      <c r="B1887" s="319"/>
      <c r="D1887" s="656">
        <v>6</v>
      </c>
      <c r="E1887" s="708" t="s">
        <v>2155</v>
      </c>
      <c r="F1887" s="232">
        <v>1.62</v>
      </c>
      <c r="G1887" s="213">
        <v>4192</v>
      </c>
      <c r="H1887" s="232">
        <v>3417</v>
      </c>
      <c r="I1887" s="232">
        <f t="shared" si="455"/>
        <v>1.3205009541984734</v>
      </c>
      <c r="J1887" s="863">
        <f t="shared" si="456"/>
        <v>2.9405009541984732</v>
      </c>
      <c r="K1887" s="864">
        <v>1.4</v>
      </c>
      <c r="L1887" s="232">
        <f t="shared" si="457"/>
        <v>4.1167013358778624</v>
      </c>
      <c r="M1887" s="232">
        <v>5</v>
      </c>
      <c r="P1887" s="178" t="s">
        <v>2172</v>
      </c>
      <c r="Q1887" s="229">
        <v>45499</v>
      </c>
      <c r="R1887" s="914"/>
    </row>
    <row r="1888" spans="1:18" s="178" customFormat="1" hidden="1" x14ac:dyDescent="0.25">
      <c r="A1888" s="225"/>
      <c r="B1888" s="319"/>
      <c r="D1888" s="656">
        <v>6</v>
      </c>
      <c r="E1888" s="708" t="s">
        <v>2155</v>
      </c>
      <c r="F1888" s="232">
        <v>1.62</v>
      </c>
      <c r="G1888" s="213">
        <v>4192</v>
      </c>
      <c r="H1888" s="232">
        <v>3417</v>
      </c>
      <c r="I1888" s="232">
        <f t="shared" si="455"/>
        <v>1.3205009541984734</v>
      </c>
      <c r="J1888" s="863">
        <f t="shared" si="456"/>
        <v>2.9405009541984732</v>
      </c>
      <c r="K1888" s="864">
        <v>1.4</v>
      </c>
      <c r="L1888" s="232">
        <f t="shared" si="457"/>
        <v>4.1167013358778624</v>
      </c>
      <c r="M1888" s="232">
        <v>5</v>
      </c>
      <c r="P1888" s="178" t="s">
        <v>2172</v>
      </c>
      <c r="Q1888" s="229">
        <v>45499</v>
      </c>
      <c r="R1888" s="914"/>
    </row>
    <row r="1889" spans="1:18" s="178" customFormat="1" hidden="1" x14ac:dyDescent="0.25">
      <c r="A1889" s="225"/>
      <c r="B1889" s="319"/>
      <c r="D1889" s="656">
        <v>6</v>
      </c>
      <c r="E1889" s="708" t="s">
        <v>2155</v>
      </c>
      <c r="F1889" s="232">
        <v>1.62</v>
      </c>
      <c r="G1889" s="213">
        <v>4192</v>
      </c>
      <c r="H1889" s="232">
        <v>3417</v>
      </c>
      <c r="I1889" s="232">
        <f t="shared" si="455"/>
        <v>1.3205009541984734</v>
      </c>
      <c r="J1889" s="863">
        <f t="shared" si="456"/>
        <v>2.9405009541984732</v>
      </c>
      <c r="K1889" s="864">
        <v>1.4</v>
      </c>
      <c r="L1889" s="232">
        <f t="shared" si="457"/>
        <v>4.1167013358778624</v>
      </c>
      <c r="M1889" s="232">
        <v>5</v>
      </c>
      <c r="P1889" s="178" t="s">
        <v>2172</v>
      </c>
      <c r="Q1889" s="229">
        <v>45499</v>
      </c>
      <c r="R1889" s="914"/>
    </row>
    <row r="1890" spans="1:18" s="178" customFormat="1" hidden="1" x14ac:dyDescent="0.25">
      <c r="A1890" s="225"/>
      <c r="B1890" s="319"/>
      <c r="D1890" s="656">
        <v>6</v>
      </c>
      <c r="E1890" s="708" t="s">
        <v>2155</v>
      </c>
      <c r="F1890" s="232">
        <v>1.62</v>
      </c>
      <c r="G1890" s="213">
        <v>4192</v>
      </c>
      <c r="H1890" s="232">
        <v>3417</v>
      </c>
      <c r="I1890" s="232">
        <f t="shared" si="455"/>
        <v>1.3205009541984734</v>
      </c>
      <c r="J1890" s="863">
        <f t="shared" si="456"/>
        <v>2.9405009541984732</v>
      </c>
      <c r="K1890" s="864">
        <v>1.4</v>
      </c>
      <c r="L1890" s="232">
        <f t="shared" si="457"/>
        <v>4.1167013358778624</v>
      </c>
      <c r="M1890" s="232">
        <v>5</v>
      </c>
      <c r="P1890" s="178" t="s">
        <v>2172</v>
      </c>
      <c r="Q1890" s="229">
        <v>45499</v>
      </c>
      <c r="R1890" s="914"/>
    </row>
    <row r="1891" spans="1:18" s="178" customFormat="1" hidden="1" x14ac:dyDescent="0.25">
      <c r="A1891" s="225"/>
      <c r="B1891" s="319"/>
      <c r="D1891" s="656">
        <v>6</v>
      </c>
      <c r="E1891" s="708" t="s">
        <v>2155</v>
      </c>
      <c r="F1891" s="232">
        <v>1.62</v>
      </c>
      <c r="G1891" s="213">
        <v>4192</v>
      </c>
      <c r="H1891" s="232">
        <v>3417</v>
      </c>
      <c r="I1891" s="232">
        <f t="shared" si="455"/>
        <v>1.3205009541984734</v>
      </c>
      <c r="J1891" s="863">
        <f t="shared" si="456"/>
        <v>2.9405009541984732</v>
      </c>
      <c r="K1891" s="864">
        <v>1.4</v>
      </c>
      <c r="L1891" s="232">
        <f t="shared" si="457"/>
        <v>4.1167013358778624</v>
      </c>
      <c r="M1891" s="232">
        <v>5</v>
      </c>
      <c r="P1891" s="178" t="s">
        <v>2172</v>
      </c>
      <c r="Q1891" s="229">
        <v>45499</v>
      </c>
      <c r="R1891" s="914"/>
    </row>
    <row r="1892" spans="1:18" s="178" customFormat="1" hidden="1" x14ac:dyDescent="0.25">
      <c r="A1892" s="225"/>
      <c r="B1892" s="319"/>
      <c r="D1892" s="656">
        <v>6</v>
      </c>
      <c r="E1892" s="708" t="s">
        <v>2155</v>
      </c>
      <c r="F1892" s="232">
        <v>1.62</v>
      </c>
      <c r="G1892" s="213">
        <v>4192</v>
      </c>
      <c r="H1892" s="232">
        <v>3417</v>
      </c>
      <c r="I1892" s="232">
        <f t="shared" si="455"/>
        <v>1.3205009541984734</v>
      </c>
      <c r="J1892" s="863">
        <f t="shared" si="456"/>
        <v>2.9405009541984732</v>
      </c>
      <c r="K1892" s="864">
        <v>1.4</v>
      </c>
      <c r="L1892" s="232">
        <f t="shared" si="457"/>
        <v>4.1167013358778624</v>
      </c>
      <c r="M1892" s="232">
        <v>5</v>
      </c>
      <c r="P1892" s="178" t="s">
        <v>2172</v>
      </c>
      <c r="Q1892" s="229">
        <v>45499</v>
      </c>
      <c r="R1892" s="914"/>
    </row>
    <row r="1893" spans="1:18" s="178" customFormat="1" x14ac:dyDescent="0.25">
      <c r="A1893" s="225"/>
      <c r="B1893" s="319"/>
      <c r="D1893" s="656">
        <v>6</v>
      </c>
      <c r="E1893" s="628" t="s">
        <v>2155</v>
      </c>
      <c r="F1893" s="226">
        <v>1.62</v>
      </c>
      <c r="G1893" s="178">
        <v>4192</v>
      </c>
      <c r="H1893" s="226">
        <v>3417</v>
      </c>
      <c r="I1893" s="226">
        <f t="shared" si="455"/>
        <v>1.3205009541984734</v>
      </c>
      <c r="J1893" s="820">
        <f t="shared" si="456"/>
        <v>2.9405009541984732</v>
      </c>
      <c r="K1893" s="228">
        <v>1.4</v>
      </c>
      <c r="L1893" s="226">
        <f t="shared" si="457"/>
        <v>4.1167013358778624</v>
      </c>
      <c r="M1893" s="226">
        <v>5</v>
      </c>
      <c r="R1893" s="914"/>
    </row>
    <row r="1894" spans="1:18" s="178" customFormat="1" x14ac:dyDescent="0.25">
      <c r="A1894" s="225"/>
      <c r="B1894" s="319"/>
      <c r="D1894" s="656">
        <v>6</v>
      </c>
      <c r="E1894" s="628" t="s">
        <v>2155</v>
      </c>
      <c r="F1894" s="226">
        <v>1.62</v>
      </c>
      <c r="G1894" s="178">
        <v>4192</v>
      </c>
      <c r="H1894" s="226">
        <v>3417</v>
      </c>
      <c r="I1894" s="226">
        <f t="shared" si="455"/>
        <v>1.3205009541984734</v>
      </c>
      <c r="J1894" s="820">
        <f t="shared" si="456"/>
        <v>2.9405009541984732</v>
      </c>
      <c r="K1894" s="228">
        <v>1.4</v>
      </c>
      <c r="L1894" s="226">
        <f t="shared" si="457"/>
        <v>4.1167013358778624</v>
      </c>
      <c r="M1894" s="226">
        <v>5</v>
      </c>
      <c r="R1894" s="914"/>
    </row>
    <row r="1895" spans="1:18" s="178" customFormat="1" x14ac:dyDescent="0.25">
      <c r="A1895" s="225"/>
      <c r="B1895" s="319"/>
      <c r="D1895" s="656">
        <v>6</v>
      </c>
      <c r="E1895" s="628" t="s">
        <v>2155</v>
      </c>
      <c r="F1895" s="226">
        <v>1.62</v>
      </c>
      <c r="G1895" s="178">
        <v>4192</v>
      </c>
      <c r="H1895" s="226">
        <v>3417</v>
      </c>
      <c r="I1895" s="226">
        <f t="shared" si="455"/>
        <v>1.3205009541984734</v>
      </c>
      <c r="J1895" s="820">
        <f t="shared" si="456"/>
        <v>2.9405009541984732</v>
      </c>
      <c r="K1895" s="228">
        <v>1.4</v>
      </c>
      <c r="L1895" s="226">
        <f t="shared" si="457"/>
        <v>4.1167013358778624</v>
      </c>
      <c r="M1895" s="226">
        <v>5</v>
      </c>
      <c r="R1895" s="914"/>
    </row>
    <row r="1896" spans="1:18" s="178" customFormat="1" hidden="1" x14ac:dyDescent="0.25">
      <c r="A1896" s="225"/>
      <c r="B1896" s="319"/>
      <c r="D1896" s="656">
        <v>8</v>
      </c>
      <c r="E1896" s="708" t="s">
        <v>2154</v>
      </c>
      <c r="F1896" s="232">
        <v>2.16</v>
      </c>
      <c r="G1896" s="213">
        <v>4192</v>
      </c>
      <c r="H1896" s="232">
        <v>3417</v>
      </c>
      <c r="I1896" s="232">
        <f t="shared" si="455"/>
        <v>1.7606679389312978</v>
      </c>
      <c r="J1896" s="863">
        <f t="shared" si="456"/>
        <v>3.9206679389312979</v>
      </c>
      <c r="K1896" s="864">
        <v>1.4</v>
      </c>
      <c r="L1896" s="232">
        <f t="shared" si="457"/>
        <v>5.4889351145038168</v>
      </c>
      <c r="M1896" s="232">
        <v>6</v>
      </c>
      <c r="P1896" s="178" t="s">
        <v>12</v>
      </c>
      <c r="Q1896" s="229">
        <v>45410</v>
      </c>
      <c r="R1896" s="914">
        <f>+M1896*30000</f>
        <v>180000</v>
      </c>
    </row>
    <row r="1897" spans="1:18" s="178" customFormat="1" hidden="1" x14ac:dyDescent="0.25">
      <c r="A1897" s="225"/>
      <c r="B1897" s="319"/>
      <c r="D1897" s="656">
        <v>8</v>
      </c>
      <c r="E1897" s="708" t="s">
        <v>2154</v>
      </c>
      <c r="F1897" s="232">
        <v>2.16</v>
      </c>
      <c r="G1897" s="213">
        <v>4192</v>
      </c>
      <c r="H1897" s="232">
        <v>3417</v>
      </c>
      <c r="I1897" s="232">
        <f t="shared" si="455"/>
        <v>1.7606679389312978</v>
      </c>
      <c r="J1897" s="863">
        <f t="shared" si="456"/>
        <v>3.9206679389312979</v>
      </c>
      <c r="K1897" s="864">
        <v>1.4</v>
      </c>
      <c r="L1897" s="232">
        <f t="shared" si="457"/>
        <v>5.4889351145038168</v>
      </c>
      <c r="M1897" s="232">
        <v>6</v>
      </c>
      <c r="Q1897" s="229">
        <v>45410</v>
      </c>
      <c r="R1897" s="914">
        <f t="shared" ref="R1897:R1898" si="462">+M1897*30000</f>
        <v>180000</v>
      </c>
    </row>
    <row r="1898" spans="1:18" s="178" customFormat="1" hidden="1" x14ac:dyDescent="0.25">
      <c r="A1898" s="225"/>
      <c r="B1898" s="319"/>
      <c r="D1898" s="656">
        <v>8</v>
      </c>
      <c r="E1898" s="708" t="s">
        <v>2154</v>
      </c>
      <c r="F1898" s="232">
        <v>2.16</v>
      </c>
      <c r="G1898" s="213">
        <v>4192</v>
      </c>
      <c r="H1898" s="232">
        <v>3417</v>
      </c>
      <c r="I1898" s="232">
        <f t="shared" si="455"/>
        <v>1.7606679389312978</v>
      </c>
      <c r="J1898" s="863">
        <f t="shared" si="456"/>
        <v>3.9206679389312979</v>
      </c>
      <c r="K1898" s="864">
        <v>1.4</v>
      </c>
      <c r="L1898" s="232">
        <f t="shared" si="457"/>
        <v>5.4889351145038168</v>
      </c>
      <c r="M1898" s="232">
        <v>6</v>
      </c>
      <c r="Q1898" s="229">
        <v>45410</v>
      </c>
      <c r="R1898" s="914">
        <f t="shared" si="462"/>
        <v>180000</v>
      </c>
    </row>
    <row r="1899" spans="1:18" s="178" customFormat="1" x14ac:dyDescent="0.25">
      <c r="A1899" s="225"/>
      <c r="B1899" s="319"/>
      <c r="D1899" s="656">
        <v>8</v>
      </c>
      <c r="E1899" s="708" t="s">
        <v>2154</v>
      </c>
      <c r="F1899" s="232">
        <v>2.16</v>
      </c>
      <c r="G1899" s="213">
        <v>4192</v>
      </c>
      <c r="H1899" s="232">
        <v>3417</v>
      </c>
      <c r="I1899" s="232">
        <f t="shared" si="455"/>
        <v>1.7606679389312978</v>
      </c>
      <c r="J1899" s="863">
        <f t="shared" si="456"/>
        <v>3.9206679389312979</v>
      </c>
      <c r="K1899" s="864">
        <v>1.4</v>
      </c>
      <c r="L1899" s="232">
        <f t="shared" si="457"/>
        <v>5.4889351145038168</v>
      </c>
      <c r="M1899" s="232">
        <v>6</v>
      </c>
      <c r="P1899" s="178" t="s">
        <v>12</v>
      </c>
      <c r="Q1899" s="229">
        <v>45465</v>
      </c>
      <c r="R1899" s="914"/>
    </row>
    <row r="1900" spans="1:18" s="178" customFormat="1" x14ac:dyDescent="0.25">
      <c r="A1900" s="225"/>
      <c r="B1900" s="319"/>
      <c r="D1900" s="656">
        <v>8</v>
      </c>
      <c r="E1900" s="628" t="s">
        <v>2154</v>
      </c>
      <c r="F1900" s="226">
        <v>2.16</v>
      </c>
      <c r="G1900" s="178">
        <v>4192</v>
      </c>
      <c r="H1900" s="226">
        <v>3417</v>
      </c>
      <c r="I1900" s="226">
        <f t="shared" ref="I1900:I1943" si="463">+H1900/G1900*F1900</f>
        <v>1.7606679389312978</v>
      </c>
      <c r="J1900" s="820">
        <f t="shared" ref="J1900:J1943" si="464">+F1900+I1900</f>
        <v>3.9206679389312979</v>
      </c>
      <c r="K1900" s="228">
        <v>1.4</v>
      </c>
      <c r="L1900" s="226">
        <f t="shared" ref="L1900:L1943" si="465">+J1900*K1900</f>
        <v>5.4889351145038168</v>
      </c>
      <c r="M1900" s="226">
        <v>6</v>
      </c>
      <c r="R1900" s="914"/>
    </row>
    <row r="1901" spans="1:18" s="178" customFormat="1" x14ac:dyDescent="0.25">
      <c r="A1901" s="225"/>
      <c r="B1901" s="319"/>
      <c r="D1901" s="656">
        <v>8</v>
      </c>
      <c r="E1901" s="628" t="s">
        <v>2154</v>
      </c>
      <c r="F1901" s="226">
        <v>2.16</v>
      </c>
      <c r="G1901" s="178">
        <v>4192</v>
      </c>
      <c r="H1901" s="226">
        <v>3417</v>
      </c>
      <c r="I1901" s="226">
        <f t="shared" si="463"/>
        <v>1.7606679389312978</v>
      </c>
      <c r="J1901" s="820">
        <f t="shared" si="464"/>
        <v>3.9206679389312979</v>
      </c>
      <c r="K1901" s="228">
        <v>1.4</v>
      </c>
      <c r="L1901" s="226">
        <f t="shared" si="465"/>
        <v>5.4889351145038168</v>
      </c>
      <c r="M1901" s="226">
        <v>6</v>
      </c>
      <c r="R1901" s="914"/>
    </row>
    <row r="1902" spans="1:18" s="178" customFormat="1" x14ac:dyDescent="0.25">
      <c r="A1902" s="225"/>
      <c r="B1902" s="319"/>
      <c r="D1902" s="656">
        <v>8</v>
      </c>
      <c r="E1902" s="628" t="s">
        <v>2154</v>
      </c>
      <c r="F1902" s="226">
        <v>2.16</v>
      </c>
      <c r="G1902" s="178">
        <v>4192</v>
      </c>
      <c r="H1902" s="226">
        <v>3417</v>
      </c>
      <c r="I1902" s="226">
        <f t="shared" si="463"/>
        <v>1.7606679389312978</v>
      </c>
      <c r="J1902" s="820">
        <f t="shared" si="464"/>
        <v>3.9206679389312979</v>
      </c>
      <c r="K1902" s="228">
        <v>1.4</v>
      </c>
      <c r="L1902" s="226">
        <f t="shared" si="465"/>
        <v>5.4889351145038168</v>
      </c>
      <c r="M1902" s="226">
        <v>6</v>
      </c>
      <c r="R1902" s="914"/>
    </row>
    <row r="1903" spans="1:18" s="178" customFormat="1" x14ac:dyDescent="0.25">
      <c r="A1903" s="225"/>
      <c r="B1903" s="318"/>
      <c r="D1903" s="656">
        <v>8</v>
      </c>
      <c r="E1903" s="628" t="s">
        <v>2154</v>
      </c>
      <c r="F1903" s="226">
        <v>2.16</v>
      </c>
      <c r="G1903" s="178">
        <v>4192</v>
      </c>
      <c r="H1903" s="226">
        <v>3417</v>
      </c>
      <c r="I1903" s="226">
        <f t="shared" si="463"/>
        <v>1.7606679389312978</v>
      </c>
      <c r="J1903" s="820">
        <f t="shared" si="464"/>
        <v>3.9206679389312979</v>
      </c>
      <c r="K1903" s="228">
        <v>1.4</v>
      </c>
      <c r="L1903" s="226">
        <f t="shared" si="465"/>
        <v>5.4889351145038168</v>
      </c>
      <c r="M1903" s="226">
        <v>6</v>
      </c>
      <c r="R1903" s="914"/>
    </row>
    <row r="1904" spans="1:18" s="178" customFormat="1" x14ac:dyDescent="0.25">
      <c r="A1904" s="225"/>
      <c r="B1904" s="319"/>
      <c r="D1904" s="656">
        <v>8</v>
      </c>
      <c r="E1904" s="628" t="s">
        <v>2154</v>
      </c>
      <c r="F1904" s="226">
        <v>2.16</v>
      </c>
      <c r="G1904" s="178">
        <v>4192</v>
      </c>
      <c r="H1904" s="226">
        <v>3417</v>
      </c>
      <c r="I1904" s="226">
        <f t="shared" si="463"/>
        <v>1.7606679389312978</v>
      </c>
      <c r="J1904" s="820">
        <f t="shared" si="464"/>
        <v>3.9206679389312979</v>
      </c>
      <c r="K1904" s="228">
        <v>1.4</v>
      </c>
      <c r="L1904" s="226">
        <f t="shared" si="465"/>
        <v>5.4889351145038168</v>
      </c>
      <c r="M1904" s="226">
        <v>6</v>
      </c>
      <c r="R1904" s="914"/>
    </row>
    <row r="1905" spans="1:18" s="178" customFormat="1" x14ac:dyDescent="0.25">
      <c r="A1905" s="225"/>
      <c r="B1905" s="319"/>
      <c r="D1905" s="656">
        <v>8</v>
      </c>
      <c r="E1905" s="628" t="s">
        <v>2154</v>
      </c>
      <c r="F1905" s="226">
        <v>2.16</v>
      </c>
      <c r="G1905" s="178">
        <v>4192</v>
      </c>
      <c r="H1905" s="226">
        <v>3417</v>
      </c>
      <c r="I1905" s="226">
        <f t="shared" si="463"/>
        <v>1.7606679389312978</v>
      </c>
      <c r="J1905" s="820">
        <f t="shared" si="464"/>
        <v>3.9206679389312979</v>
      </c>
      <c r="K1905" s="228">
        <v>1.4</v>
      </c>
      <c r="L1905" s="226">
        <f t="shared" si="465"/>
        <v>5.4889351145038168</v>
      </c>
      <c r="M1905" s="226">
        <v>6</v>
      </c>
      <c r="R1905" s="914"/>
    </row>
    <row r="1906" spans="1:18" s="178" customFormat="1" x14ac:dyDescent="0.25">
      <c r="A1906" s="225"/>
      <c r="B1906" s="319"/>
      <c r="D1906" s="656">
        <v>8</v>
      </c>
      <c r="E1906" s="628" t="s">
        <v>2154</v>
      </c>
      <c r="F1906" s="226">
        <v>2.16</v>
      </c>
      <c r="G1906" s="178">
        <v>4192</v>
      </c>
      <c r="H1906" s="226">
        <v>3417</v>
      </c>
      <c r="I1906" s="226">
        <f t="shared" si="463"/>
        <v>1.7606679389312978</v>
      </c>
      <c r="J1906" s="820">
        <f t="shared" si="464"/>
        <v>3.9206679389312979</v>
      </c>
      <c r="K1906" s="228">
        <v>1.4</v>
      </c>
      <c r="L1906" s="226">
        <f t="shared" si="465"/>
        <v>5.4889351145038168</v>
      </c>
      <c r="M1906" s="226">
        <v>6</v>
      </c>
      <c r="R1906" s="914"/>
    </row>
    <row r="1907" spans="1:18" s="178" customFormat="1" x14ac:dyDescent="0.25">
      <c r="A1907" s="225"/>
      <c r="B1907" s="319"/>
      <c r="D1907" s="656">
        <v>8</v>
      </c>
      <c r="E1907" s="628" t="s">
        <v>2154</v>
      </c>
      <c r="F1907" s="226">
        <v>2.16</v>
      </c>
      <c r="G1907" s="178">
        <v>4192</v>
      </c>
      <c r="H1907" s="226">
        <v>3417</v>
      </c>
      <c r="I1907" s="226">
        <f t="shared" si="463"/>
        <v>1.7606679389312978</v>
      </c>
      <c r="J1907" s="820">
        <f t="shared" si="464"/>
        <v>3.9206679389312979</v>
      </c>
      <c r="K1907" s="228">
        <v>1.4</v>
      </c>
      <c r="L1907" s="226">
        <f t="shared" si="465"/>
        <v>5.4889351145038168</v>
      </c>
      <c r="M1907" s="226">
        <v>6</v>
      </c>
      <c r="R1907" s="914"/>
    </row>
    <row r="1908" spans="1:18" s="178" customFormat="1" x14ac:dyDescent="0.25">
      <c r="A1908" s="225"/>
      <c r="B1908" s="319"/>
      <c r="D1908" s="656">
        <v>8</v>
      </c>
      <c r="E1908" s="708" t="s">
        <v>101</v>
      </c>
      <c r="F1908" s="232">
        <v>2.16</v>
      </c>
      <c r="G1908" s="213">
        <v>4192</v>
      </c>
      <c r="H1908" s="232">
        <v>3417</v>
      </c>
      <c r="I1908" s="232">
        <f t="shared" si="463"/>
        <v>1.7606679389312978</v>
      </c>
      <c r="J1908" s="863">
        <f t="shared" si="464"/>
        <v>3.9206679389312979</v>
      </c>
      <c r="K1908" s="864">
        <v>1.4</v>
      </c>
      <c r="L1908" s="232">
        <f t="shared" si="465"/>
        <v>5.4889351145038168</v>
      </c>
      <c r="M1908" s="232">
        <v>6</v>
      </c>
      <c r="P1908" s="178" t="s">
        <v>12</v>
      </c>
      <c r="Q1908" s="229">
        <v>45465</v>
      </c>
      <c r="R1908" s="914"/>
    </row>
    <row r="1909" spans="1:18" s="178" customFormat="1" x14ac:dyDescent="0.25">
      <c r="A1909" s="225"/>
      <c r="B1909" s="319"/>
      <c r="D1909" s="656">
        <v>8</v>
      </c>
      <c r="E1909" s="628" t="s">
        <v>101</v>
      </c>
      <c r="F1909" s="226">
        <v>2.16</v>
      </c>
      <c r="G1909" s="178">
        <v>4192</v>
      </c>
      <c r="H1909" s="226">
        <v>3417</v>
      </c>
      <c r="I1909" s="226">
        <f t="shared" si="463"/>
        <v>1.7606679389312978</v>
      </c>
      <c r="J1909" s="820">
        <f t="shared" si="464"/>
        <v>3.9206679389312979</v>
      </c>
      <c r="K1909" s="228">
        <v>1.4</v>
      </c>
      <c r="L1909" s="226">
        <f t="shared" si="465"/>
        <v>5.4889351145038168</v>
      </c>
      <c r="M1909" s="226">
        <v>6</v>
      </c>
      <c r="R1909" s="914"/>
    </row>
    <row r="1910" spans="1:18" s="178" customFormat="1" x14ac:dyDescent="0.25">
      <c r="A1910" s="225"/>
      <c r="B1910" s="319"/>
      <c r="D1910" s="656">
        <v>8</v>
      </c>
      <c r="E1910" s="628" t="s">
        <v>101</v>
      </c>
      <c r="F1910" s="226">
        <v>2.16</v>
      </c>
      <c r="G1910" s="178">
        <v>4192</v>
      </c>
      <c r="H1910" s="226">
        <v>3417</v>
      </c>
      <c r="I1910" s="226">
        <f t="shared" si="463"/>
        <v>1.7606679389312978</v>
      </c>
      <c r="J1910" s="820">
        <f t="shared" si="464"/>
        <v>3.9206679389312979</v>
      </c>
      <c r="K1910" s="228">
        <v>1.4</v>
      </c>
      <c r="L1910" s="226">
        <f t="shared" si="465"/>
        <v>5.4889351145038168</v>
      </c>
      <c r="M1910" s="226">
        <v>6</v>
      </c>
      <c r="R1910" s="914"/>
    </row>
    <row r="1911" spans="1:18" s="178" customFormat="1" x14ac:dyDescent="0.25">
      <c r="A1911" s="225"/>
      <c r="B1911" s="319"/>
      <c r="D1911" s="656">
        <v>8</v>
      </c>
      <c r="E1911" s="628" t="s">
        <v>101</v>
      </c>
      <c r="F1911" s="226">
        <v>2.16</v>
      </c>
      <c r="G1911" s="178">
        <v>4192</v>
      </c>
      <c r="H1911" s="226">
        <v>3417</v>
      </c>
      <c r="I1911" s="226">
        <f t="shared" si="463"/>
        <v>1.7606679389312978</v>
      </c>
      <c r="J1911" s="820">
        <f t="shared" si="464"/>
        <v>3.9206679389312979</v>
      </c>
      <c r="K1911" s="228">
        <v>1.4</v>
      </c>
      <c r="L1911" s="226">
        <f t="shared" si="465"/>
        <v>5.4889351145038168</v>
      </c>
      <c r="M1911" s="226">
        <v>6</v>
      </c>
      <c r="R1911" s="914"/>
    </row>
    <row r="1912" spans="1:18" s="178" customFormat="1" x14ac:dyDescent="0.25">
      <c r="A1912" s="225"/>
      <c r="B1912" s="319"/>
      <c r="D1912" s="656">
        <v>8</v>
      </c>
      <c r="E1912" s="628" t="s">
        <v>101</v>
      </c>
      <c r="F1912" s="226">
        <v>2.16</v>
      </c>
      <c r="G1912" s="178">
        <v>4192</v>
      </c>
      <c r="H1912" s="226">
        <v>3417</v>
      </c>
      <c r="I1912" s="226">
        <f t="shared" si="463"/>
        <v>1.7606679389312978</v>
      </c>
      <c r="J1912" s="820">
        <f t="shared" si="464"/>
        <v>3.9206679389312979</v>
      </c>
      <c r="K1912" s="228">
        <v>1.4</v>
      </c>
      <c r="L1912" s="226">
        <f t="shared" si="465"/>
        <v>5.4889351145038168</v>
      </c>
      <c r="M1912" s="226">
        <v>6</v>
      </c>
      <c r="R1912" s="914"/>
    </row>
    <row r="1913" spans="1:18" s="178" customFormat="1" x14ac:dyDescent="0.25">
      <c r="A1913" s="225"/>
      <c r="B1913" s="319"/>
      <c r="D1913" s="656">
        <v>8</v>
      </c>
      <c r="E1913" s="628" t="s">
        <v>101</v>
      </c>
      <c r="F1913" s="226">
        <v>2.16</v>
      </c>
      <c r="G1913" s="178">
        <v>4192</v>
      </c>
      <c r="H1913" s="226">
        <v>3417</v>
      </c>
      <c r="I1913" s="226">
        <f t="shared" si="463"/>
        <v>1.7606679389312978</v>
      </c>
      <c r="J1913" s="820">
        <f t="shared" si="464"/>
        <v>3.9206679389312979</v>
      </c>
      <c r="K1913" s="228">
        <v>1.4</v>
      </c>
      <c r="L1913" s="226">
        <f t="shared" si="465"/>
        <v>5.4889351145038168</v>
      </c>
      <c r="M1913" s="226">
        <v>6</v>
      </c>
      <c r="R1913" s="914"/>
    </row>
    <row r="1914" spans="1:18" s="178" customFormat="1" x14ac:dyDescent="0.25">
      <c r="A1914" s="225"/>
      <c r="B1914" s="319"/>
      <c r="D1914" s="656">
        <v>8</v>
      </c>
      <c r="E1914" s="628" t="s">
        <v>101</v>
      </c>
      <c r="F1914" s="226">
        <v>2.16</v>
      </c>
      <c r="G1914" s="178">
        <v>4192</v>
      </c>
      <c r="H1914" s="226">
        <v>3417</v>
      </c>
      <c r="I1914" s="226">
        <f t="shared" si="463"/>
        <v>1.7606679389312978</v>
      </c>
      <c r="J1914" s="820">
        <f t="shared" si="464"/>
        <v>3.9206679389312979</v>
      </c>
      <c r="K1914" s="228">
        <v>1.4</v>
      </c>
      <c r="L1914" s="226">
        <f t="shared" si="465"/>
        <v>5.4889351145038168</v>
      </c>
      <c r="M1914" s="226">
        <v>6</v>
      </c>
      <c r="R1914" s="914"/>
    </row>
    <row r="1915" spans="1:18" s="178" customFormat="1" x14ac:dyDescent="0.25">
      <c r="A1915" s="225"/>
      <c r="B1915" s="319"/>
      <c r="D1915" s="656">
        <v>8</v>
      </c>
      <c r="E1915" s="628" t="s">
        <v>101</v>
      </c>
      <c r="F1915" s="226">
        <v>2.16</v>
      </c>
      <c r="G1915" s="178">
        <v>4192</v>
      </c>
      <c r="H1915" s="226">
        <v>3417</v>
      </c>
      <c r="I1915" s="226">
        <f t="shared" si="463"/>
        <v>1.7606679389312978</v>
      </c>
      <c r="J1915" s="820">
        <f t="shared" si="464"/>
        <v>3.9206679389312979</v>
      </c>
      <c r="K1915" s="228">
        <v>1.4</v>
      </c>
      <c r="L1915" s="226">
        <f t="shared" si="465"/>
        <v>5.4889351145038168</v>
      </c>
      <c r="M1915" s="226">
        <v>6</v>
      </c>
      <c r="R1915" s="914"/>
    </row>
    <row r="1916" spans="1:18" s="178" customFormat="1" x14ac:dyDescent="0.25">
      <c r="A1916" s="225"/>
      <c r="B1916" s="319"/>
      <c r="D1916" s="656">
        <v>8</v>
      </c>
      <c r="E1916" s="628" t="s">
        <v>101</v>
      </c>
      <c r="F1916" s="226">
        <v>2.16</v>
      </c>
      <c r="G1916" s="178">
        <v>4192</v>
      </c>
      <c r="H1916" s="226">
        <v>3417</v>
      </c>
      <c r="I1916" s="226">
        <f t="shared" si="463"/>
        <v>1.7606679389312978</v>
      </c>
      <c r="J1916" s="820">
        <f t="shared" si="464"/>
        <v>3.9206679389312979</v>
      </c>
      <c r="K1916" s="228">
        <v>1.4</v>
      </c>
      <c r="L1916" s="226">
        <f t="shared" si="465"/>
        <v>5.4889351145038168</v>
      </c>
      <c r="M1916" s="226">
        <v>6</v>
      </c>
      <c r="R1916" s="914"/>
    </row>
    <row r="1917" spans="1:18" s="178" customFormat="1" x14ac:dyDescent="0.25">
      <c r="A1917" s="225"/>
      <c r="B1917" s="319"/>
      <c r="D1917" s="656">
        <v>8</v>
      </c>
      <c r="E1917" s="628" t="s">
        <v>101</v>
      </c>
      <c r="F1917" s="226">
        <v>2.16</v>
      </c>
      <c r="G1917" s="178">
        <v>4192</v>
      </c>
      <c r="H1917" s="226">
        <v>3417</v>
      </c>
      <c r="I1917" s="226">
        <f t="shared" si="463"/>
        <v>1.7606679389312978</v>
      </c>
      <c r="J1917" s="820">
        <f t="shared" si="464"/>
        <v>3.9206679389312979</v>
      </c>
      <c r="K1917" s="228">
        <v>1.4</v>
      </c>
      <c r="L1917" s="226">
        <f t="shared" si="465"/>
        <v>5.4889351145038168</v>
      </c>
      <c r="M1917" s="226">
        <v>6</v>
      </c>
      <c r="R1917" s="914"/>
    </row>
    <row r="1918" spans="1:18" s="178" customFormat="1" x14ac:dyDescent="0.25">
      <c r="A1918" s="225"/>
      <c r="B1918" s="319"/>
      <c r="D1918" s="656">
        <v>8</v>
      </c>
      <c r="E1918" s="628" t="s">
        <v>101</v>
      </c>
      <c r="F1918" s="226">
        <v>2.16</v>
      </c>
      <c r="G1918" s="178">
        <v>4192</v>
      </c>
      <c r="H1918" s="226">
        <v>3417</v>
      </c>
      <c r="I1918" s="226">
        <f t="shared" si="463"/>
        <v>1.7606679389312978</v>
      </c>
      <c r="J1918" s="820">
        <f t="shared" si="464"/>
        <v>3.9206679389312979</v>
      </c>
      <c r="K1918" s="228">
        <v>1.4</v>
      </c>
      <c r="L1918" s="226">
        <f t="shared" si="465"/>
        <v>5.4889351145038168</v>
      </c>
      <c r="M1918" s="226">
        <v>6</v>
      </c>
      <c r="R1918" s="914"/>
    </row>
    <row r="1919" spans="1:18" s="178" customFormat="1" x14ac:dyDescent="0.25">
      <c r="A1919" s="225"/>
      <c r="B1919" s="319"/>
      <c r="D1919" s="656">
        <v>8</v>
      </c>
      <c r="E1919" s="628" t="s">
        <v>101</v>
      </c>
      <c r="F1919" s="226">
        <v>2.16</v>
      </c>
      <c r="G1919" s="178">
        <v>4192</v>
      </c>
      <c r="H1919" s="226">
        <v>3417</v>
      </c>
      <c r="I1919" s="226">
        <f t="shared" si="463"/>
        <v>1.7606679389312978</v>
      </c>
      <c r="J1919" s="820">
        <f t="shared" si="464"/>
        <v>3.9206679389312979</v>
      </c>
      <c r="K1919" s="228">
        <v>1.4</v>
      </c>
      <c r="L1919" s="226">
        <f t="shared" si="465"/>
        <v>5.4889351145038168</v>
      </c>
      <c r="M1919" s="226">
        <v>6</v>
      </c>
      <c r="R1919" s="914"/>
    </row>
    <row r="1920" spans="1:18" s="178" customFormat="1" hidden="1" x14ac:dyDescent="0.25">
      <c r="A1920" s="225"/>
      <c r="B1920" s="319"/>
      <c r="D1920" s="656">
        <v>10</v>
      </c>
      <c r="E1920" s="708" t="s">
        <v>2154</v>
      </c>
      <c r="F1920" s="232">
        <v>2.16</v>
      </c>
      <c r="G1920" s="213">
        <v>4192</v>
      </c>
      <c r="H1920" s="232">
        <v>3417</v>
      </c>
      <c r="I1920" s="232">
        <f t="shared" si="463"/>
        <v>1.7606679389312978</v>
      </c>
      <c r="J1920" s="863">
        <f t="shared" si="464"/>
        <v>3.9206679389312979</v>
      </c>
      <c r="K1920" s="864">
        <v>1.4</v>
      </c>
      <c r="L1920" s="232">
        <f t="shared" si="465"/>
        <v>5.4889351145038168</v>
      </c>
      <c r="M1920" s="232">
        <v>6</v>
      </c>
      <c r="P1920" s="178" t="s">
        <v>12</v>
      </c>
      <c r="Q1920" s="229">
        <v>45377</v>
      </c>
      <c r="R1920" s="914">
        <f t="shared" ref="R1920:R1922" si="466">+M1920*20000</f>
        <v>120000</v>
      </c>
    </row>
    <row r="1921" spans="1:18" s="178" customFormat="1" hidden="1" x14ac:dyDescent="0.25">
      <c r="A1921" s="225"/>
      <c r="B1921" s="319"/>
      <c r="D1921" s="656">
        <v>10</v>
      </c>
      <c r="E1921" s="708" t="s">
        <v>2154</v>
      </c>
      <c r="F1921" s="232">
        <v>2.16</v>
      </c>
      <c r="G1921" s="213">
        <v>4192</v>
      </c>
      <c r="H1921" s="232">
        <v>3417</v>
      </c>
      <c r="I1921" s="232">
        <f t="shared" si="463"/>
        <v>1.7606679389312978</v>
      </c>
      <c r="J1921" s="863">
        <f t="shared" si="464"/>
        <v>3.9206679389312979</v>
      </c>
      <c r="K1921" s="864">
        <v>1.4</v>
      </c>
      <c r="L1921" s="232">
        <f t="shared" si="465"/>
        <v>5.4889351145038168</v>
      </c>
      <c r="M1921" s="232">
        <v>6</v>
      </c>
      <c r="P1921" s="178" t="s">
        <v>12</v>
      </c>
      <c r="Q1921" s="229">
        <v>45377</v>
      </c>
      <c r="R1921" s="914">
        <f t="shared" si="466"/>
        <v>120000</v>
      </c>
    </row>
    <row r="1922" spans="1:18" s="178" customFormat="1" hidden="1" x14ac:dyDescent="0.25">
      <c r="A1922" s="225"/>
      <c r="B1922" s="319"/>
      <c r="D1922" s="656">
        <v>10</v>
      </c>
      <c r="E1922" s="708" t="s">
        <v>2154</v>
      </c>
      <c r="F1922" s="232">
        <v>2.16</v>
      </c>
      <c r="G1922" s="213">
        <v>4192</v>
      </c>
      <c r="H1922" s="232">
        <v>3417</v>
      </c>
      <c r="I1922" s="232">
        <f t="shared" si="463"/>
        <v>1.7606679389312978</v>
      </c>
      <c r="J1922" s="863">
        <f t="shared" si="464"/>
        <v>3.9206679389312979</v>
      </c>
      <c r="K1922" s="864">
        <v>1.4</v>
      </c>
      <c r="L1922" s="232">
        <f t="shared" si="465"/>
        <v>5.4889351145038168</v>
      </c>
      <c r="M1922" s="232">
        <v>6</v>
      </c>
      <c r="P1922" s="178" t="s">
        <v>12</v>
      </c>
      <c r="Q1922" s="229">
        <v>45377</v>
      </c>
      <c r="R1922" s="914">
        <f t="shared" si="466"/>
        <v>120000</v>
      </c>
    </row>
    <row r="1923" spans="1:18" s="178" customFormat="1" x14ac:dyDescent="0.25">
      <c r="A1923" s="225"/>
      <c r="B1923" s="319"/>
      <c r="D1923" s="656">
        <v>10</v>
      </c>
      <c r="E1923" s="628" t="s">
        <v>2154</v>
      </c>
      <c r="F1923" s="226">
        <v>2.16</v>
      </c>
      <c r="G1923" s="178">
        <v>4192</v>
      </c>
      <c r="H1923" s="226">
        <v>3417</v>
      </c>
      <c r="I1923" s="226">
        <f t="shared" si="463"/>
        <v>1.7606679389312978</v>
      </c>
      <c r="J1923" s="820">
        <f t="shared" si="464"/>
        <v>3.9206679389312979</v>
      </c>
      <c r="K1923" s="228">
        <v>1.4</v>
      </c>
      <c r="L1923" s="226">
        <f t="shared" si="465"/>
        <v>5.4889351145038168</v>
      </c>
      <c r="M1923" s="226">
        <v>6</v>
      </c>
      <c r="R1923" s="914"/>
    </row>
    <row r="1924" spans="1:18" s="178" customFormat="1" x14ac:dyDescent="0.25">
      <c r="A1924" s="225"/>
      <c r="B1924" s="319"/>
      <c r="D1924" s="656">
        <v>10</v>
      </c>
      <c r="E1924" s="628" t="s">
        <v>2154</v>
      </c>
      <c r="F1924" s="226">
        <v>2.16</v>
      </c>
      <c r="G1924" s="178">
        <v>4192</v>
      </c>
      <c r="H1924" s="226">
        <v>3417</v>
      </c>
      <c r="I1924" s="226">
        <f t="shared" si="463"/>
        <v>1.7606679389312978</v>
      </c>
      <c r="J1924" s="820">
        <f t="shared" si="464"/>
        <v>3.9206679389312979</v>
      </c>
      <c r="K1924" s="228">
        <v>1.4</v>
      </c>
      <c r="L1924" s="226">
        <f t="shared" si="465"/>
        <v>5.4889351145038168</v>
      </c>
      <c r="M1924" s="226">
        <v>6</v>
      </c>
      <c r="R1924" s="914"/>
    </row>
    <row r="1925" spans="1:18" s="178" customFormat="1" x14ac:dyDescent="0.25">
      <c r="A1925" s="225"/>
      <c r="B1925" s="318"/>
      <c r="D1925" s="656">
        <v>10</v>
      </c>
      <c r="E1925" s="628" t="s">
        <v>2154</v>
      </c>
      <c r="F1925" s="226">
        <v>2.16</v>
      </c>
      <c r="G1925" s="178">
        <v>4192</v>
      </c>
      <c r="H1925" s="226">
        <v>3417</v>
      </c>
      <c r="I1925" s="226">
        <f t="shared" si="463"/>
        <v>1.7606679389312978</v>
      </c>
      <c r="J1925" s="820">
        <f t="shared" si="464"/>
        <v>3.9206679389312979</v>
      </c>
      <c r="K1925" s="228">
        <v>1.4</v>
      </c>
      <c r="L1925" s="226">
        <f t="shared" si="465"/>
        <v>5.4889351145038168</v>
      </c>
      <c r="M1925" s="226">
        <v>6</v>
      </c>
      <c r="R1925" s="914"/>
    </row>
    <row r="1926" spans="1:18" s="178" customFormat="1" x14ac:dyDescent="0.25">
      <c r="A1926" s="225"/>
      <c r="B1926" s="319"/>
      <c r="D1926" s="656">
        <v>10</v>
      </c>
      <c r="E1926" s="628" t="s">
        <v>2154</v>
      </c>
      <c r="F1926" s="226">
        <v>2.16</v>
      </c>
      <c r="G1926" s="178">
        <v>4192</v>
      </c>
      <c r="H1926" s="226">
        <v>3417</v>
      </c>
      <c r="I1926" s="226">
        <f t="shared" si="463"/>
        <v>1.7606679389312978</v>
      </c>
      <c r="J1926" s="820">
        <f t="shared" si="464"/>
        <v>3.9206679389312979</v>
      </c>
      <c r="K1926" s="228">
        <v>1.4</v>
      </c>
      <c r="L1926" s="226">
        <f t="shared" si="465"/>
        <v>5.4889351145038168</v>
      </c>
      <c r="M1926" s="226">
        <v>6</v>
      </c>
      <c r="R1926" s="914"/>
    </row>
    <row r="1927" spans="1:18" s="178" customFormat="1" x14ac:dyDescent="0.25">
      <c r="A1927" s="225"/>
      <c r="B1927" s="319"/>
      <c r="D1927" s="656">
        <v>10</v>
      </c>
      <c r="E1927" s="628" t="s">
        <v>2154</v>
      </c>
      <c r="F1927" s="226">
        <v>2.16</v>
      </c>
      <c r="G1927" s="178">
        <v>4192</v>
      </c>
      <c r="H1927" s="226">
        <v>3417</v>
      </c>
      <c r="I1927" s="226">
        <f t="shared" si="463"/>
        <v>1.7606679389312978</v>
      </c>
      <c r="J1927" s="820">
        <f t="shared" si="464"/>
        <v>3.9206679389312979</v>
      </c>
      <c r="K1927" s="228">
        <v>1.4</v>
      </c>
      <c r="L1927" s="226">
        <f t="shared" si="465"/>
        <v>5.4889351145038168</v>
      </c>
      <c r="M1927" s="226">
        <v>6</v>
      </c>
      <c r="R1927" s="914"/>
    </row>
    <row r="1928" spans="1:18" s="178" customFormat="1" x14ac:dyDescent="0.25">
      <c r="A1928" s="225"/>
      <c r="B1928" s="319"/>
      <c r="D1928" s="656">
        <v>10</v>
      </c>
      <c r="E1928" s="628" t="s">
        <v>2154</v>
      </c>
      <c r="F1928" s="226">
        <v>2.16</v>
      </c>
      <c r="G1928" s="178">
        <v>4192</v>
      </c>
      <c r="H1928" s="226">
        <v>3417</v>
      </c>
      <c r="I1928" s="226">
        <f t="shared" si="463"/>
        <v>1.7606679389312978</v>
      </c>
      <c r="J1928" s="820">
        <f t="shared" si="464"/>
        <v>3.9206679389312979</v>
      </c>
      <c r="K1928" s="228">
        <v>1.4</v>
      </c>
      <c r="L1928" s="226">
        <f t="shared" si="465"/>
        <v>5.4889351145038168</v>
      </c>
      <c r="M1928" s="226">
        <v>6</v>
      </c>
      <c r="R1928" s="914"/>
    </row>
    <row r="1929" spans="1:18" s="178" customFormat="1" x14ac:dyDescent="0.25">
      <c r="A1929" s="225"/>
      <c r="B1929" s="319"/>
      <c r="D1929" s="656">
        <v>10</v>
      </c>
      <c r="E1929" s="628" t="s">
        <v>2154</v>
      </c>
      <c r="F1929" s="226">
        <v>2.16</v>
      </c>
      <c r="G1929" s="178">
        <v>4192</v>
      </c>
      <c r="H1929" s="226">
        <v>3417</v>
      </c>
      <c r="I1929" s="226">
        <f t="shared" si="463"/>
        <v>1.7606679389312978</v>
      </c>
      <c r="J1929" s="820">
        <f t="shared" si="464"/>
        <v>3.9206679389312979</v>
      </c>
      <c r="K1929" s="228">
        <v>1.4</v>
      </c>
      <c r="L1929" s="226">
        <f t="shared" si="465"/>
        <v>5.4889351145038168</v>
      </c>
      <c r="M1929" s="226">
        <v>6</v>
      </c>
      <c r="R1929" s="914"/>
    </row>
    <row r="1930" spans="1:18" s="178" customFormat="1" x14ac:dyDescent="0.25">
      <c r="A1930" s="225"/>
      <c r="B1930" s="319"/>
      <c r="D1930" s="656">
        <v>10</v>
      </c>
      <c r="E1930" s="628" t="s">
        <v>2154</v>
      </c>
      <c r="F1930" s="226">
        <v>2.16</v>
      </c>
      <c r="G1930" s="178">
        <v>4192</v>
      </c>
      <c r="H1930" s="226">
        <v>3417</v>
      </c>
      <c r="I1930" s="226">
        <f t="shared" si="463"/>
        <v>1.7606679389312978</v>
      </c>
      <c r="J1930" s="820">
        <f t="shared" si="464"/>
        <v>3.9206679389312979</v>
      </c>
      <c r="K1930" s="228">
        <v>1.4</v>
      </c>
      <c r="L1930" s="226">
        <f t="shared" si="465"/>
        <v>5.4889351145038168</v>
      </c>
      <c r="M1930" s="226">
        <v>6</v>
      </c>
      <c r="R1930" s="914"/>
    </row>
    <row r="1931" spans="1:18" s="178" customFormat="1" x14ac:dyDescent="0.25">
      <c r="A1931" s="225"/>
      <c r="B1931" s="319"/>
      <c r="D1931" s="656">
        <v>10</v>
      </c>
      <c r="E1931" s="628" t="s">
        <v>2154</v>
      </c>
      <c r="F1931" s="226">
        <v>2.16</v>
      </c>
      <c r="G1931" s="178">
        <v>4192</v>
      </c>
      <c r="H1931" s="226">
        <v>3417</v>
      </c>
      <c r="I1931" s="226">
        <f t="shared" si="463"/>
        <v>1.7606679389312978</v>
      </c>
      <c r="J1931" s="820">
        <f t="shared" si="464"/>
        <v>3.9206679389312979</v>
      </c>
      <c r="K1931" s="228">
        <v>1.4</v>
      </c>
      <c r="L1931" s="226">
        <f t="shared" si="465"/>
        <v>5.4889351145038168</v>
      </c>
      <c r="M1931" s="226">
        <v>6</v>
      </c>
      <c r="R1931" s="914"/>
    </row>
    <row r="1932" spans="1:18" s="178" customFormat="1" hidden="1" x14ac:dyDescent="0.25">
      <c r="A1932" s="225"/>
      <c r="B1932" s="319"/>
      <c r="D1932" s="656">
        <v>10</v>
      </c>
      <c r="E1932" s="708" t="s">
        <v>101</v>
      </c>
      <c r="F1932" s="232">
        <v>2.16</v>
      </c>
      <c r="G1932" s="213">
        <v>4192</v>
      </c>
      <c r="H1932" s="232">
        <v>3417</v>
      </c>
      <c r="I1932" s="232">
        <f t="shared" si="463"/>
        <v>1.7606679389312978</v>
      </c>
      <c r="J1932" s="863">
        <f t="shared" si="464"/>
        <v>3.9206679389312979</v>
      </c>
      <c r="K1932" s="864">
        <v>1.4</v>
      </c>
      <c r="L1932" s="232">
        <f t="shared" si="465"/>
        <v>5.4889351145038168</v>
      </c>
      <c r="M1932" s="232">
        <v>6</v>
      </c>
      <c r="P1932" s="178" t="s">
        <v>12</v>
      </c>
      <c r="Q1932" s="229">
        <v>45377</v>
      </c>
      <c r="R1932" s="914">
        <f>+M1932*20000</f>
        <v>120000</v>
      </c>
    </row>
    <row r="1933" spans="1:18" s="178" customFormat="1" hidden="1" x14ac:dyDescent="0.25">
      <c r="A1933" s="225"/>
      <c r="B1933" s="319"/>
      <c r="D1933" s="656">
        <v>10</v>
      </c>
      <c r="E1933" s="708" t="s">
        <v>101</v>
      </c>
      <c r="F1933" s="232">
        <v>2.16</v>
      </c>
      <c r="G1933" s="213">
        <v>4192</v>
      </c>
      <c r="H1933" s="232">
        <v>3417</v>
      </c>
      <c r="I1933" s="232">
        <f t="shared" si="463"/>
        <v>1.7606679389312978</v>
      </c>
      <c r="J1933" s="863">
        <f t="shared" si="464"/>
        <v>3.9206679389312979</v>
      </c>
      <c r="K1933" s="864">
        <v>1.4</v>
      </c>
      <c r="L1933" s="232">
        <f t="shared" si="465"/>
        <v>5.4889351145038168</v>
      </c>
      <c r="M1933" s="232">
        <v>6</v>
      </c>
      <c r="P1933" s="178" t="s">
        <v>12</v>
      </c>
      <c r="Q1933" s="229">
        <v>45377</v>
      </c>
      <c r="R1933" s="914">
        <f>+M1933*20000</f>
        <v>120000</v>
      </c>
    </row>
    <row r="1934" spans="1:18" s="178" customFormat="1" x14ac:dyDescent="0.25">
      <c r="A1934" s="225"/>
      <c r="B1934" s="319"/>
      <c r="D1934" s="656">
        <v>10</v>
      </c>
      <c r="E1934" s="628" t="s">
        <v>101</v>
      </c>
      <c r="F1934" s="226">
        <v>2.16</v>
      </c>
      <c r="G1934" s="178">
        <v>4192</v>
      </c>
      <c r="H1934" s="226">
        <v>3417</v>
      </c>
      <c r="I1934" s="226">
        <f t="shared" si="463"/>
        <v>1.7606679389312978</v>
      </c>
      <c r="J1934" s="820">
        <f t="shared" si="464"/>
        <v>3.9206679389312979</v>
      </c>
      <c r="K1934" s="228">
        <v>1.4</v>
      </c>
      <c r="L1934" s="226">
        <f t="shared" si="465"/>
        <v>5.4889351145038168</v>
      </c>
      <c r="M1934" s="226">
        <v>6</v>
      </c>
      <c r="R1934" s="914"/>
    </row>
    <row r="1935" spans="1:18" s="178" customFormat="1" x14ac:dyDescent="0.25">
      <c r="A1935" s="225"/>
      <c r="B1935" s="319"/>
      <c r="D1935" s="656">
        <v>10</v>
      </c>
      <c r="E1935" s="628" t="s">
        <v>101</v>
      </c>
      <c r="F1935" s="226">
        <v>2.16</v>
      </c>
      <c r="G1935" s="178">
        <v>4192</v>
      </c>
      <c r="H1935" s="226">
        <v>3417</v>
      </c>
      <c r="I1935" s="226">
        <f t="shared" si="463"/>
        <v>1.7606679389312978</v>
      </c>
      <c r="J1935" s="820">
        <f t="shared" si="464"/>
        <v>3.9206679389312979</v>
      </c>
      <c r="K1935" s="228">
        <v>1.4</v>
      </c>
      <c r="L1935" s="226">
        <f t="shared" si="465"/>
        <v>5.4889351145038168</v>
      </c>
      <c r="M1935" s="226">
        <v>6</v>
      </c>
      <c r="R1935" s="914"/>
    </row>
    <row r="1936" spans="1:18" s="178" customFormat="1" x14ac:dyDescent="0.25">
      <c r="A1936" s="225"/>
      <c r="B1936" s="319"/>
      <c r="D1936" s="656">
        <v>10</v>
      </c>
      <c r="E1936" s="628" t="s">
        <v>101</v>
      </c>
      <c r="F1936" s="226">
        <v>2.16</v>
      </c>
      <c r="G1936" s="178">
        <v>4192</v>
      </c>
      <c r="H1936" s="226">
        <v>3417</v>
      </c>
      <c r="I1936" s="226">
        <f t="shared" si="463"/>
        <v>1.7606679389312978</v>
      </c>
      <c r="J1936" s="820">
        <f t="shared" si="464"/>
        <v>3.9206679389312979</v>
      </c>
      <c r="K1936" s="228">
        <v>1.4</v>
      </c>
      <c r="L1936" s="226">
        <f t="shared" si="465"/>
        <v>5.4889351145038168</v>
      </c>
      <c r="M1936" s="226">
        <v>6</v>
      </c>
      <c r="R1936" s="914"/>
    </row>
    <row r="1937" spans="1:20" s="178" customFormat="1" x14ac:dyDescent="0.25">
      <c r="A1937" s="225"/>
      <c r="B1937" s="319"/>
      <c r="D1937" s="656">
        <v>10</v>
      </c>
      <c r="E1937" s="628" t="s">
        <v>101</v>
      </c>
      <c r="F1937" s="226">
        <v>2.16</v>
      </c>
      <c r="G1937" s="178">
        <v>4192</v>
      </c>
      <c r="H1937" s="226">
        <v>3417</v>
      </c>
      <c r="I1937" s="226">
        <f t="shared" si="463"/>
        <v>1.7606679389312978</v>
      </c>
      <c r="J1937" s="820">
        <f t="shared" si="464"/>
        <v>3.9206679389312979</v>
      </c>
      <c r="K1937" s="228">
        <v>1.4</v>
      </c>
      <c r="L1937" s="226">
        <f t="shared" si="465"/>
        <v>5.4889351145038168</v>
      </c>
      <c r="M1937" s="226">
        <v>6</v>
      </c>
      <c r="R1937" s="914"/>
    </row>
    <row r="1938" spans="1:20" s="178" customFormat="1" x14ac:dyDescent="0.25">
      <c r="A1938" s="225"/>
      <c r="B1938" s="319"/>
      <c r="D1938" s="656">
        <v>10</v>
      </c>
      <c r="E1938" s="628" t="s">
        <v>101</v>
      </c>
      <c r="F1938" s="226">
        <v>2.16</v>
      </c>
      <c r="G1938" s="178">
        <v>4192</v>
      </c>
      <c r="H1938" s="226">
        <v>3417</v>
      </c>
      <c r="I1938" s="226">
        <f t="shared" si="463"/>
        <v>1.7606679389312978</v>
      </c>
      <c r="J1938" s="820">
        <f t="shared" si="464"/>
        <v>3.9206679389312979</v>
      </c>
      <c r="K1938" s="228">
        <v>1.4</v>
      </c>
      <c r="L1938" s="226">
        <f t="shared" si="465"/>
        <v>5.4889351145038168</v>
      </c>
      <c r="M1938" s="226">
        <v>6</v>
      </c>
      <c r="R1938" s="914"/>
    </row>
    <row r="1939" spans="1:20" s="178" customFormat="1" x14ac:dyDescent="0.25">
      <c r="A1939" s="225"/>
      <c r="B1939" s="319"/>
      <c r="D1939" s="656">
        <v>10</v>
      </c>
      <c r="E1939" s="628" t="s">
        <v>101</v>
      </c>
      <c r="F1939" s="226">
        <v>2.16</v>
      </c>
      <c r="G1939" s="178">
        <v>4192</v>
      </c>
      <c r="H1939" s="226">
        <v>3417</v>
      </c>
      <c r="I1939" s="226">
        <f t="shared" si="463"/>
        <v>1.7606679389312978</v>
      </c>
      <c r="J1939" s="820">
        <f t="shared" si="464"/>
        <v>3.9206679389312979</v>
      </c>
      <c r="K1939" s="228">
        <v>1.4</v>
      </c>
      <c r="L1939" s="226">
        <f t="shared" si="465"/>
        <v>5.4889351145038168</v>
      </c>
      <c r="M1939" s="226">
        <v>6</v>
      </c>
      <c r="R1939" s="914"/>
    </row>
    <row r="1940" spans="1:20" s="178" customFormat="1" x14ac:dyDescent="0.25">
      <c r="A1940" s="225"/>
      <c r="B1940" s="319"/>
      <c r="D1940" s="656">
        <v>10</v>
      </c>
      <c r="E1940" s="628" t="s">
        <v>101</v>
      </c>
      <c r="F1940" s="226">
        <v>2.16</v>
      </c>
      <c r="G1940" s="178">
        <v>4192</v>
      </c>
      <c r="H1940" s="226">
        <v>3417</v>
      </c>
      <c r="I1940" s="226">
        <f t="shared" si="463"/>
        <v>1.7606679389312978</v>
      </c>
      <c r="J1940" s="820">
        <f t="shared" si="464"/>
        <v>3.9206679389312979</v>
      </c>
      <c r="K1940" s="228">
        <v>1.4</v>
      </c>
      <c r="L1940" s="226">
        <f t="shared" si="465"/>
        <v>5.4889351145038168</v>
      </c>
      <c r="M1940" s="226">
        <v>6</v>
      </c>
      <c r="R1940" s="914"/>
    </row>
    <row r="1941" spans="1:20" s="178" customFormat="1" x14ac:dyDescent="0.25">
      <c r="A1941" s="225"/>
      <c r="B1941" s="319"/>
      <c r="D1941" s="656">
        <v>10</v>
      </c>
      <c r="E1941" s="628" t="s">
        <v>101</v>
      </c>
      <c r="F1941" s="226">
        <v>2.16</v>
      </c>
      <c r="G1941" s="178">
        <v>4192</v>
      </c>
      <c r="H1941" s="226">
        <v>3417</v>
      </c>
      <c r="I1941" s="226">
        <f t="shared" si="463"/>
        <v>1.7606679389312978</v>
      </c>
      <c r="J1941" s="820">
        <f t="shared" si="464"/>
        <v>3.9206679389312979</v>
      </c>
      <c r="K1941" s="228">
        <v>1.4</v>
      </c>
      <c r="L1941" s="226">
        <f t="shared" si="465"/>
        <v>5.4889351145038168</v>
      </c>
      <c r="M1941" s="226">
        <v>6</v>
      </c>
      <c r="R1941" s="914"/>
    </row>
    <row r="1942" spans="1:20" s="178" customFormat="1" x14ac:dyDescent="0.25">
      <c r="A1942" s="225"/>
      <c r="B1942" s="319"/>
      <c r="D1942" s="656">
        <v>10</v>
      </c>
      <c r="E1942" s="628" t="s">
        <v>101</v>
      </c>
      <c r="F1942" s="226">
        <v>2.16</v>
      </c>
      <c r="G1942" s="178">
        <v>4192</v>
      </c>
      <c r="H1942" s="226">
        <v>3417</v>
      </c>
      <c r="I1942" s="226">
        <f t="shared" si="463"/>
        <v>1.7606679389312978</v>
      </c>
      <c r="J1942" s="820">
        <f t="shared" si="464"/>
        <v>3.9206679389312979</v>
      </c>
      <c r="K1942" s="228">
        <v>1.4</v>
      </c>
      <c r="L1942" s="226">
        <f t="shared" si="465"/>
        <v>5.4889351145038168</v>
      </c>
      <c r="M1942" s="226">
        <v>6</v>
      </c>
      <c r="R1942" s="914"/>
    </row>
    <row r="1943" spans="1:20" s="178" customFormat="1" x14ac:dyDescent="0.25">
      <c r="A1943" s="225"/>
      <c r="B1943" s="319"/>
      <c r="D1943" s="656">
        <v>10</v>
      </c>
      <c r="E1943" s="628" t="s">
        <v>101</v>
      </c>
      <c r="F1943" s="226">
        <v>2.16</v>
      </c>
      <c r="G1943" s="178">
        <v>4192</v>
      </c>
      <c r="H1943" s="226">
        <v>3417</v>
      </c>
      <c r="I1943" s="226">
        <f t="shared" si="463"/>
        <v>1.7606679389312978</v>
      </c>
      <c r="J1943" s="820">
        <f t="shared" si="464"/>
        <v>3.9206679389312979</v>
      </c>
      <c r="K1943" s="228">
        <v>1.4</v>
      </c>
      <c r="L1943" s="226">
        <f t="shared" si="465"/>
        <v>5.4889351145038168</v>
      </c>
      <c r="M1943" s="226">
        <v>6</v>
      </c>
      <c r="R1943" s="914"/>
    </row>
    <row r="1944" spans="1:20" ht="15" customHeight="1" outlineLevel="1" x14ac:dyDescent="0.25">
      <c r="B1944" s="395"/>
      <c r="C1944" s="500"/>
      <c r="D1944" s="500"/>
      <c r="E1944" s="393" t="s">
        <v>177</v>
      </c>
      <c r="F1944" s="150">
        <f t="shared" ref="F1944:M1944" si="467">SUM(F1766:F1777)</f>
        <v>11</v>
      </c>
      <c r="G1944" s="150">
        <f t="shared" si="467"/>
        <v>49098</v>
      </c>
      <c r="H1944" s="150">
        <f t="shared" si="467"/>
        <v>79098</v>
      </c>
      <c r="I1944" s="150">
        <f t="shared" si="467"/>
        <v>14.499205670292067</v>
      </c>
      <c r="J1944" s="150">
        <f t="shared" si="467"/>
        <v>23.499205670292064</v>
      </c>
      <c r="K1944" s="150">
        <f t="shared" si="467"/>
        <v>1.8</v>
      </c>
      <c r="L1944" s="150">
        <f t="shared" si="467"/>
        <v>30.548967371379685</v>
      </c>
      <c r="M1944" s="150">
        <f t="shared" si="467"/>
        <v>55</v>
      </c>
      <c r="N1944" s="404"/>
      <c r="O1944" s="167"/>
      <c r="P1944" s="150"/>
      <c r="Q1944" s="854"/>
      <c r="R1944" s="915"/>
    </row>
    <row r="1945" spans="1:20" ht="15" customHeight="1" outlineLevel="1" x14ac:dyDescent="0.25">
      <c r="A1945" s="154" t="s">
        <v>73</v>
      </c>
      <c r="B1945" s="395">
        <v>2022</v>
      </c>
      <c r="C1945" s="500">
        <v>209</v>
      </c>
      <c r="D1945" s="500">
        <v>-140</v>
      </c>
      <c r="E1945" s="395">
        <f>+C1945+D1945</f>
        <v>69</v>
      </c>
      <c r="F1945" s="150"/>
      <c r="G1945" s="150"/>
      <c r="H1945" s="150"/>
      <c r="I1945" s="150"/>
      <c r="J1945" s="150"/>
      <c r="K1945" s="150"/>
      <c r="L1945" s="394">
        <f t="shared" ref="L1945:L1946" si="468">+J1945*K1945+J1945</f>
        <v>0</v>
      </c>
      <c r="M1945" s="150"/>
      <c r="N1945" s="404"/>
      <c r="O1945" s="395"/>
      <c r="P1945" s="160"/>
      <c r="Q1945" s="834"/>
      <c r="R1945" s="913"/>
    </row>
    <row r="1946" spans="1:20" ht="15" customHeight="1" outlineLevel="1" x14ac:dyDescent="0.25">
      <c r="B1946" s="395"/>
      <c r="C1946" s="500"/>
      <c r="D1946" s="500"/>
      <c r="E1946" s="393" t="s">
        <v>704</v>
      </c>
      <c r="F1946" s="150"/>
      <c r="G1946" s="150"/>
      <c r="H1946" s="150"/>
      <c r="I1946" s="150"/>
      <c r="J1946" s="150"/>
      <c r="K1946" s="150"/>
      <c r="L1946" s="394">
        <f t="shared" si="468"/>
        <v>0</v>
      </c>
      <c r="M1946" s="150"/>
      <c r="N1946" s="404"/>
      <c r="O1946" s="395"/>
      <c r="P1946" s="160"/>
      <c r="Q1946" s="834"/>
      <c r="R1946" s="913"/>
    </row>
    <row r="1947" spans="1:20" ht="15" customHeight="1" x14ac:dyDescent="0.25">
      <c r="B1947" s="395" t="s">
        <v>508</v>
      </c>
      <c r="C1947" s="500">
        <v>17</v>
      </c>
      <c r="D1947" s="500"/>
      <c r="E1947" s="395" t="s">
        <v>509</v>
      </c>
      <c r="F1947" s="394">
        <v>2</v>
      </c>
      <c r="G1947" s="395"/>
      <c r="H1947" s="395"/>
      <c r="I1947" s="394"/>
      <c r="J1947" s="394"/>
      <c r="K1947" s="492"/>
      <c r="L1947" s="394">
        <f t="shared" ref="L1947:L1955" si="469">+J1947*K1947+J1947</f>
        <v>0</v>
      </c>
      <c r="M1947" s="395">
        <v>7</v>
      </c>
      <c r="N1947" s="494"/>
      <c r="O1947" s="362"/>
      <c r="P1947" s="395"/>
      <c r="Q1947" s="833"/>
      <c r="R1947" s="912"/>
      <c r="S1947" s="149"/>
      <c r="T1947" s="149"/>
    </row>
    <row r="1948" spans="1:20" ht="15" customHeight="1" x14ac:dyDescent="0.25">
      <c r="B1948" s="395"/>
      <c r="C1948" s="500">
        <v>18</v>
      </c>
      <c r="D1948" s="500"/>
      <c r="E1948" s="395" t="s">
        <v>509</v>
      </c>
      <c r="F1948" s="394">
        <v>2</v>
      </c>
      <c r="G1948" s="395"/>
      <c r="H1948" s="395"/>
      <c r="I1948" s="394"/>
      <c r="J1948" s="394"/>
      <c r="K1948" s="492"/>
      <c r="L1948" s="394">
        <f t="shared" si="469"/>
        <v>0</v>
      </c>
      <c r="M1948" s="395">
        <v>5</v>
      </c>
      <c r="N1948" s="494"/>
      <c r="O1948" s="362"/>
      <c r="P1948" s="395"/>
      <c r="Q1948" s="833"/>
      <c r="R1948" s="912"/>
      <c r="S1948" s="149"/>
      <c r="T1948" s="149"/>
    </row>
    <row r="1949" spans="1:20" ht="15" customHeight="1" outlineLevel="1" x14ac:dyDescent="0.25">
      <c r="B1949" s="395"/>
      <c r="C1949" s="500">
        <v>19</v>
      </c>
      <c r="D1949" s="500"/>
      <c r="E1949" s="395" t="s">
        <v>509</v>
      </c>
      <c r="F1949" s="394">
        <v>2</v>
      </c>
      <c r="G1949" s="395"/>
      <c r="H1949" s="395"/>
      <c r="I1949" s="394"/>
      <c r="J1949" s="394"/>
      <c r="K1949" s="492"/>
      <c r="L1949" s="394">
        <f t="shared" si="469"/>
        <v>0</v>
      </c>
      <c r="M1949" s="395">
        <v>5</v>
      </c>
      <c r="N1949" s="494"/>
      <c r="O1949" s="362"/>
      <c r="P1949" s="395"/>
      <c r="Q1949" s="833"/>
      <c r="R1949" s="912"/>
      <c r="S1949" s="149"/>
      <c r="T1949" s="149"/>
    </row>
    <row r="1950" spans="1:20" ht="15" customHeight="1" outlineLevel="1" x14ac:dyDescent="0.25">
      <c r="B1950" s="395"/>
      <c r="C1950" s="500">
        <v>20</v>
      </c>
      <c r="D1950" s="500"/>
      <c r="E1950" s="395" t="s">
        <v>509</v>
      </c>
      <c r="F1950" s="394">
        <v>2</v>
      </c>
      <c r="G1950" s="395"/>
      <c r="H1950" s="395"/>
      <c r="I1950" s="394"/>
      <c r="J1950" s="394"/>
      <c r="K1950" s="492"/>
      <c r="L1950" s="394">
        <f t="shared" si="469"/>
        <v>0</v>
      </c>
      <c r="M1950" s="395">
        <v>5</v>
      </c>
      <c r="N1950" s="494"/>
      <c r="O1950" s="494"/>
      <c r="P1950" s="395"/>
      <c r="Q1950" s="833"/>
      <c r="R1950" s="912"/>
      <c r="S1950" s="149"/>
      <c r="T1950" s="149"/>
    </row>
    <row r="1951" spans="1:20" ht="15" customHeight="1" outlineLevel="1" x14ac:dyDescent="0.25">
      <c r="B1951" s="395"/>
      <c r="C1951" s="500">
        <v>21</v>
      </c>
      <c r="D1951" s="500"/>
      <c r="E1951" s="395" t="s">
        <v>510</v>
      </c>
      <c r="F1951" s="258">
        <v>1</v>
      </c>
      <c r="G1951" s="160"/>
      <c r="H1951" s="160"/>
      <c r="K1951" s="344"/>
      <c r="L1951" s="394">
        <f t="shared" si="469"/>
        <v>0</v>
      </c>
      <c r="M1951" s="160">
        <v>2</v>
      </c>
      <c r="N1951" s="494"/>
      <c r="O1951" s="494"/>
      <c r="P1951" s="160"/>
      <c r="Q1951" s="834"/>
      <c r="R1951" s="913"/>
    </row>
    <row r="1952" spans="1:20" s="12" customFormat="1" ht="15" customHeight="1" outlineLevel="1" x14ac:dyDescent="0.25">
      <c r="A1952" s="154"/>
      <c r="B1952" s="395"/>
      <c r="C1952" s="500">
        <v>22</v>
      </c>
      <c r="D1952" s="500"/>
      <c r="E1952" s="395" t="s">
        <v>982</v>
      </c>
      <c r="F1952" s="258">
        <v>1</v>
      </c>
      <c r="G1952" s="160"/>
      <c r="H1952" s="160"/>
      <c r="I1952" s="258"/>
      <c r="J1952" s="258"/>
      <c r="K1952" s="344"/>
      <c r="L1952" s="394">
        <f t="shared" si="469"/>
        <v>0</v>
      </c>
      <c r="M1952" s="160">
        <v>2</v>
      </c>
      <c r="N1952" s="494"/>
      <c r="O1952" s="494"/>
      <c r="P1952" s="160"/>
      <c r="Q1952" s="834"/>
      <c r="R1952" s="913"/>
      <c r="S1952" s="11"/>
      <c r="T1952" s="11"/>
    </row>
    <row r="1953" spans="1:20" s="12" customFormat="1" ht="15" customHeight="1" outlineLevel="1" x14ac:dyDescent="0.25">
      <c r="A1953" s="154"/>
      <c r="B1953" s="395"/>
      <c r="C1953" s="500">
        <v>23</v>
      </c>
      <c r="D1953" s="500"/>
      <c r="E1953" s="395" t="s">
        <v>511</v>
      </c>
      <c r="F1953" s="258">
        <v>0.5</v>
      </c>
      <c r="G1953" s="160">
        <v>5500</v>
      </c>
      <c r="H1953" s="160">
        <v>11950</v>
      </c>
      <c r="I1953" s="258">
        <f>+F1953/G1953*H1953</f>
        <v>1.0863636363636362</v>
      </c>
      <c r="J1953" s="258"/>
      <c r="K1953" s="497">
        <v>0.3</v>
      </c>
      <c r="L1953" s="394">
        <f t="shared" si="469"/>
        <v>0</v>
      </c>
      <c r="M1953" s="160">
        <v>2</v>
      </c>
      <c r="N1953" s="494"/>
      <c r="O1953" s="494"/>
      <c r="P1953" s="160"/>
      <c r="Q1953" s="834"/>
      <c r="R1953" s="913"/>
      <c r="S1953" s="11"/>
      <c r="T1953" s="11"/>
    </row>
    <row r="1954" spans="1:20" ht="15" customHeight="1" outlineLevel="1" x14ac:dyDescent="0.25">
      <c r="B1954" s="395"/>
      <c r="C1954" s="500">
        <v>24</v>
      </c>
      <c r="D1954" s="500"/>
      <c r="E1954" s="395" t="s">
        <v>512</v>
      </c>
      <c r="F1954" s="258">
        <v>0.5</v>
      </c>
      <c r="G1954" s="160">
        <v>5500</v>
      </c>
      <c r="H1954" s="160">
        <v>11950</v>
      </c>
      <c r="I1954" s="258">
        <f>+F1954/G1954*H1954</f>
        <v>1.0863636363636362</v>
      </c>
      <c r="K1954" s="497">
        <v>0.3</v>
      </c>
      <c r="L1954" s="394">
        <f t="shared" si="469"/>
        <v>0</v>
      </c>
      <c r="M1954" s="160">
        <v>2</v>
      </c>
      <c r="N1954" s="494"/>
      <c r="O1954" s="494"/>
      <c r="P1954" s="160"/>
      <c r="Q1954" s="834"/>
      <c r="R1954" s="913"/>
    </row>
    <row r="1955" spans="1:20" s="395" customFormat="1" ht="15.75" x14ac:dyDescent="0.25">
      <c r="A1955" s="154"/>
      <c r="C1955" s="500">
        <v>25</v>
      </c>
      <c r="D1955" s="500"/>
      <c r="E1955" s="395" t="s">
        <v>513</v>
      </c>
      <c r="F1955" s="258">
        <v>0.5</v>
      </c>
      <c r="G1955" s="160">
        <v>5500</v>
      </c>
      <c r="H1955" s="160">
        <v>11950</v>
      </c>
      <c r="I1955" s="258">
        <f>+F1955/G1955*H1955</f>
        <v>1.0863636363636362</v>
      </c>
      <c r="J1955" s="258"/>
      <c r="K1955" s="497">
        <v>0.3</v>
      </c>
      <c r="L1955" s="394">
        <f t="shared" si="469"/>
        <v>0</v>
      </c>
      <c r="M1955" s="160">
        <v>2</v>
      </c>
      <c r="N1955" s="494"/>
      <c r="O1955" s="494"/>
      <c r="P1955" s="160"/>
      <c r="Q1955" s="834"/>
      <c r="R1955" s="913"/>
      <c r="S1955" s="11"/>
      <c r="T1955" s="11"/>
    </row>
    <row r="1956" spans="1:20" s="395" customFormat="1" ht="15.75" x14ac:dyDescent="0.25">
      <c r="A1956" s="154"/>
      <c r="C1956" s="500"/>
      <c r="D1956" s="500"/>
      <c r="E1956" s="393" t="s">
        <v>347</v>
      </c>
      <c r="F1956" s="150">
        <f t="shared" ref="F1956:K1956" si="470">SUM(F1947:F1955)</f>
        <v>11.5</v>
      </c>
      <c r="G1956" s="150">
        <f t="shared" si="470"/>
        <v>16500</v>
      </c>
      <c r="H1956" s="150">
        <f t="shared" si="470"/>
        <v>35850</v>
      </c>
      <c r="I1956" s="150">
        <f t="shared" si="470"/>
        <v>3.2590909090909088</v>
      </c>
      <c r="J1956" s="150">
        <f t="shared" si="470"/>
        <v>0</v>
      </c>
      <c r="K1956" s="150">
        <f t="shared" si="470"/>
        <v>0.89999999999999991</v>
      </c>
      <c r="L1956" s="150"/>
      <c r="M1956" s="150">
        <f>SUM(M1947:M1955)</f>
        <v>32</v>
      </c>
      <c r="N1956" s="404"/>
      <c r="P1956" s="160"/>
      <c r="Q1956" s="834"/>
      <c r="R1956" s="913"/>
      <c r="S1956" s="11"/>
      <c r="T1956" s="11"/>
    </row>
    <row r="1957" spans="1:20" s="395" customFormat="1" ht="15.75" x14ac:dyDescent="0.25">
      <c r="A1957" s="154" t="s">
        <v>156</v>
      </c>
      <c r="C1957" s="500">
        <v>49</v>
      </c>
      <c r="D1957" s="500">
        <v>-24</v>
      </c>
      <c r="F1957" s="150"/>
      <c r="G1957" s="150"/>
      <c r="H1957" s="150"/>
      <c r="I1957" s="150"/>
      <c r="J1957" s="150"/>
      <c r="K1957" s="150"/>
      <c r="L1957" s="394">
        <f>+J1957*K1957+J1957</f>
        <v>0</v>
      </c>
      <c r="M1957" s="150"/>
      <c r="N1957" s="404"/>
      <c r="P1957" s="160"/>
      <c r="Q1957" s="834"/>
      <c r="R1957" s="913"/>
      <c r="S1957" s="11"/>
      <c r="T1957" s="11"/>
    </row>
    <row r="1958" spans="1:20" s="395" customFormat="1" ht="15.75" x14ac:dyDescent="0.25">
      <c r="A1958" s="154"/>
      <c r="C1958" s="500"/>
      <c r="D1958" s="500"/>
      <c r="E1958" s="393" t="s">
        <v>1098</v>
      </c>
      <c r="F1958" s="150"/>
      <c r="G1958" s="150"/>
      <c r="H1958" s="150"/>
      <c r="I1958" s="150"/>
      <c r="J1958" s="150"/>
      <c r="K1958" s="150"/>
      <c r="L1958" s="394"/>
      <c r="M1958" s="150"/>
      <c r="N1958" s="404"/>
      <c r="P1958" s="160"/>
      <c r="Q1958" s="834"/>
      <c r="R1958" s="913"/>
      <c r="S1958" s="11"/>
      <c r="T1958" s="11"/>
    </row>
    <row r="1959" spans="1:20" s="395" customFormat="1" ht="15.75" x14ac:dyDescent="0.25">
      <c r="A1959" s="154"/>
      <c r="C1959" s="500">
        <v>1</v>
      </c>
      <c r="D1959" s="500"/>
      <c r="E1959" s="317" t="s">
        <v>158</v>
      </c>
      <c r="F1959" s="317"/>
      <c r="G1959" s="317">
        <v>4920</v>
      </c>
      <c r="H1959" s="317">
        <v>10924</v>
      </c>
      <c r="I1959" s="317">
        <f>+F1959/G1959*H1959</f>
        <v>0</v>
      </c>
      <c r="J1959" s="493">
        <f>+F1959+I1959</f>
        <v>0</v>
      </c>
      <c r="K1959" s="317">
        <v>0.3</v>
      </c>
      <c r="L1959" s="493">
        <f t="shared" ref="L1959:L1964" si="471">+J1959*K1959+J1959</f>
        <v>0</v>
      </c>
      <c r="M1959" s="317">
        <v>35</v>
      </c>
      <c r="N1959" s="494"/>
      <c r="P1959" s="160" t="s">
        <v>12</v>
      </c>
      <c r="Q1959" s="834">
        <v>45262</v>
      </c>
      <c r="R1959" s="913">
        <f>+M1959*7800</f>
        <v>273000</v>
      </c>
      <c r="S1959" s="11"/>
      <c r="T1959" s="11"/>
    </row>
    <row r="1960" spans="1:20" s="395" customFormat="1" ht="15.75" x14ac:dyDescent="0.25">
      <c r="A1960" s="154"/>
      <c r="C1960" s="500">
        <v>2</v>
      </c>
      <c r="D1960" s="500"/>
      <c r="E1960" s="395" t="s">
        <v>1782</v>
      </c>
      <c r="G1960" s="395">
        <v>4920</v>
      </c>
      <c r="H1960" s="395">
        <v>10924</v>
      </c>
      <c r="I1960" s="395">
        <f>+F1960/G1960*H1960</f>
        <v>0</v>
      </c>
      <c r="J1960" s="394">
        <f>+F1960+I1960</f>
        <v>0</v>
      </c>
      <c r="K1960" s="395">
        <v>0.3</v>
      </c>
      <c r="L1960" s="394">
        <f t="shared" si="471"/>
        <v>0</v>
      </c>
      <c r="M1960" s="395">
        <v>15</v>
      </c>
      <c r="N1960" s="494"/>
      <c r="O1960" s="362"/>
      <c r="P1960" s="160"/>
      <c r="Q1960" s="834"/>
      <c r="R1960" s="913"/>
      <c r="S1960" s="11"/>
      <c r="T1960" s="11"/>
    </row>
    <row r="1961" spans="1:20" s="395" customFormat="1" ht="15.75" x14ac:dyDescent="0.25">
      <c r="A1961" s="154"/>
      <c r="C1961" s="500">
        <v>3</v>
      </c>
      <c r="D1961" s="500"/>
      <c r="E1961" s="317" t="s">
        <v>1783</v>
      </c>
      <c r="F1961" s="317"/>
      <c r="G1961" s="317">
        <v>4920</v>
      </c>
      <c r="H1961" s="317">
        <v>10924</v>
      </c>
      <c r="I1961" s="317">
        <f>+F1961/G1961*H1961</f>
        <v>0</v>
      </c>
      <c r="J1961" s="493">
        <f>+F1961+I1961</f>
        <v>0</v>
      </c>
      <c r="K1961" s="317">
        <v>0.3</v>
      </c>
      <c r="L1961" s="493">
        <f t="shared" si="471"/>
        <v>0</v>
      </c>
      <c r="M1961" s="317">
        <v>15</v>
      </c>
      <c r="N1961" s="494"/>
      <c r="O1961" s="362"/>
      <c r="P1961" s="160" t="s">
        <v>12</v>
      </c>
      <c r="Q1961" s="834">
        <v>45467</v>
      </c>
      <c r="R1961" s="913"/>
      <c r="S1961" s="11"/>
      <c r="T1961" s="11"/>
    </row>
    <row r="1962" spans="1:20" s="12" customFormat="1" ht="15" customHeight="1" x14ac:dyDescent="0.25">
      <c r="A1962" s="154"/>
      <c r="B1962" s="393"/>
      <c r="C1962" s="500">
        <v>4</v>
      </c>
      <c r="D1962" s="500"/>
      <c r="E1962" s="395" t="s">
        <v>1783</v>
      </c>
      <c r="F1962" s="395"/>
      <c r="G1962" s="395"/>
      <c r="H1962" s="395"/>
      <c r="I1962" s="395"/>
      <c r="J1962" s="394"/>
      <c r="K1962" s="395"/>
      <c r="L1962" s="394">
        <f t="shared" si="471"/>
        <v>0</v>
      </c>
      <c r="M1962" s="395">
        <v>15</v>
      </c>
      <c r="N1962" s="494"/>
      <c r="O1962" s="515"/>
      <c r="P1962" s="191"/>
      <c r="Q1962" s="837"/>
      <c r="R1962" s="915"/>
    </row>
    <row r="1963" spans="1:20" ht="15" customHeight="1" x14ac:dyDescent="0.25">
      <c r="B1963" s="393"/>
      <c r="C1963" s="500">
        <v>5</v>
      </c>
      <c r="D1963" s="500"/>
      <c r="E1963" s="395" t="s">
        <v>1784</v>
      </c>
      <c r="F1963" s="395"/>
      <c r="G1963" s="395"/>
      <c r="H1963" s="395"/>
      <c r="I1963" s="395"/>
      <c r="J1963" s="394"/>
      <c r="K1963" s="395"/>
      <c r="L1963" s="394">
        <f t="shared" si="471"/>
        <v>0</v>
      </c>
      <c r="M1963" s="395">
        <v>15</v>
      </c>
      <c r="N1963" s="494"/>
      <c r="O1963" s="515"/>
      <c r="P1963" s="191"/>
      <c r="Q1963" s="837"/>
      <c r="R1963" s="915"/>
      <c r="S1963" s="12"/>
      <c r="T1963" s="12"/>
    </row>
    <row r="1964" spans="1:20" s="387" customFormat="1" ht="15" customHeight="1" x14ac:dyDescent="0.25">
      <c r="A1964" s="154"/>
      <c r="B1964" s="395" t="s">
        <v>193</v>
      </c>
      <c r="C1964" s="500">
        <v>6</v>
      </c>
      <c r="D1964" s="500"/>
      <c r="E1964" s="395" t="s">
        <v>1785</v>
      </c>
      <c r="F1964" s="395"/>
      <c r="G1964" s="395">
        <v>7554</v>
      </c>
      <c r="H1964" s="395">
        <v>14418</v>
      </c>
      <c r="I1964" s="395">
        <f>+F1964/G1964*H1964</f>
        <v>0</v>
      </c>
      <c r="J1964" s="394">
        <f>+F1964+I1964</f>
        <v>0</v>
      </c>
      <c r="K1964" s="395">
        <v>0.3</v>
      </c>
      <c r="L1964" s="394">
        <f t="shared" si="471"/>
        <v>0</v>
      </c>
      <c r="M1964" s="395">
        <v>15</v>
      </c>
      <c r="N1964" s="494"/>
      <c r="O1964" s="362"/>
      <c r="P1964" s="160"/>
      <c r="Q1964" s="834"/>
      <c r="R1964" s="913"/>
      <c r="S1964" s="11"/>
      <c r="T1964" s="11"/>
    </row>
    <row r="1965" spans="1:20" s="387" customFormat="1" ht="15" customHeight="1" x14ac:dyDescent="0.25">
      <c r="A1965" s="154"/>
      <c r="B1965" s="395"/>
      <c r="C1965" s="500"/>
      <c r="D1965" s="500"/>
      <c r="E1965" s="395" t="s">
        <v>1786</v>
      </c>
      <c r="F1965" s="395"/>
      <c r="G1965" s="395"/>
      <c r="H1965" s="395"/>
      <c r="I1965" s="395"/>
      <c r="J1965" s="394"/>
      <c r="K1965" s="395"/>
      <c r="L1965" s="394"/>
      <c r="M1965" s="395">
        <v>25</v>
      </c>
      <c r="N1965" s="494"/>
      <c r="O1965" s="362"/>
      <c r="P1965" s="160"/>
      <c r="Q1965" s="834"/>
      <c r="R1965" s="913"/>
      <c r="S1965" s="11"/>
      <c r="T1965" s="11"/>
    </row>
    <row r="1966" spans="1:20" s="387" customFormat="1" ht="15" customHeight="1" x14ac:dyDescent="0.25">
      <c r="A1966" s="154"/>
      <c r="B1966" s="395"/>
      <c r="C1966" s="500"/>
      <c r="D1966" s="500"/>
      <c r="E1966" s="395" t="s">
        <v>1787</v>
      </c>
      <c r="F1966" s="395"/>
      <c r="G1966" s="395"/>
      <c r="H1966" s="395"/>
      <c r="I1966" s="395"/>
      <c r="J1966" s="394"/>
      <c r="K1966" s="395"/>
      <c r="L1966" s="394"/>
      <c r="M1966" s="395">
        <v>25</v>
      </c>
      <c r="N1966" s="494"/>
      <c r="O1966" s="362"/>
      <c r="P1966" s="160"/>
      <c r="Q1966" s="834"/>
      <c r="R1966" s="913"/>
      <c r="S1966" s="11"/>
      <c r="T1966" s="11"/>
    </row>
    <row r="1967" spans="1:20" ht="15" customHeight="1" outlineLevel="1" x14ac:dyDescent="0.25">
      <c r="A1967" s="393"/>
      <c r="B1967" s="395"/>
      <c r="C1967" s="395"/>
      <c r="D1967" s="395"/>
      <c r="E1967" s="393" t="s">
        <v>950</v>
      </c>
      <c r="F1967" s="394"/>
      <c r="G1967" s="179"/>
      <c r="H1967" s="394"/>
      <c r="I1967" s="394"/>
      <c r="J1967" s="394"/>
      <c r="K1967" s="492"/>
      <c r="M1967" s="394"/>
      <c r="N1967" s="504"/>
      <c r="O1967" s="395"/>
      <c r="P1967" s="395"/>
      <c r="Q1967" s="833"/>
      <c r="R1967" s="396"/>
      <c r="S1967" s="395"/>
      <c r="T1967" s="395"/>
    </row>
    <row r="1968" spans="1:20" ht="15" customHeight="1" outlineLevel="1" x14ac:dyDescent="0.25">
      <c r="A1968" s="393"/>
      <c r="B1968" s="395"/>
      <c r="C1968" s="500">
        <v>7</v>
      </c>
      <c r="D1968" s="395"/>
      <c r="E1968" s="395" t="s">
        <v>951</v>
      </c>
      <c r="F1968" s="394"/>
      <c r="G1968" s="179"/>
      <c r="H1968" s="394"/>
      <c r="I1968" s="394"/>
      <c r="J1968" s="394"/>
      <c r="K1968" s="492"/>
      <c r="M1968" s="394">
        <v>35</v>
      </c>
      <c r="N1968" s="504"/>
      <c r="O1968" s="362"/>
      <c r="P1968" s="395"/>
      <c r="Q1968" s="833"/>
      <c r="R1968" s="396"/>
      <c r="S1968" s="395"/>
      <c r="T1968" s="395"/>
    </row>
    <row r="1969" spans="1:20" ht="15" customHeight="1" outlineLevel="1" x14ac:dyDescent="0.25">
      <c r="A1969" s="393"/>
      <c r="B1969" s="395"/>
      <c r="C1969" s="500">
        <v>8</v>
      </c>
      <c r="D1969" s="395"/>
      <c r="E1969" s="395" t="s">
        <v>952</v>
      </c>
      <c r="F1969" s="394"/>
      <c r="G1969" s="179"/>
      <c r="H1969" s="394"/>
      <c r="I1969" s="394"/>
      <c r="J1969" s="394"/>
      <c r="K1969" s="492"/>
      <c r="M1969" s="394">
        <v>35</v>
      </c>
      <c r="N1969" s="504"/>
      <c r="O1969" s="362"/>
      <c r="P1969" s="395"/>
      <c r="Q1969" s="833"/>
      <c r="R1969" s="396"/>
      <c r="S1969" s="395"/>
      <c r="T1969" s="395"/>
    </row>
    <row r="1970" spans="1:20" s="337" customFormat="1" ht="15.75" x14ac:dyDescent="0.25">
      <c r="A1970" s="393"/>
      <c r="B1970" s="395"/>
      <c r="C1970" s="500">
        <v>9</v>
      </c>
      <c r="D1970" s="395"/>
      <c r="E1970" s="395" t="s">
        <v>959</v>
      </c>
      <c r="F1970" s="394"/>
      <c r="G1970" s="179"/>
      <c r="H1970" s="394"/>
      <c r="I1970" s="394"/>
      <c r="J1970" s="394"/>
      <c r="K1970" s="492"/>
      <c r="L1970" s="394"/>
      <c r="M1970" s="394">
        <v>35</v>
      </c>
      <c r="N1970" s="504"/>
      <c r="O1970" s="362"/>
      <c r="P1970" s="395"/>
      <c r="Q1970" s="833"/>
      <c r="R1970" s="396"/>
      <c r="S1970" s="395"/>
      <c r="T1970" s="395"/>
    </row>
    <row r="1971" spans="1:20" s="337" customFormat="1" ht="15.75" x14ac:dyDescent="0.25">
      <c r="A1971" s="393"/>
      <c r="B1971" s="395"/>
      <c r="C1971" s="500">
        <v>10</v>
      </c>
      <c r="D1971" s="395"/>
      <c r="E1971" s="317" t="s">
        <v>960</v>
      </c>
      <c r="F1971" s="493"/>
      <c r="G1971" s="509"/>
      <c r="H1971" s="493"/>
      <c r="I1971" s="493"/>
      <c r="J1971" s="493"/>
      <c r="K1971" s="533"/>
      <c r="L1971" s="545"/>
      <c r="M1971" s="493">
        <v>35</v>
      </c>
      <c r="N1971" s="504"/>
      <c r="O1971" s="395"/>
      <c r="P1971" s="395" t="s">
        <v>1238</v>
      </c>
      <c r="Q1971" s="833">
        <v>45001</v>
      </c>
      <c r="R1971" s="396">
        <f>+M1971*1000</f>
        <v>35000</v>
      </c>
      <c r="S1971" s="395"/>
      <c r="T1971" s="395"/>
    </row>
    <row r="1972" spans="1:20" s="337" customFormat="1" ht="15.75" x14ac:dyDescent="0.25">
      <c r="A1972" s="393"/>
      <c r="B1972" s="395"/>
      <c r="C1972" s="500"/>
      <c r="D1972" s="395"/>
      <c r="E1972" s="395" t="s">
        <v>1788</v>
      </c>
      <c r="F1972" s="394"/>
      <c r="G1972" s="179"/>
      <c r="H1972" s="394"/>
      <c r="I1972" s="394"/>
      <c r="J1972" s="394"/>
      <c r="K1972" s="491"/>
      <c r="L1972" s="394"/>
      <c r="M1972" s="394">
        <v>15</v>
      </c>
      <c r="N1972" s="504"/>
      <c r="O1972" s="362"/>
      <c r="P1972" s="395"/>
      <c r="Q1972" s="833"/>
      <c r="R1972" s="396"/>
      <c r="S1972" s="395"/>
      <c r="T1972" s="395"/>
    </row>
    <row r="1973" spans="1:20" s="337" customFormat="1" ht="15.75" x14ac:dyDescent="0.25">
      <c r="A1973" s="393"/>
      <c r="B1973" s="395"/>
      <c r="C1973" s="500"/>
      <c r="D1973" s="395"/>
      <c r="E1973" s="395" t="s">
        <v>1788</v>
      </c>
      <c r="F1973" s="394"/>
      <c r="G1973" s="179"/>
      <c r="H1973" s="394"/>
      <c r="I1973" s="394"/>
      <c r="J1973" s="394"/>
      <c r="K1973" s="492"/>
      <c r="L1973" s="394"/>
      <c r="M1973" s="394">
        <v>15</v>
      </c>
      <c r="N1973" s="504"/>
      <c r="O1973" s="362"/>
      <c r="P1973" s="395"/>
      <c r="Q1973" s="833"/>
      <c r="R1973" s="396"/>
      <c r="S1973" s="395"/>
      <c r="T1973" s="395"/>
    </row>
    <row r="1974" spans="1:20" s="337" customFormat="1" ht="15.75" x14ac:dyDescent="0.25">
      <c r="A1974" s="154"/>
      <c r="B1974" s="393"/>
      <c r="C1974" s="500"/>
      <c r="D1974" s="501"/>
      <c r="E1974" s="395" t="s">
        <v>1788</v>
      </c>
      <c r="F1974" s="150"/>
      <c r="G1974" s="150"/>
      <c r="H1974" s="150"/>
      <c r="I1974" s="150"/>
      <c r="J1974" s="150"/>
      <c r="K1974" s="150"/>
      <c r="L1974" s="150"/>
      <c r="M1974" s="394">
        <v>15</v>
      </c>
      <c r="N1974" s="504"/>
      <c r="O1974" s="515"/>
      <c r="P1974" s="191"/>
      <c r="Q1974" s="837"/>
      <c r="R1974" s="915"/>
      <c r="S1974" s="12"/>
      <c r="T1974" s="12"/>
    </row>
    <row r="1975" spans="1:20" s="337" customFormat="1" ht="15.75" x14ac:dyDescent="0.25">
      <c r="A1975" s="154"/>
      <c r="B1975" s="395"/>
      <c r="C1975" s="500"/>
      <c r="D1975" s="500">
        <v>-8</v>
      </c>
      <c r="E1975" s="395" t="s">
        <v>1788</v>
      </c>
      <c r="F1975" s="258"/>
      <c r="G1975" s="160"/>
      <c r="H1975" s="160"/>
      <c r="I1975" s="258"/>
      <c r="J1975" s="258"/>
      <c r="K1975" s="344"/>
      <c r="L1975" s="394"/>
      <c r="M1975" s="394">
        <v>15</v>
      </c>
      <c r="N1975" s="504"/>
      <c r="O1975" s="362"/>
      <c r="P1975" s="160"/>
      <c r="Q1975" s="834"/>
      <c r="R1975" s="913"/>
      <c r="S1975" s="11"/>
      <c r="T1975" s="11"/>
    </row>
    <row r="1976" spans="1:20" s="337" customFormat="1" ht="15.75" x14ac:dyDescent="0.25">
      <c r="A1976" s="154"/>
      <c r="B1976" s="395"/>
      <c r="C1976" s="500"/>
      <c r="D1976" s="500"/>
      <c r="E1976" s="395" t="s">
        <v>1788</v>
      </c>
      <c r="F1976" s="258"/>
      <c r="G1976" s="160"/>
      <c r="H1976" s="160"/>
      <c r="I1976" s="258"/>
      <c r="J1976" s="258"/>
      <c r="K1976" s="344"/>
      <c r="L1976" s="394"/>
      <c r="M1976" s="394">
        <v>15</v>
      </c>
      <c r="N1976" s="504"/>
      <c r="O1976" s="362"/>
      <c r="P1976" s="160"/>
      <c r="Q1976" s="834"/>
      <c r="R1976" s="913"/>
      <c r="S1976" s="11"/>
      <c r="T1976" s="11"/>
    </row>
    <row r="1977" spans="1:20" s="337" customFormat="1" ht="15.75" x14ac:dyDescent="0.25">
      <c r="A1977" s="154"/>
      <c r="B1977" s="395"/>
      <c r="C1977" s="500"/>
      <c r="D1977" s="500"/>
      <c r="E1977" s="395"/>
      <c r="F1977" s="258"/>
      <c r="G1977" s="160"/>
      <c r="H1977" s="160"/>
      <c r="I1977" s="258"/>
      <c r="J1977" s="258"/>
      <c r="K1977" s="344"/>
      <c r="L1977" s="394"/>
      <c r="M1977" s="258"/>
      <c r="N1977" s="504"/>
      <c r="O1977" s="395"/>
      <c r="P1977" s="160"/>
      <c r="Q1977" s="834"/>
      <c r="R1977" s="913"/>
      <c r="S1977" s="11"/>
      <c r="T1977" s="11"/>
    </row>
    <row r="1978" spans="1:20" s="337" customFormat="1" ht="21" x14ac:dyDescent="0.35">
      <c r="A1978" s="144"/>
      <c r="C1978" s="531"/>
      <c r="D1978" s="531"/>
      <c r="E1978" s="670" t="s">
        <v>1779</v>
      </c>
      <c r="F1978" s="253"/>
      <c r="G1978" s="157"/>
      <c r="H1978" s="157"/>
      <c r="I1978" s="253"/>
      <c r="J1978" s="253"/>
      <c r="K1978" s="157"/>
      <c r="L1978" s="394">
        <f>+J1978*K1978+J1978</f>
        <v>0</v>
      </c>
      <c r="M1978" s="253"/>
      <c r="N1978" s="532"/>
      <c r="O1978" s="170"/>
      <c r="P1978" s="253"/>
      <c r="Q1978" s="856"/>
      <c r="R1978" s="923"/>
      <c r="S1978" s="30"/>
      <c r="T1978" s="387"/>
    </row>
    <row r="1979" spans="1:20" s="337" customFormat="1" ht="15.75" x14ac:dyDescent="0.25">
      <c r="A1979" s="154"/>
      <c r="B1979" s="395" t="s">
        <v>194</v>
      </c>
      <c r="C1979" s="500">
        <v>1</v>
      </c>
      <c r="D1979" s="500"/>
      <c r="E1979" s="317" t="s">
        <v>192</v>
      </c>
      <c r="F1979" s="493">
        <v>10.5</v>
      </c>
      <c r="G1979" s="317">
        <v>7554</v>
      </c>
      <c r="H1979" s="317">
        <v>14418</v>
      </c>
      <c r="I1979" s="493">
        <f>+F1979/G1979*H1979</f>
        <v>20.040905480540111</v>
      </c>
      <c r="J1979" s="493" t="e">
        <f>+#REF!+I1979</f>
        <v>#REF!</v>
      </c>
      <c r="K1979" s="533">
        <v>0.3</v>
      </c>
      <c r="L1979" s="493"/>
      <c r="M1979" s="317">
        <v>45</v>
      </c>
      <c r="N1979" s="494"/>
      <c r="O1979" s="362"/>
      <c r="P1979" s="160" t="s">
        <v>12</v>
      </c>
      <c r="Q1979" s="834">
        <v>45469</v>
      </c>
      <c r="R1979" s="913">
        <f>+M1979*14</f>
        <v>630</v>
      </c>
      <c r="S1979" s="11"/>
      <c r="T1979" s="11"/>
    </row>
    <row r="1980" spans="1:20" s="337" customFormat="1" ht="15.75" x14ac:dyDescent="0.25">
      <c r="A1980" s="154"/>
      <c r="B1980" s="395" t="s">
        <v>194</v>
      </c>
      <c r="C1980" s="500">
        <v>2</v>
      </c>
      <c r="D1980" s="500"/>
      <c r="E1980" s="317" t="s">
        <v>192</v>
      </c>
      <c r="F1980" s="493">
        <v>11</v>
      </c>
      <c r="G1980" s="317">
        <v>7554</v>
      </c>
      <c r="H1980" s="317">
        <v>14418</v>
      </c>
      <c r="I1980" s="493">
        <f>+F1980/G1980*H1980</f>
        <v>20.995234312946785</v>
      </c>
      <c r="J1980" s="493" t="e">
        <f>+#REF!+I1980</f>
        <v>#REF!</v>
      </c>
      <c r="K1980" s="533">
        <v>0.3</v>
      </c>
      <c r="L1980" s="493"/>
      <c r="M1980" s="317">
        <v>45</v>
      </c>
      <c r="N1980" s="494"/>
      <c r="O1980" s="362"/>
      <c r="P1980" s="160" t="s">
        <v>12</v>
      </c>
      <c r="Q1980" s="834">
        <v>45469</v>
      </c>
      <c r="R1980" s="913">
        <f>+M1980*14</f>
        <v>630</v>
      </c>
      <c r="S1980" s="11"/>
      <c r="T1980" s="11"/>
    </row>
    <row r="1981" spans="1:20" s="337" customFormat="1" ht="15.75" x14ac:dyDescent="0.25">
      <c r="A1981" s="154"/>
      <c r="B1981" s="395" t="s">
        <v>194</v>
      </c>
      <c r="C1981" s="500">
        <v>3</v>
      </c>
      <c r="D1981" s="500"/>
      <c r="E1981" s="395" t="s">
        <v>192</v>
      </c>
      <c r="F1981" s="258">
        <v>11</v>
      </c>
      <c r="G1981" s="395">
        <v>7554</v>
      </c>
      <c r="H1981" s="160">
        <v>14418</v>
      </c>
      <c r="I1981" s="258">
        <f>+F1981/G1981*H1981</f>
        <v>20.995234312946785</v>
      </c>
      <c r="J1981" s="258" t="e">
        <f>+#REF!+I1981</f>
        <v>#REF!</v>
      </c>
      <c r="K1981" s="344">
        <v>0.3</v>
      </c>
      <c r="L1981" s="394"/>
      <c r="M1981" s="160">
        <v>45</v>
      </c>
      <c r="N1981" s="494"/>
      <c r="O1981" s="362"/>
      <c r="P1981" s="160"/>
      <c r="Q1981" s="834"/>
      <c r="R1981" s="913"/>
      <c r="S1981" s="11"/>
      <c r="T1981" s="11"/>
    </row>
    <row r="1982" spans="1:20" s="337" customFormat="1" ht="15.75" x14ac:dyDescent="0.25">
      <c r="A1982" s="169"/>
      <c r="B1982" s="331"/>
      <c r="E1982" s="549" t="s">
        <v>1235</v>
      </c>
      <c r="F1982" s="338"/>
      <c r="G1982" s="339"/>
      <c r="H1982" s="338"/>
      <c r="I1982" s="338"/>
      <c r="J1982" s="338"/>
      <c r="K1982" s="340"/>
      <c r="L1982" s="338"/>
      <c r="M1982" s="341"/>
      <c r="N1982" s="675"/>
      <c r="O1982" s="169"/>
      <c r="P1982" s="169"/>
      <c r="Q1982" s="835"/>
      <c r="R1982" s="580"/>
    </row>
    <row r="1983" spans="1:20" ht="15" customHeight="1" x14ac:dyDescent="0.25">
      <c r="A1983" s="169"/>
      <c r="B1983" s="331"/>
      <c r="C1983" s="337">
        <v>1</v>
      </c>
      <c r="D1983" s="337" t="s">
        <v>504</v>
      </c>
      <c r="E1983" s="704" t="s">
        <v>1208</v>
      </c>
      <c r="F1983" s="695">
        <v>7</v>
      </c>
      <c r="G1983" s="705">
        <v>8267</v>
      </c>
      <c r="H1983" s="695">
        <v>7400</v>
      </c>
      <c r="I1983" s="695">
        <f t="shared" ref="I1983:I1984" si="472">+F1983/G1983*H1983</f>
        <v>6.2658763759525824</v>
      </c>
      <c r="J1983" s="695">
        <f t="shared" ref="J1983:J1984" si="473">+F1983+I1983</f>
        <v>13.265876375952583</v>
      </c>
      <c r="K1983" s="706">
        <v>0.3</v>
      </c>
      <c r="L1983" s="695">
        <f t="shared" ref="L1983:L1984" si="474">+J1983*1.3</f>
        <v>17.24563928873836</v>
      </c>
      <c r="M1983" s="707">
        <v>25</v>
      </c>
      <c r="N1983" s="675"/>
      <c r="O1983" s="361"/>
      <c r="P1983" s="169" t="s">
        <v>12</v>
      </c>
      <c r="Q1983" s="835">
        <v>45464</v>
      </c>
      <c r="R1983" s="580">
        <f>+M1983*14</f>
        <v>350</v>
      </c>
      <c r="S1983" s="337"/>
      <c r="T1983" s="337"/>
    </row>
    <row r="1984" spans="1:20" ht="15" hidden="1" customHeight="1" x14ac:dyDescent="0.25">
      <c r="A1984" s="169"/>
      <c r="B1984" s="331"/>
      <c r="C1984" s="337">
        <v>2</v>
      </c>
      <c r="D1984" s="337"/>
      <c r="E1984" s="704" t="s">
        <v>1979</v>
      </c>
      <c r="F1984" s="695">
        <v>7</v>
      </c>
      <c r="G1984" s="705">
        <v>8267</v>
      </c>
      <c r="H1984" s="695">
        <v>7400</v>
      </c>
      <c r="I1984" s="695">
        <f t="shared" si="472"/>
        <v>6.2658763759525824</v>
      </c>
      <c r="J1984" s="695">
        <f t="shared" si="473"/>
        <v>13.265876375952583</v>
      </c>
      <c r="K1984" s="706">
        <v>0.3</v>
      </c>
      <c r="L1984" s="695">
        <f t="shared" si="474"/>
        <v>17.24563928873836</v>
      </c>
      <c r="M1984" s="707">
        <v>25</v>
      </c>
      <c r="N1984" s="675"/>
      <c r="O1984" s="361"/>
      <c r="P1984" s="169" t="s">
        <v>12</v>
      </c>
      <c r="Q1984" s="835">
        <v>45321</v>
      </c>
      <c r="R1984" s="580">
        <f>+M1984*7000</f>
        <v>175000</v>
      </c>
      <c r="S1984" s="337"/>
      <c r="T1984" s="337"/>
    </row>
    <row r="1985" spans="1:20" s="178" customFormat="1" x14ac:dyDescent="0.25">
      <c r="A1985" s="225"/>
      <c r="B1985" s="225"/>
      <c r="C1985" s="318"/>
      <c r="E1985" s="549" t="s">
        <v>1367</v>
      </c>
      <c r="G1985" s="226"/>
      <c r="I1985" s="226"/>
      <c r="J1985" s="174"/>
      <c r="K1985" s="174"/>
      <c r="L1985" s="316"/>
      <c r="M1985" s="174"/>
      <c r="N1985" s="663"/>
      <c r="Q1985" s="836"/>
      <c r="R1985" s="914"/>
    </row>
    <row r="1986" spans="1:20" s="178" customFormat="1" x14ac:dyDescent="0.25">
      <c r="A1986" s="225"/>
      <c r="B1986" s="225"/>
      <c r="C1986" s="318">
        <v>3</v>
      </c>
      <c r="D1986" s="178" t="s">
        <v>504</v>
      </c>
      <c r="E1986" s="178" t="s">
        <v>1335</v>
      </c>
      <c r="F1986" s="226">
        <v>8</v>
      </c>
      <c r="G1986" s="227">
        <v>9682</v>
      </c>
      <c r="H1986" s="226">
        <v>7766</v>
      </c>
      <c r="I1986" s="174">
        <f t="shared" ref="I1986:I1994" si="475">+F1986/G1986*H1986</f>
        <v>6.4168560214831647</v>
      </c>
      <c r="J1986" s="174">
        <f t="shared" ref="J1986:J1994" si="476">+F1986+I1986</f>
        <v>14.416856021483165</v>
      </c>
      <c r="K1986" s="316">
        <v>0.4</v>
      </c>
      <c r="L1986" s="174">
        <f t="shared" ref="L1986:L1994" si="477">+J1986*1.4</f>
        <v>20.18359843007643</v>
      </c>
      <c r="M1986" s="226">
        <v>25</v>
      </c>
      <c r="N1986" s="631"/>
      <c r="O1986" s="590"/>
      <c r="Q1986" s="836"/>
      <c r="R1986" s="914"/>
    </row>
    <row r="1987" spans="1:20" s="178" customFormat="1" x14ac:dyDescent="0.25">
      <c r="A1987" s="225"/>
      <c r="B1987" s="225"/>
      <c r="C1987" s="318">
        <v>4</v>
      </c>
      <c r="D1987" s="178" t="s">
        <v>505</v>
      </c>
      <c r="E1987" s="178" t="s">
        <v>1335</v>
      </c>
      <c r="F1987" s="226">
        <v>8</v>
      </c>
      <c r="G1987" s="227">
        <v>9682</v>
      </c>
      <c r="H1987" s="226">
        <v>7766</v>
      </c>
      <c r="I1987" s="174">
        <f t="shared" si="475"/>
        <v>6.4168560214831647</v>
      </c>
      <c r="J1987" s="174">
        <f t="shared" si="476"/>
        <v>14.416856021483165</v>
      </c>
      <c r="K1987" s="316">
        <v>0.4</v>
      </c>
      <c r="L1987" s="174">
        <f t="shared" si="477"/>
        <v>20.18359843007643</v>
      </c>
      <c r="M1987" s="226">
        <v>25</v>
      </c>
      <c r="N1987" s="631"/>
      <c r="O1987" s="590"/>
      <c r="Q1987" s="836"/>
      <c r="R1987" s="914"/>
    </row>
    <row r="1988" spans="1:20" s="178" customFormat="1" hidden="1" x14ac:dyDescent="0.25">
      <c r="A1988" s="225"/>
      <c r="B1988" s="225"/>
      <c r="C1988" s="318">
        <v>5</v>
      </c>
      <c r="D1988" s="178" t="s">
        <v>504</v>
      </c>
      <c r="E1988" s="213" t="s">
        <v>1331</v>
      </c>
      <c r="F1988" s="232">
        <v>8</v>
      </c>
      <c r="G1988" s="305">
        <v>9682</v>
      </c>
      <c r="H1988" s="232">
        <v>7766</v>
      </c>
      <c r="I1988" s="611">
        <f t="shared" si="475"/>
        <v>6.4168560214831647</v>
      </c>
      <c r="J1988" s="611">
        <f t="shared" si="476"/>
        <v>14.416856021483165</v>
      </c>
      <c r="K1988" s="612">
        <v>0.4</v>
      </c>
      <c r="L1988" s="611">
        <f t="shared" si="477"/>
        <v>20.18359843007643</v>
      </c>
      <c r="M1988" s="232">
        <v>25</v>
      </c>
      <c r="N1988" s="631"/>
      <c r="O1988" s="590"/>
      <c r="P1988" s="178" t="s">
        <v>12</v>
      </c>
      <c r="Q1988" s="836">
        <v>45430</v>
      </c>
      <c r="R1988" s="914"/>
    </row>
    <row r="1989" spans="1:20" s="178" customFormat="1" x14ac:dyDescent="0.25">
      <c r="A1989" s="225"/>
      <c r="B1989" s="225"/>
      <c r="C1989" s="318">
        <v>6</v>
      </c>
      <c r="D1989" s="178" t="s">
        <v>505</v>
      </c>
      <c r="E1989" s="213" t="s">
        <v>1331</v>
      </c>
      <c r="F1989" s="232">
        <v>8</v>
      </c>
      <c r="G1989" s="305">
        <v>9682</v>
      </c>
      <c r="H1989" s="232">
        <v>7766</v>
      </c>
      <c r="I1989" s="611">
        <f t="shared" si="475"/>
        <v>6.4168560214831647</v>
      </c>
      <c r="J1989" s="611">
        <f t="shared" si="476"/>
        <v>14.416856021483165</v>
      </c>
      <c r="K1989" s="612">
        <v>0.4</v>
      </c>
      <c r="L1989" s="611">
        <f t="shared" si="477"/>
        <v>20.18359843007643</v>
      </c>
      <c r="M1989" s="232">
        <v>25</v>
      </c>
      <c r="N1989" s="631"/>
      <c r="O1989" s="590"/>
      <c r="P1989" s="178" t="s">
        <v>2671</v>
      </c>
      <c r="Q1989" s="836">
        <v>45430</v>
      </c>
      <c r="R1989" s="914">
        <f>+M1989*14.5</f>
        <v>362.5</v>
      </c>
    </row>
    <row r="1990" spans="1:20" s="178" customFormat="1" x14ac:dyDescent="0.25">
      <c r="A1990" s="225"/>
      <c r="B1990" s="225"/>
      <c r="C1990" s="318">
        <v>7</v>
      </c>
      <c r="D1990" s="178" t="s">
        <v>802</v>
      </c>
      <c r="E1990" s="213" t="s">
        <v>1331</v>
      </c>
      <c r="F1990" s="232">
        <v>8</v>
      </c>
      <c r="G1990" s="305">
        <v>9682</v>
      </c>
      <c r="H1990" s="232">
        <v>7766</v>
      </c>
      <c r="I1990" s="611">
        <f t="shared" si="475"/>
        <v>6.4168560214831647</v>
      </c>
      <c r="J1990" s="611">
        <f t="shared" si="476"/>
        <v>14.416856021483165</v>
      </c>
      <c r="K1990" s="612">
        <v>0.4</v>
      </c>
      <c r="L1990" s="611">
        <f t="shared" si="477"/>
        <v>20.18359843007643</v>
      </c>
      <c r="M1990" s="232">
        <v>25</v>
      </c>
      <c r="N1990" s="631"/>
      <c r="O1990" s="590"/>
      <c r="P1990" s="178" t="s">
        <v>12</v>
      </c>
      <c r="Q1990" s="836">
        <v>45436</v>
      </c>
      <c r="R1990" s="914">
        <f>+M1990*14.5</f>
        <v>362.5</v>
      </c>
    </row>
    <row r="1991" spans="1:20" s="238" customFormat="1" x14ac:dyDescent="0.25">
      <c r="A1991" s="678"/>
      <c r="B1991" s="678"/>
      <c r="C1991" s="690"/>
      <c r="D1991" s="238" t="s">
        <v>801</v>
      </c>
      <c r="E1991" s="238" t="s">
        <v>1332</v>
      </c>
      <c r="F1991" s="631">
        <v>8</v>
      </c>
      <c r="G1991" s="677">
        <v>9682</v>
      </c>
      <c r="H1991" s="631">
        <v>7766</v>
      </c>
      <c r="I1991" s="663">
        <f t="shared" si="475"/>
        <v>6.4168560214831647</v>
      </c>
      <c r="J1991" s="663">
        <f t="shared" si="476"/>
        <v>14.416856021483165</v>
      </c>
      <c r="K1991" s="662">
        <v>0.4</v>
      </c>
      <c r="L1991" s="663">
        <f t="shared" si="477"/>
        <v>20.18359843007643</v>
      </c>
      <c r="M1991" s="631">
        <v>25</v>
      </c>
      <c r="N1991" s="631"/>
      <c r="Q1991" s="843"/>
      <c r="R1991" s="920"/>
    </row>
    <row r="1992" spans="1:20" s="178" customFormat="1" hidden="1" x14ac:dyDescent="0.25">
      <c r="A1992" s="225"/>
      <c r="B1992" s="225"/>
      <c r="C1992" s="318">
        <v>8</v>
      </c>
      <c r="D1992" s="178" t="s">
        <v>802</v>
      </c>
      <c r="E1992" s="213" t="s">
        <v>1332</v>
      </c>
      <c r="F1992" s="232">
        <v>8</v>
      </c>
      <c r="G1992" s="305">
        <v>9682</v>
      </c>
      <c r="H1992" s="232">
        <v>7766</v>
      </c>
      <c r="I1992" s="611">
        <f t="shared" si="475"/>
        <v>6.4168560214831647</v>
      </c>
      <c r="J1992" s="611">
        <f t="shared" si="476"/>
        <v>14.416856021483165</v>
      </c>
      <c r="K1992" s="612">
        <v>0.4</v>
      </c>
      <c r="L1992" s="611">
        <f t="shared" si="477"/>
        <v>20.18359843007643</v>
      </c>
      <c r="M1992" s="232">
        <v>25</v>
      </c>
      <c r="N1992" s="631"/>
      <c r="P1992" s="178" t="s">
        <v>12</v>
      </c>
      <c r="Q1992" s="836">
        <v>45227</v>
      </c>
      <c r="R1992" s="914">
        <f>+M1992*7800</f>
        <v>195000</v>
      </c>
    </row>
    <row r="1993" spans="1:20" s="178" customFormat="1" x14ac:dyDescent="0.25">
      <c r="A1993" s="225"/>
      <c r="B1993" s="225"/>
      <c r="C1993" s="318">
        <v>9</v>
      </c>
      <c r="D1993" s="178" t="s">
        <v>1333</v>
      </c>
      <c r="E1993" s="178" t="s">
        <v>1334</v>
      </c>
      <c r="F1993" s="226">
        <v>8</v>
      </c>
      <c r="G1993" s="227">
        <v>9682</v>
      </c>
      <c r="H1993" s="226">
        <v>7766</v>
      </c>
      <c r="I1993" s="174">
        <f t="shared" si="475"/>
        <v>6.4168560214831647</v>
      </c>
      <c r="J1993" s="174">
        <f t="shared" si="476"/>
        <v>14.416856021483165</v>
      </c>
      <c r="K1993" s="316">
        <v>0.4</v>
      </c>
      <c r="L1993" s="174">
        <f t="shared" si="477"/>
        <v>20.18359843007643</v>
      </c>
      <c r="M1993" s="226">
        <v>25</v>
      </c>
      <c r="N1993" s="631"/>
      <c r="O1993" s="590"/>
      <c r="Q1993" s="836"/>
      <c r="R1993" s="914"/>
    </row>
    <row r="1994" spans="1:20" s="178" customFormat="1" x14ac:dyDescent="0.25">
      <c r="A1994" s="225"/>
      <c r="B1994" s="225"/>
      <c r="C1994" s="318">
        <v>10</v>
      </c>
      <c r="D1994" s="178" t="s">
        <v>504</v>
      </c>
      <c r="E1994" s="178" t="s">
        <v>1334</v>
      </c>
      <c r="F1994" s="226">
        <v>8</v>
      </c>
      <c r="G1994" s="227">
        <v>9682</v>
      </c>
      <c r="H1994" s="226">
        <v>7766</v>
      </c>
      <c r="I1994" s="174">
        <f t="shared" si="475"/>
        <v>6.4168560214831647</v>
      </c>
      <c r="J1994" s="174">
        <f t="shared" si="476"/>
        <v>14.416856021483165</v>
      </c>
      <c r="K1994" s="316">
        <v>0.4</v>
      </c>
      <c r="L1994" s="174">
        <f t="shared" si="477"/>
        <v>20.18359843007643</v>
      </c>
      <c r="M1994" s="226">
        <v>25</v>
      </c>
      <c r="N1994" s="631"/>
      <c r="O1994" s="590"/>
      <c r="Q1994" s="836"/>
      <c r="R1994" s="914"/>
    </row>
    <row r="1995" spans="1:20" s="395" customFormat="1" ht="15.75" outlineLevel="1" x14ac:dyDescent="0.25">
      <c r="A1995" s="154"/>
      <c r="C1995" s="500"/>
      <c r="D1995" s="500"/>
      <c r="F1995" s="258"/>
      <c r="H1995" s="160"/>
      <c r="I1995" s="258"/>
      <c r="J1995" s="258"/>
      <c r="K1995" s="344"/>
      <c r="L1995" s="394">
        <f>+J1995*K1995+J1995</f>
        <v>0</v>
      </c>
      <c r="M1995" s="160"/>
      <c r="N1995" s="494"/>
      <c r="P1995" s="160"/>
      <c r="Q1995" s="834"/>
      <c r="R1995" s="913"/>
      <c r="S1995" s="11"/>
      <c r="T1995" s="11"/>
    </row>
    <row r="1996" spans="1:20" s="395" customFormat="1" ht="15.75" outlineLevel="1" x14ac:dyDescent="0.25">
      <c r="A1996" s="154"/>
      <c r="C1996" s="500"/>
      <c r="D1996" s="500"/>
      <c r="F1996" s="150">
        <f>SUM(F1979:F1981)</f>
        <v>32.5</v>
      </c>
      <c r="G1996" s="150">
        <f>SUM(G1979:G1981)</f>
        <v>22662</v>
      </c>
      <c r="H1996" s="160"/>
      <c r="I1996" s="150">
        <f>SUM(I1979:I1981)</f>
        <v>62.031374106433681</v>
      </c>
      <c r="J1996" s="150"/>
      <c r="K1996" s="150">
        <f>SUM(K1979:K1981)</f>
        <v>0.89999999999999991</v>
      </c>
      <c r="L1996" s="394">
        <f>+J1996*K1996+J1996</f>
        <v>0</v>
      </c>
      <c r="M1996" s="150">
        <f>SUM(M1979:M1995)</f>
        <v>410</v>
      </c>
      <c r="N1996" s="404"/>
      <c r="P1996" s="160"/>
      <c r="Q1996" s="834"/>
      <c r="R1996" s="913"/>
      <c r="S1996" s="11"/>
      <c r="T1996" s="11"/>
    </row>
    <row r="1997" spans="1:20" s="395" customFormat="1" ht="15.75" outlineLevel="1" x14ac:dyDescent="0.25">
      <c r="A1997" s="154"/>
      <c r="C1997" s="500"/>
      <c r="D1997" s="500"/>
      <c r="F1997" s="150"/>
      <c r="G1997" s="150"/>
      <c r="H1997" s="160"/>
      <c r="I1997" s="150"/>
      <c r="J1997" s="150"/>
      <c r="K1997" s="150"/>
      <c r="L1997" s="394"/>
      <c r="M1997" s="150"/>
      <c r="N1997" s="404"/>
      <c r="P1997" s="160"/>
      <c r="Q1997" s="834"/>
      <c r="R1997" s="913"/>
      <c r="S1997" s="11"/>
      <c r="T1997" s="11"/>
    </row>
    <row r="1998" spans="1:20" s="395" customFormat="1" ht="18.75" outlineLevel="1" x14ac:dyDescent="0.3">
      <c r="A1998" s="154"/>
      <c r="C1998" s="500"/>
      <c r="D1998" s="500"/>
      <c r="E1998" s="485" t="s">
        <v>1778</v>
      </c>
      <c r="F1998" s="150"/>
      <c r="G1998" s="150"/>
      <c r="H1998" s="160"/>
      <c r="I1998" s="150"/>
      <c r="J1998" s="150"/>
      <c r="K1998" s="150"/>
      <c r="L1998" s="394"/>
      <c r="M1998" s="150"/>
      <c r="N1998" s="404"/>
      <c r="P1998" s="160"/>
      <c r="Q1998" s="834"/>
      <c r="R1998" s="913"/>
      <c r="S1998" s="11"/>
      <c r="T1998" s="11"/>
    </row>
    <row r="1999" spans="1:20" s="395" customFormat="1" ht="15.75" outlineLevel="1" x14ac:dyDescent="0.25">
      <c r="A1999" s="154"/>
      <c r="B1999" s="502">
        <v>44501</v>
      </c>
      <c r="C1999" s="500"/>
      <c r="D1999" s="500"/>
      <c r="F1999" s="150"/>
      <c r="G1999" s="191"/>
      <c r="H1999" s="191"/>
      <c r="I1999" s="191"/>
      <c r="J1999" s="150"/>
      <c r="K1999" s="191"/>
      <c r="L1999" s="394">
        <f t="shared" ref="L1999:L2003" si="478">+J1999*K1999+J1999</f>
        <v>0</v>
      </c>
      <c r="M1999" s="150"/>
      <c r="N1999" s="404"/>
      <c r="P1999" s="160"/>
      <c r="Q1999" s="834"/>
      <c r="R1999" s="917"/>
      <c r="S1999" s="11"/>
      <c r="T1999" s="11"/>
    </row>
    <row r="2000" spans="1:20" s="337" customFormat="1" ht="15.75" x14ac:dyDescent="0.25">
      <c r="A2000" s="393"/>
      <c r="B2000" s="395" t="s">
        <v>659</v>
      </c>
      <c r="C2000" s="395">
        <v>1</v>
      </c>
      <c r="D2000" s="395"/>
      <c r="E2000" s="395" t="s">
        <v>660</v>
      </c>
      <c r="F2000" s="517">
        <v>2.5</v>
      </c>
      <c r="G2000" s="395">
        <v>6556</v>
      </c>
      <c r="H2000" s="394">
        <v>9750</v>
      </c>
      <c r="I2000" s="394">
        <f t="shared" ref="I2000:I2003" si="479">+F2000/G2000*H2000</f>
        <v>3.7179682733374011</v>
      </c>
      <c r="J2000" s="394">
        <f t="shared" ref="J2000:J2003" si="480">+F2000+I2000</f>
        <v>6.2179682733374015</v>
      </c>
      <c r="K2000" s="492">
        <v>0.3</v>
      </c>
      <c r="L2000" s="394">
        <f t="shared" si="478"/>
        <v>8.0833587553386224</v>
      </c>
      <c r="M2000" s="394">
        <v>10</v>
      </c>
      <c r="N2000" s="504"/>
      <c r="O2000" s="494"/>
      <c r="P2000" s="395"/>
      <c r="Q2000" s="833"/>
      <c r="R2000" s="396"/>
      <c r="S2000" s="395"/>
      <c r="T2000" s="395"/>
    </row>
    <row r="2001" spans="1:20" s="337" customFormat="1" ht="15.75" x14ac:dyDescent="0.25">
      <c r="A2001" s="393"/>
      <c r="B2001" s="395" t="s">
        <v>659</v>
      </c>
      <c r="C2001" s="395">
        <v>2</v>
      </c>
      <c r="D2001" s="395"/>
      <c r="E2001" s="395" t="s">
        <v>660</v>
      </c>
      <c r="F2001" s="517">
        <v>2.5</v>
      </c>
      <c r="G2001" s="395">
        <v>6556</v>
      </c>
      <c r="H2001" s="394">
        <v>9750</v>
      </c>
      <c r="I2001" s="394">
        <f t="shared" si="479"/>
        <v>3.7179682733374011</v>
      </c>
      <c r="J2001" s="394">
        <f t="shared" si="480"/>
        <v>6.2179682733374015</v>
      </c>
      <c r="K2001" s="492">
        <v>0.3</v>
      </c>
      <c r="L2001" s="394">
        <f t="shared" si="478"/>
        <v>8.0833587553386224</v>
      </c>
      <c r="M2001" s="394">
        <v>10</v>
      </c>
      <c r="N2001" s="504"/>
      <c r="O2001" s="494"/>
      <c r="P2001" s="395"/>
      <c r="Q2001" s="833"/>
      <c r="R2001" s="396"/>
      <c r="S2001" s="395"/>
      <c r="T2001" s="395"/>
    </row>
    <row r="2002" spans="1:20" s="337" customFormat="1" ht="15.75" x14ac:dyDescent="0.25">
      <c r="A2002" s="393"/>
      <c r="B2002" s="395" t="s">
        <v>659</v>
      </c>
      <c r="C2002" s="395">
        <v>3</v>
      </c>
      <c r="D2002" s="395"/>
      <c r="E2002" s="395" t="s">
        <v>660</v>
      </c>
      <c r="F2002" s="517">
        <v>2.5</v>
      </c>
      <c r="G2002" s="395">
        <v>6556</v>
      </c>
      <c r="H2002" s="394">
        <v>9750</v>
      </c>
      <c r="I2002" s="394">
        <f t="shared" si="479"/>
        <v>3.7179682733374011</v>
      </c>
      <c r="J2002" s="394">
        <f t="shared" si="480"/>
        <v>6.2179682733374015</v>
      </c>
      <c r="K2002" s="492">
        <v>0.3</v>
      </c>
      <c r="L2002" s="394">
        <f t="shared" si="478"/>
        <v>8.0833587553386224</v>
      </c>
      <c r="M2002" s="394">
        <v>10</v>
      </c>
      <c r="N2002" s="504"/>
      <c r="O2002" s="494"/>
      <c r="P2002" s="395"/>
      <c r="Q2002" s="833"/>
      <c r="R2002" s="396"/>
      <c r="S2002" s="395"/>
      <c r="T2002" s="395"/>
    </row>
    <row r="2003" spans="1:20" s="337" customFormat="1" ht="15.75" x14ac:dyDescent="0.25">
      <c r="A2003" s="393"/>
      <c r="B2003" s="395" t="s">
        <v>659</v>
      </c>
      <c r="C2003" s="395">
        <v>4</v>
      </c>
      <c r="D2003" s="395"/>
      <c r="E2003" s="395" t="s">
        <v>660</v>
      </c>
      <c r="F2003" s="517">
        <v>2.5</v>
      </c>
      <c r="G2003" s="395">
        <v>6556</v>
      </c>
      <c r="H2003" s="394">
        <v>9750</v>
      </c>
      <c r="I2003" s="394">
        <f t="shared" si="479"/>
        <v>3.7179682733374011</v>
      </c>
      <c r="J2003" s="394">
        <f t="shared" si="480"/>
        <v>6.2179682733374015</v>
      </c>
      <c r="K2003" s="492">
        <v>0.3</v>
      </c>
      <c r="L2003" s="394">
        <f t="shared" si="478"/>
        <v>8.0833587553386224</v>
      </c>
      <c r="M2003" s="394">
        <v>10</v>
      </c>
      <c r="N2003" s="504"/>
      <c r="O2003" s="494"/>
      <c r="P2003" s="395"/>
      <c r="Q2003" s="833"/>
      <c r="R2003" s="396"/>
      <c r="S2003" s="395"/>
      <c r="T2003" s="395"/>
    </row>
    <row r="2004" spans="1:20" ht="15" customHeight="1" x14ac:dyDescent="0.25">
      <c r="A2004" s="169"/>
      <c r="B2004" s="337" t="s">
        <v>1154</v>
      </c>
      <c r="C2004" s="337"/>
      <c r="D2004" s="337"/>
      <c r="E2004" s="589">
        <v>44986</v>
      </c>
      <c r="F2004" s="338"/>
      <c r="G2004" s="339"/>
      <c r="H2004" s="338"/>
      <c r="I2004" s="338"/>
      <c r="J2004" s="338"/>
      <c r="K2004" s="340"/>
      <c r="L2004" s="338"/>
      <c r="M2004" s="341"/>
      <c r="N2004" s="675"/>
      <c r="O2004" s="169"/>
      <c r="P2004" s="169"/>
      <c r="Q2004" s="835"/>
      <c r="R2004" s="580"/>
      <c r="S2004" s="337"/>
      <c r="T2004" s="337"/>
    </row>
    <row r="2005" spans="1:20" ht="15" hidden="1" customHeight="1" x14ac:dyDescent="0.25">
      <c r="A2005" s="169"/>
      <c r="B2005" s="331" t="s">
        <v>1201</v>
      </c>
      <c r="C2005" s="337">
        <v>5</v>
      </c>
      <c r="D2005" s="337"/>
      <c r="E2005" s="704" t="s">
        <v>1155</v>
      </c>
      <c r="F2005" s="695">
        <v>15</v>
      </c>
      <c r="G2005" s="705">
        <v>8267</v>
      </c>
      <c r="H2005" s="695">
        <v>7400</v>
      </c>
      <c r="I2005" s="695">
        <f t="shared" ref="I2005" si="481">+F2005/G2005*H2005</f>
        <v>13.426877948469819</v>
      </c>
      <c r="J2005" s="695">
        <f t="shared" ref="J2005" si="482">+F2005+I2005</f>
        <v>28.426877948469819</v>
      </c>
      <c r="K2005" s="706">
        <v>0.3</v>
      </c>
      <c r="L2005" s="695">
        <f t="shared" ref="L2005" si="483">+J2005*1.3</f>
        <v>36.954941333010765</v>
      </c>
      <c r="M2005" s="707">
        <v>50</v>
      </c>
      <c r="N2005" s="675">
        <v>25</v>
      </c>
      <c r="O2005" s="169"/>
      <c r="P2005" s="169" t="s">
        <v>1862</v>
      </c>
      <c r="Q2005" s="835">
        <v>45308</v>
      </c>
      <c r="R2005" s="580">
        <f>+N2005*7000</f>
        <v>175000</v>
      </c>
      <c r="S2005" s="337"/>
      <c r="T2005" s="337"/>
    </row>
    <row r="2006" spans="1:20" s="178" customFormat="1" ht="15.75" x14ac:dyDescent="0.25">
      <c r="A2006" s="319"/>
      <c r="B2006" s="319"/>
      <c r="C2006" s="319"/>
      <c r="E2006" s="549" t="s">
        <v>1364</v>
      </c>
      <c r="F2006" s="549"/>
      <c r="G2006" s="226"/>
      <c r="H2006" s="227"/>
      <c r="I2006" s="226"/>
      <c r="J2006" s="174"/>
      <c r="K2006" s="174"/>
      <c r="L2006" s="316"/>
      <c r="M2006" s="174"/>
      <c r="N2006" s="663"/>
      <c r="P2006" s="395"/>
      <c r="Q2006" s="833"/>
      <c r="R2006" s="914"/>
    </row>
    <row r="2007" spans="1:20" s="178" customFormat="1" ht="15.75" x14ac:dyDescent="0.25">
      <c r="A2007" s="319"/>
      <c r="B2007" s="319"/>
      <c r="C2007" s="178">
        <v>6</v>
      </c>
      <c r="E2007" s="337" t="s">
        <v>1324</v>
      </c>
      <c r="F2007" s="226">
        <v>7</v>
      </c>
      <c r="G2007" s="227">
        <v>9682</v>
      </c>
      <c r="H2007" s="226">
        <v>7766</v>
      </c>
      <c r="I2007" s="174">
        <f t="shared" ref="I2007:I2011" si="484">+F2007/G2007*H2007</f>
        <v>5.6147490187977693</v>
      </c>
      <c r="J2007" s="174">
        <f t="shared" ref="J2007:J2011" si="485">+F2007+I2007</f>
        <v>12.61474901879777</v>
      </c>
      <c r="K2007" s="316">
        <v>0.4</v>
      </c>
      <c r="L2007" s="174">
        <f t="shared" ref="L2007:L2011" si="486">+J2007*1.4</f>
        <v>17.660648626316878</v>
      </c>
      <c r="M2007" s="175">
        <v>25</v>
      </c>
      <c r="N2007" s="633"/>
      <c r="O2007" s="590"/>
      <c r="P2007" s="395"/>
      <c r="Q2007" s="833"/>
      <c r="R2007" s="914"/>
    </row>
    <row r="2008" spans="1:20" s="178" customFormat="1" ht="15.75" hidden="1" x14ac:dyDescent="0.25">
      <c r="A2008" s="319"/>
      <c r="B2008" s="319"/>
      <c r="C2008" s="178">
        <v>7</v>
      </c>
      <c r="E2008" s="704" t="s">
        <v>1732</v>
      </c>
      <c r="F2008" s="232">
        <v>7</v>
      </c>
      <c r="G2008" s="305">
        <v>9682</v>
      </c>
      <c r="H2008" s="232">
        <v>7766</v>
      </c>
      <c r="I2008" s="611">
        <f t="shared" si="484"/>
        <v>5.6147490187977693</v>
      </c>
      <c r="J2008" s="611">
        <f t="shared" si="485"/>
        <v>12.61474901879777</v>
      </c>
      <c r="K2008" s="612">
        <v>0.4</v>
      </c>
      <c r="L2008" s="611">
        <f t="shared" si="486"/>
        <v>17.660648626316878</v>
      </c>
      <c r="M2008" s="698">
        <v>25</v>
      </c>
      <c r="N2008" s="633"/>
      <c r="O2008" s="590"/>
      <c r="P2008" s="395" t="s">
        <v>12</v>
      </c>
      <c r="Q2008" s="833">
        <v>45357</v>
      </c>
      <c r="R2008" s="914">
        <f>+M2008*18000</f>
        <v>450000</v>
      </c>
    </row>
    <row r="2009" spans="1:20" s="178" customFormat="1" ht="15.75" x14ac:dyDescent="0.25">
      <c r="A2009" s="319"/>
      <c r="B2009" s="319"/>
      <c r="C2009" s="178">
        <v>8</v>
      </c>
      <c r="E2009" s="337" t="s">
        <v>1480</v>
      </c>
      <c r="F2009" s="226">
        <v>7</v>
      </c>
      <c r="G2009" s="227">
        <v>9682</v>
      </c>
      <c r="H2009" s="226">
        <v>7766</v>
      </c>
      <c r="I2009" s="174">
        <f t="shared" si="484"/>
        <v>5.6147490187977693</v>
      </c>
      <c r="J2009" s="174">
        <f t="shared" si="485"/>
        <v>12.61474901879777</v>
      </c>
      <c r="K2009" s="316">
        <v>0.4</v>
      </c>
      <c r="L2009" s="174">
        <f t="shared" si="486"/>
        <v>17.660648626316878</v>
      </c>
      <c r="M2009" s="175">
        <v>25</v>
      </c>
      <c r="N2009" s="633"/>
      <c r="O2009" s="590"/>
      <c r="P2009" s="395"/>
      <c r="Q2009" s="833"/>
      <c r="R2009" s="914"/>
    </row>
    <row r="2010" spans="1:20" s="178" customFormat="1" ht="15.75" hidden="1" x14ac:dyDescent="0.25">
      <c r="A2010" s="319"/>
      <c r="B2010" s="319"/>
      <c r="C2010" s="178">
        <v>9</v>
      </c>
      <c r="E2010" s="704" t="s">
        <v>1479</v>
      </c>
      <c r="F2010" s="232">
        <v>7</v>
      </c>
      <c r="G2010" s="305">
        <v>9682</v>
      </c>
      <c r="H2010" s="232">
        <v>7766</v>
      </c>
      <c r="I2010" s="611">
        <f t="shared" si="484"/>
        <v>5.6147490187977693</v>
      </c>
      <c r="J2010" s="611">
        <f t="shared" si="485"/>
        <v>12.61474901879777</v>
      </c>
      <c r="K2010" s="612">
        <v>0.4</v>
      </c>
      <c r="L2010" s="611">
        <f t="shared" si="486"/>
        <v>17.660648626316878</v>
      </c>
      <c r="M2010" s="698">
        <v>25</v>
      </c>
      <c r="N2010" s="633"/>
      <c r="O2010" s="590"/>
      <c r="P2010" s="395" t="s">
        <v>12</v>
      </c>
      <c r="Q2010" s="833">
        <v>45377</v>
      </c>
      <c r="R2010" s="914">
        <f>+M2010*20000</f>
        <v>500000</v>
      </c>
    </row>
    <row r="2011" spans="1:20" s="178" customFormat="1" ht="15.75" hidden="1" x14ac:dyDescent="0.25">
      <c r="A2011" s="319"/>
      <c r="B2011" s="319"/>
      <c r="C2011" s="178">
        <v>10</v>
      </c>
      <c r="E2011" s="704" t="s">
        <v>1733</v>
      </c>
      <c r="F2011" s="232">
        <v>7</v>
      </c>
      <c r="G2011" s="305">
        <v>9682</v>
      </c>
      <c r="H2011" s="232">
        <v>7766</v>
      </c>
      <c r="I2011" s="611">
        <f t="shared" si="484"/>
        <v>5.6147490187977693</v>
      </c>
      <c r="J2011" s="611">
        <f t="shared" si="485"/>
        <v>12.61474901879777</v>
      </c>
      <c r="K2011" s="612">
        <v>0.4</v>
      </c>
      <c r="L2011" s="611">
        <f t="shared" si="486"/>
        <v>17.660648626316878</v>
      </c>
      <c r="M2011" s="698">
        <v>25</v>
      </c>
      <c r="N2011" s="633"/>
      <c r="O2011" s="590"/>
      <c r="P2011" s="395" t="s">
        <v>12</v>
      </c>
      <c r="Q2011" s="833">
        <v>45454</v>
      </c>
      <c r="R2011" s="914">
        <f>+M2011*14.5</f>
        <v>362.5</v>
      </c>
    </row>
    <row r="2012" spans="1:20" ht="15" customHeight="1" x14ac:dyDescent="0.25">
      <c r="B2012" s="395"/>
      <c r="C2012" s="500"/>
      <c r="D2012" s="500"/>
      <c r="E2012" s="393" t="s">
        <v>705</v>
      </c>
      <c r="F2012" s="150">
        <f t="shared" ref="F2012:M2012" si="487">SUM(F2000:F2003)</f>
        <v>10</v>
      </c>
      <c r="G2012" s="150">
        <f t="shared" si="487"/>
        <v>26224</v>
      </c>
      <c r="H2012" s="150">
        <f t="shared" si="487"/>
        <v>39000</v>
      </c>
      <c r="I2012" s="150">
        <f t="shared" si="487"/>
        <v>14.871873093349604</v>
      </c>
      <c r="J2012" s="150">
        <f t="shared" si="487"/>
        <v>24.871873093349606</v>
      </c>
      <c r="K2012" s="150">
        <f t="shared" si="487"/>
        <v>1.2</v>
      </c>
      <c r="L2012" s="150">
        <f t="shared" si="487"/>
        <v>32.333435021354489</v>
      </c>
      <c r="M2012" s="150">
        <f t="shared" si="487"/>
        <v>40</v>
      </c>
      <c r="N2012" s="404"/>
      <c r="O2012" s="395"/>
      <c r="P2012" s="160"/>
      <c r="Q2012" s="834"/>
      <c r="R2012" s="917"/>
    </row>
    <row r="2013" spans="1:20" ht="15" customHeight="1" x14ac:dyDescent="0.25">
      <c r="B2013" s="395"/>
      <c r="C2013" s="500">
        <v>24</v>
      </c>
      <c r="D2013" s="500">
        <v>-14</v>
      </c>
      <c r="E2013" s="395"/>
      <c r="F2013" s="258"/>
      <c r="G2013" s="160"/>
      <c r="H2013" s="160"/>
      <c r="M2013" s="258"/>
      <c r="N2013" s="504"/>
      <c r="O2013" s="395"/>
      <c r="P2013" s="160"/>
      <c r="Q2013" s="834"/>
      <c r="R2013" s="913"/>
    </row>
    <row r="2014" spans="1:20" ht="15" customHeight="1" x14ac:dyDescent="0.25">
      <c r="B2014" s="395"/>
      <c r="C2014" s="500"/>
      <c r="D2014" s="500"/>
      <c r="E2014" s="395"/>
      <c r="F2014" s="258"/>
      <c r="G2014" s="160"/>
      <c r="H2014" s="160"/>
      <c r="M2014" s="394"/>
      <c r="N2014" s="504"/>
      <c r="O2014" s="395"/>
      <c r="P2014" s="160"/>
      <c r="Q2014" s="834"/>
      <c r="R2014" s="913"/>
    </row>
    <row r="2015" spans="1:20" ht="15" customHeight="1" x14ac:dyDescent="0.25">
      <c r="B2015" s="395"/>
      <c r="C2015" s="500"/>
      <c r="D2015" s="500"/>
      <c r="E2015" s="395"/>
      <c r="F2015" s="258"/>
      <c r="G2015" s="160"/>
      <c r="H2015" s="160"/>
      <c r="M2015" s="258"/>
      <c r="N2015" s="504"/>
      <c r="O2015" s="395"/>
      <c r="P2015" s="160"/>
      <c r="Q2015" s="834"/>
      <c r="R2015" s="913"/>
    </row>
  </sheetData>
  <printOptions headings="1" gridLines="1"/>
  <pageMargins left="0" right="0" top="0" bottom="0" header="0" footer="0"/>
  <pageSetup paperSize="9" scale="68" fitToHeight="0" orientation="portrait" r:id="rId1"/>
  <headerFooter>
    <oddFooter>Page &amp;P of &amp;N</oddFooter>
  </headerFooter>
  <rowBreaks count="11" manualBreakCount="11">
    <brk id="211" min="1" max="19" man="1"/>
    <brk id="258" min="1" max="19" man="1"/>
    <brk id="379" min="1" max="19" man="1"/>
    <brk id="894" min="1" max="19" man="1"/>
    <brk id="1033" min="1" max="19" man="1"/>
    <brk id="1143" min="1" max="19" man="1"/>
    <brk id="1249" min="1" max="19" man="1"/>
    <brk id="1411" min="1" max="19" man="1"/>
    <brk id="1471" min="1" max="19" man="1"/>
    <brk id="1534" min="1" max="19" man="1"/>
    <brk id="2013" min="1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"/>
  <sheetViews>
    <sheetView zoomScale="120" zoomScaleNormal="120" workbookViewId="0">
      <pane ySplit="1" topLeftCell="A68" activePane="bottomLeft" state="frozen"/>
      <selection activeCell="D14" sqref="D14"/>
      <selection pane="bottomLeft" activeCell="A116" sqref="A116:XFD139"/>
    </sheetView>
  </sheetViews>
  <sheetFormatPr defaultRowHeight="15" x14ac:dyDescent="0.25"/>
  <cols>
    <col min="2" max="2" width="11.140625" customWidth="1"/>
    <col min="3" max="3" width="11.5703125" customWidth="1"/>
    <col min="4" max="4" width="27.7109375" customWidth="1"/>
    <col min="5" max="5" width="9.140625" style="334"/>
    <col min="7" max="8" width="9.140625" style="49"/>
    <col min="10" max="10" width="9.85546875" style="363" bestFit="1" customWidth="1"/>
    <col min="12" max="12" width="10.7109375" bestFit="1" customWidth="1"/>
    <col min="14" max="14" width="8.7109375" customWidth="1"/>
    <col min="16" max="16" width="9.85546875" bestFit="1" customWidth="1"/>
  </cols>
  <sheetData>
    <row r="1" spans="1:15" s="54" customFormat="1" ht="31.5" x14ac:dyDescent="0.25">
      <c r="A1" s="66" t="s">
        <v>703</v>
      </c>
      <c r="B1" s="66" t="s">
        <v>128</v>
      </c>
      <c r="C1" s="85" t="s">
        <v>208</v>
      </c>
      <c r="D1" s="66" t="s">
        <v>68</v>
      </c>
      <c r="E1" s="333" t="s">
        <v>209</v>
      </c>
      <c r="F1" s="66" t="s">
        <v>207</v>
      </c>
      <c r="G1" s="117" t="s">
        <v>205</v>
      </c>
      <c r="H1" s="117" t="s">
        <v>206</v>
      </c>
      <c r="I1" s="67" t="s">
        <v>66</v>
      </c>
      <c r="J1" s="96" t="s">
        <v>293</v>
      </c>
      <c r="L1" s="66" t="s">
        <v>66</v>
      </c>
      <c r="O1" s="54" t="s">
        <v>66</v>
      </c>
    </row>
    <row r="2" spans="1:15" s="146" customFormat="1" x14ac:dyDescent="0.25">
      <c r="B2" s="148"/>
      <c r="E2" s="608"/>
      <c r="F2" s="225"/>
      <c r="G2" s="609"/>
      <c r="H2" s="610"/>
      <c r="J2" s="363"/>
    </row>
    <row r="3" spans="1:15" s="146" customFormat="1" hidden="1" x14ac:dyDescent="0.25">
      <c r="A3" s="95"/>
      <c r="B3" s="737">
        <v>45220</v>
      </c>
      <c r="C3" s="95"/>
      <c r="D3" s="95" t="s">
        <v>1632</v>
      </c>
      <c r="E3" s="738"/>
      <c r="F3" s="739">
        <v>125</v>
      </c>
      <c r="G3" s="363"/>
      <c r="H3" s="740">
        <v>-50</v>
      </c>
      <c r="I3" s="95"/>
      <c r="J3" s="363"/>
    </row>
    <row r="4" spans="1:15" s="146" customFormat="1" hidden="1" x14ac:dyDescent="0.25">
      <c r="A4" s="95"/>
      <c r="B4" s="737"/>
      <c r="C4" s="737">
        <v>45231</v>
      </c>
      <c r="D4" s="95"/>
      <c r="E4" s="738"/>
      <c r="F4" s="739">
        <v>35</v>
      </c>
      <c r="G4" s="363"/>
      <c r="H4" s="740">
        <v>-75</v>
      </c>
      <c r="I4" s="95"/>
      <c r="J4" s="363"/>
    </row>
    <row r="5" spans="1:15" s="146" customFormat="1" hidden="1" x14ac:dyDescent="0.25">
      <c r="A5" s="95"/>
      <c r="B5" s="737"/>
      <c r="C5" s="95"/>
      <c r="D5" s="95"/>
      <c r="E5" s="738"/>
      <c r="F5" s="739"/>
      <c r="G5" s="363"/>
      <c r="H5" s="740">
        <v>-10</v>
      </c>
      <c r="I5" s="95"/>
      <c r="J5" s="363"/>
    </row>
    <row r="6" spans="1:15" s="146" customFormat="1" ht="15.75" hidden="1" thickBot="1" x14ac:dyDescent="0.3">
      <c r="A6" s="95"/>
      <c r="B6" s="737"/>
      <c r="C6" s="737">
        <v>45314</v>
      </c>
      <c r="D6" s="95"/>
      <c r="E6" s="738"/>
      <c r="F6" s="739"/>
      <c r="G6" s="363"/>
      <c r="H6" s="740">
        <v>-25</v>
      </c>
      <c r="I6" s="95"/>
      <c r="J6" s="363"/>
    </row>
    <row r="7" spans="1:15" s="146" customFormat="1" ht="15.75" hidden="1" thickBot="1" x14ac:dyDescent="0.3">
      <c r="A7" s="95"/>
      <c r="B7" s="737"/>
      <c r="C7" s="95"/>
      <c r="D7" s="95"/>
      <c r="E7" s="738"/>
      <c r="F7" s="364">
        <f>SUM(F3:F5)</f>
        <v>160</v>
      </c>
      <c r="G7" s="363"/>
      <c r="H7" s="364">
        <f>SUM(H3:H6)</f>
        <v>-160</v>
      </c>
      <c r="I7" s="95"/>
      <c r="J7" s="363">
        <f>+F7+H7</f>
        <v>0</v>
      </c>
    </row>
    <row r="8" spans="1:15" s="146" customFormat="1" hidden="1" x14ac:dyDescent="0.25">
      <c r="B8" s="148"/>
      <c r="E8" s="608"/>
      <c r="F8" s="225"/>
      <c r="G8" s="609"/>
      <c r="H8" s="610"/>
      <c r="J8" s="363"/>
    </row>
    <row r="9" spans="1:15" s="146" customFormat="1" hidden="1" x14ac:dyDescent="0.25">
      <c r="B9" s="148"/>
      <c r="E9" s="608"/>
      <c r="F9" s="225"/>
      <c r="G9" s="609"/>
      <c r="H9" s="610"/>
      <c r="J9" s="363"/>
    </row>
    <row r="10" spans="1:15" s="146" customFormat="1" hidden="1" x14ac:dyDescent="0.25">
      <c r="A10" s="95"/>
      <c r="B10" s="737">
        <v>45229</v>
      </c>
      <c r="C10" s="95"/>
      <c r="D10" s="95" t="s">
        <v>1746</v>
      </c>
      <c r="E10" s="738"/>
      <c r="F10" s="739">
        <f>35+35</f>
        <v>70</v>
      </c>
      <c r="G10" s="363"/>
      <c r="H10" s="740">
        <v>-25</v>
      </c>
      <c r="I10" s="95"/>
      <c r="J10" s="363"/>
    </row>
    <row r="11" spans="1:15" s="146" customFormat="1" hidden="1" x14ac:dyDescent="0.25">
      <c r="A11" s="95"/>
      <c r="B11" s="737"/>
      <c r="C11" s="737">
        <v>45280</v>
      </c>
      <c r="D11" s="95"/>
      <c r="E11" s="738"/>
      <c r="F11" s="739"/>
      <c r="G11" s="363"/>
      <c r="H11" s="740">
        <v>-20</v>
      </c>
      <c r="I11" s="95"/>
      <c r="J11" s="363"/>
    </row>
    <row r="12" spans="1:15" s="146" customFormat="1" ht="15.75" hidden="1" thickBot="1" x14ac:dyDescent="0.3">
      <c r="A12" s="95"/>
      <c r="B12" s="737"/>
      <c r="C12" s="737">
        <v>45330</v>
      </c>
      <c r="D12" s="95"/>
      <c r="E12" s="738"/>
      <c r="F12" s="739"/>
      <c r="G12" s="363"/>
      <c r="H12" s="740">
        <v>-25</v>
      </c>
      <c r="I12" s="95"/>
      <c r="J12" s="363"/>
    </row>
    <row r="13" spans="1:15" s="146" customFormat="1" ht="15.75" hidden="1" thickBot="1" x14ac:dyDescent="0.3">
      <c r="A13" s="95"/>
      <c r="B13" s="737"/>
      <c r="C13" s="95"/>
      <c r="D13" s="95"/>
      <c r="E13" s="738"/>
      <c r="F13" s="364">
        <f>SUM(F10:F11)</f>
        <v>70</v>
      </c>
      <c r="G13" s="363"/>
      <c r="H13" s="364">
        <f>SUM(H10:H12)</f>
        <v>-70</v>
      </c>
      <c r="I13" s="95"/>
      <c r="J13" s="363">
        <f>+F13+H13</f>
        <v>0</v>
      </c>
    </row>
    <row r="14" spans="1:15" s="146" customFormat="1" hidden="1" x14ac:dyDescent="0.25">
      <c r="A14" s="95"/>
      <c r="B14" s="737"/>
      <c r="C14" s="95"/>
      <c r="D14" s="95"/>
      <c r="E14" s="738"/>
      <c r="F14" s="739"/>
      <c r="G14" s="363"/>
      <c r="H14" s="740"/>
      <c r="I14" s="95"/>
      <c r="J14" s="363"/>
    </row>
    <row r="15" spans="1:15" s="146" customFormat="1" hidden="1" x14ac:dyDescent="0.25">
      <c r="B15" s="148"/>
      <c r="E15" s="608"/>
      <c r="F15" s="225"/>
      <c r="G15" s="609"/>
      <c r="H15" s="610"/>
      <c r="J15" s="363"/>
    </row>
    <row r="16" spans="1:15" s="146" customFormat="1" hidden="1" x14ac:dyDescent="0.25">
      <c r="A16" s="95"/>
      <c r="B16" s="737">
        <v>45243</v>
      </c>
      <c r="C16" s="95"/>
      <c r="D16" s="95" t="s">
        <v>1674</v>
      </c>
      <c r="E16" s="738"/>
      <c r="F16" s="739">
        <v>55</v>
      </c>
      <c r="G16" s="363"/>
      <c r="H16" s="740">
        <v>-20</v>
      </c>
      <c r="I16" s="95"/>
      <c r="J16" s="363"/>
    </row>
    <row r="17" spans="1:12" s="146" customFormat="1" hidden="1" x14ac:dyDescent="0.25">
      <c r="A17" s="95"/>
      <c r="B17" s="737"/>
      <c r="C17" s="737">
        <v>45252</v>
      </c>
      <c r="D17" s="95"/>
      <c r="E17" s="738"/>
      <c r="F17" s="739"/>
      <c r="G17" s="363"/>
      <c r="H17" s="740">
        <v>-15</v>
      </c>
      <c r="I17" s="95"/>
      <c r="J17" s="363"/>
    </row>
    <row r="18" spans="1:12" s="146" customFormat="1" hidden="1" x14ac:dyDescent="0.25">
      <c r="A18" s="95"/>
      <c r="B18" s="737">
        <v>45290</v>
      </c>
      <c r="C18" s="95"/>
      <c r="D18" s="95"/>
      <c r="E18" s="738"/>
      <c r="F18" s="739">
        <v>55</v>
      </c>
      <c r="G18" s="363"/>
      <c r="H18" s="740">
        <v>-20</v>
      </c>
      <c r="I18" s="95"/>
      <c r="J18" s="363"/>
    </row>
    <row r="19" spans="1:12" s="146" customFormat="1" hidden="1" x14ac:dyDescent="0.25">
      <c r="A19" s="95"/>
      <c r="B19" s="737"/>
      <c r="C19" s="737">
        <v>45293</v>
      </c>
      <c r="D19" s="95"/>
      <c r="E19" s="738"/>
      <c r="F19" s="739"/>
      <c r="G19" s="363"/>
      <c r="H19" s="740">
        <v>-20</v>
      </c>
      <c r="I19" s="95"/>
      <c r="J19" s="363"/>
    </row>
    <row r="20" spans="1:12" s="146" customFormat="1" hidden="1" x14ac:dyDescent="0.25">
      <c r="A20" s="95"/>
      <c r="B20" s="95"/>
      <c r="C20" s="737">
        <v>45293</v>
      </c>
      <c r="D20" s="95"/>
      <c r="E20" s="738"/>
      <c r="F20" s="739"/>
      <c r="G20" s="363"/>
      <c r="H20" s="740">
        <v>-20</v>
      </c>
      <c r="I20" s="95"/>
      <c r="J20" s="363"/>
    </row>
    <row r="21" spans="1:12" s="146" customFormat="1" hidden="1" x14ac:dyDescent="0.25">
      <c r="A21" s="95"/>
      <c r="B21" s="95"/>
      <c r="C21" s="737">
        <v>45295</v>
      </c>
      <c r="D21" s="95"/>
      <c r="E21" s="738"/>
      <c r="F21" s="739"/>
      <c r="G21" s="363"/>
      <c r="H21" s="740">
        <v>-15</v>
      </c>
      <c r="I21" s="95"/>
      <c r="J21" s="363"/>
    </row>
    <row r="22" spans="1:12" s="146" customFormat="1" hidden="1" x14ac:dyDescent="0.25">
      <c r="A22" s="95"/>
      <c r="B22" s="95"/>
      <c r="C22" s="737">
        <v>45295</v>
      </c>
      <c r="D22" s="95"/>
      <c r="E22" s="738"/>
      <c r="F22" s="739">
        <v>55</v>
      </c>
      <c r="G22" s="363"/>
      <c r="H22" s="740">
        <v>-15</v>
      </c>
      <c r="I22" s="95"/>
      <c r="J22" s="363"/>
    </row>
    <row r="23" spans="1:12" s="146" customFormat="1" hidden="1" x14ac:dyDescent="0.25">
      <c r="A23" s="95"/>
      <c r="B23" s="95"/>
      <c r="C23" s="737">
        <v>45306</v>
      </c>
      <c r="D23" s="95"/>
      <c r="E23" s="738"/>
      <c r="F23" s="739"/>
      <c r="G23" s="363"/>
      <c r="H23" s="740">
        <v>-20</v>
      </c>
      <c r="I23" s="95"/>
      <c r="J23" s="363"/>
    </row>
    <row r="24" spans="1:12" s="146" customFormat="1" hidden="1" x14ac:dyDescent="0.25">
      <c r="A24" s="95"/>
      <c r="B24" s="95"/>
      <c r="C24" s="737">
        <v>45313</v>
      </c>
      <c r="D24" s="95"/>
      <c r="E24" s="738"/>
      <c r="F24" s="739"/>
      <c r="G24" s="363"/>
      <c r="H24" s="740">
        <v>-10</v>
      </c>
      <c r="I24" s="95"/>
      <c r="J24" s="363"/>
    </row>
    <row r="25" spans="1:12" s="146" customFormat="1" ht="15.75" hidden="1" thickBot="1" x14ac:dyDescent="0.3">
      <c r="A25" s="95"/>
      <c r="B25" s="95"/>
      <c r="C25" s="737">
        <v>45321</v>
      </c>
      <c r="D25" s="95"/>
      <c r="E25" s="738"/>
      <c r="F25" s="739"/>
      <c r="G25" s="363"/>
      <c r="H25" s="740">
        <v>-10</v>
      </c>
      <c r="I25" s="95"/>
      <c r="J25" s="363"/>
    </row>
    <row r="26" spans="1:12" s="146" customFormat="1" ht="15.75" hidden="1" thickBot="1" x14ac:dyDescent="0.3">
      <c r="A26" s="95"/>
      <c r="B26" s="737"/>
      <c r="C26" s="95"/>
      <c r="D26" s="95"/>
      <c r="E26" s="738"/>
      <c r="F26" s="364">
        <f>SUM(F16:F25)</f>
        <v>165</v>
      </c>
      <c r="G26" s="364">
        <f t="shared" ref="G26" si="0">SUM(G16:G25)</f>
        <v>0</v>
      </c>
      <c r="H26" s="364">
        <f>SUM(H16:H25)</f>
        <v>-165</v>
      </c>
      <c r="I26" s="95"/>
      <c r="J26" s="363">
        <f>+F26+H26</f>
        <v>0</v>
      </c>
    </row>
    <row r="27" spans="1:12" s="146" customFormat="1" hidden="1" x14ac:dyDescent="0.25">
      <c r="B27" s="148"/>
      <c r="E27" s="608"/>
      <c r="F27" s="225"/>
      <c r="G27" s="609"/>
      <c r="H27" s="610"/>
      <c r="J27" s="363"/>
    </row>
    <row r="28" spans="1:12" s="146" customFormat="1" hidden="1" x14ac:dyDescent="0.25">
      <c r="B28" s="148"/>
      <c r="E28" s="608"/>
      <c r="F28" s="225"/>
      <c r="G28" s="609"/>
      <c r="H28" s="610"/>
      <c r="J28" s="363"/>
    </row>
    <row r="29" spans="1:12" s="146" customFormat="1" hidden="1" x14ac:dyDescent="0.25">
      <c r="A29" s="95"/>
      <c r="B29" s="737">
        <v>45273</v>
      </c>
      <c r="C29" s="95"/>
      <c r="D29" s="95" t="s">
        <v>1631</v>
      </c>
      <c r="E29" s="738"/>
      <c r="F29" s="739">
        <v>55</v>
      </c>
      <c r="G29" s="363"/>
      <c r="H29" s="740">
        <v>-25</v>
      </c>
      <c r="I29" s="95"/>
      <c r="J29" s="363"/>
      <c r="L29" s="146">
        <v>787654076</v>
      </c>
    </row>
    <row r="30" spans="1:12" s="146" customFormat="1" hidden="1" x14ac:dyDescent="0.25">
      <c r="A30" s="95"/>
      <c r="B30" s="737"/>
      <c r="C30" s="737">
        <v>45275</v>
      </c>
      <c r="D30" s="95"/>
      <c r="E30" s="738"/>
      <c r="F30" s="739"/>
      <c r="G30" s="363"/>
      <c r="H30" s="740">
        <v>-30</v>
      </c>
      <c r="I30" s="95"/>
      <c r="J30" s="363"/>
    </row>
    <row r="31" spans="1:12" s="146" customFormat="1" hidden="1" x14ac:dyDescent="0.25">
      <c r="A31" s="95"/>
      <c r="B31" s="737">
        <v>45278</v>
      </c>
      <c r="C31" s="95"/>
      <c r="D31" s="95"/>
      <c r="E31" s="738"/>
      <c r="F31" s="739">
        <v>70</v>
      </c>
      <c r="G31" s="363"/>
      <c r="H31" s="740">
        <v>-15</v>
      </c>
      <c r="I31" s="95"/>
      <c r="J31" s="363"/>
    </row>
    <row r="32" spans="1:12" s="146" customFormat="1" hidden="1" x14ac:dyDescent="0.25">
      <c r="A32" s="95"/>
      <c r="B32" s="737"/>
      <c r="C32" s="737">
        <v>45313</v>
      </c>
      <c r="D32" s="95"/>
      <c r="E32" s="738"/>
      <c r="F32" s="739"/>
      <c r="G32" s="363"/>
      <c r="H32" s="740">
        <v>-55</v>
      </c>
      <c r="I32" s="95"/>
      <c r="J32" s="363"/>
    </row>
    <row r="33" spans="1:10" s="146" customFormat="1" ht="15.75" hidden="1" thickBot="1" x14ac:dyDescent="0.3">
      <c r="A33" s="95"/>
      <c r="B33" s="737"/>
      <c r="C33" s="95"/>
      <c r="D33" s="95"/>
      <c r="E33" s="738"/>
      <c r="F33" s="739"/>
      <c r="G33" s="363"/>
      <c r="H33" s="740"/>
      <c r="I33" s="95"/>
      <c r="J33" s="363"/>
    </row>
    <row r="34" spans="1:10" s="146" customFormat="1" ht="15.75" hidden="1" thickBot="1" x14ac:dyDescent="0.3">
      <c r="A34" s="95"/>
      <c r="B34" s="737"/>
      <c r="C34" s="95"/>
      <c r="D34" s="95"/>
      <c r="E34" s="738"/>
      <c r="F34" s="364">
        <f>SUM(F29:F31)</f>
        <v>125</v>
      </c>
      <c r="G34" s="363"/>
      <c r="H34" s="364">
        <f>SUM(H29:H32)</f>
        <v>-125</v>
      </c>
      <c r="I34" s="95"/>
      <c r="J34" s="363">
        <f>+F34+H34</f>
        <v>0</v>
      </c>
    </row>
    <row r="35" spans="1:10" s="146" customFormat="1" hidden="1" x14ac:dyDescent="0.25">
      <c r="B35" s="148"/>
      <c r="E35" s="608"/>
      <c r="F35" s="225"/>
      <c r="G35" s="609"/>
      <c r="H35" s="610"/>
      <c r="J35" s="363"/>
    </row>
    <row r="36" spans="1:10" s="146" customFormat="1" hidden="1" x14ac:dyDescent="0.25">
      <c r="B36" s="148"/>
      <c r="E36" s="608"/>
      <c r="F36" s="225"/>
      <c r="G36" s="609"/>
      <c r="H36" s="610"/>
      <c r="J36" s="363"/>
    </row>
    <row r="37" spans="1:10" s="146" customFormat="1" hidden="1" x14ac:dyDescent="0.25">
      <c r="A37" s="95"/>
      <c r="B37" s="737">
        <v>45281</v>
      </c>
      <c r="C37" s="95"/>
      <c r="D37" s="95" t="s">
        <v>1373</v>
      </c>
      <c r="E37" s="738"/>
      <c r="F37" s="739">
        <v>420</v>
      </c>
      <c r="G37" s="363"/>
      <c r="H37" s="740">
        <v>-300</v>
      </c>
      <c r="I37" s="95"/>
      <c r="J37" s="363"/>
    </row>
    <row r="38" spans="1:10" s="146" customFormat="1" hidden="1" x14ac:dyDescent="0.25">
      <c r="A38" s="95"/>
      <c r="B38" s="737"/>
      <c r="C38" s="95"/>
      <c r="D38" s="95" t="s">
        <v>1845</v>
      </c>
      <c r="E38" s="738"/>
      <c r="F38" s="739"/>
      <c r="G38" s="363"/>
      <c r="H38" s="740">
        <v>-105</v>
      </c>
      <c r="I38" s="95"/>
      <c r="J38" s="363"/>
    </row>
    <row r="39" spans="1:10" s="146" customFormat="1" ht="15.75" hidden="1" thickBot="1" x14ac:dyDescent="0.3">
      <c r="A39" s="95"/>
      <c r="B39" s="737"/>
      <c r="C39" s="95"/>
      <c r="D39" s="95"/>
      <c r="E39" s="738"/>
      <c r="F39" s="739"/>
      <c r="G39" s="363"/>
      <c r="H39" s="740">
        <v>-15</v>
      </c>
      <c r="I39" s="95"/>
      <c r="J39" s="363"/>
    </row>
    <row r="40" spans="1:10" s="146" customFormat="1" ht="15.75" hidden="1" thickBot="1" x14ac:dyDescent="0.3">
      <c r="A40" s="95"/>
      <c r="B40" s="737"/>
      <c r="C40" s="95"/>
      <c r="D40" s="95"/>
      <c r="E40" s="738"/>
      <c r="F40" s="364">
        <f>SUM(F37:F39)</f>
        <v>420</v>
      </c>
      <c r="G40" s="363"/>
      <c r="H40" s="364">
        <f>SUM(H37:H39)</f>
        <v>-420</v>
      </c>
      <c r="I40" s="95"/>
      <c r="J40" s="363">
        <f>+F40+H40</f>
        <v>0</v>
      </c>
    </row>
    <row r="41" spans="1:10" s="146" customFormat="1" hidden="1" x14ac:dyDescent="0.25">
      <c r="B41" s="148"/>
      <c r="E41" s="608"/>
      <c r="F41" s="225"/>
      <c r="G41" s="609"/>
      <c r="H41" s="610"/>
      <c r="J41" s="363"/>
    </row>
    <row r="42" spans="1:10" hidden="1" x14ac:dyDescent="0.25">
      <c r="C42" s="6"/>
      <c r="F42" s="162"/>
      <c r="H42" s="64"/>
    </row>
    <row r="43" spans="1:10" hidden="1" x14ac:dyDescent="0.25">
      <c r="A43" s="95"/>
      <c r="B43" s="737">
        <v>45294</v>
      </c>
      <c r="C43" s="737"/>
      <c r="D43" s="95" t="s">
        <v>1814</v>
      </c>
      <c r="E43" s="738"/>
      <c r="F43" s="739">
        <v>200</v>
      </c>
      <c r="G43" s="363"/>
      <c r="H43" s="740">
        <v>-80</v>
      </c>
      <c r="I43" s="95"/>
    </row>
    <row r="44" spans="1:10" hidden="1" x14ac:dyDescent="0.25">
      <c r="A44" s="95"/>
      <c r="B44" s="95"/>
      <c r="C44" s="737">
        <v>45318</v>
      </c>
      <c r="D44" s="95"/>
      <c r="E44" s="738"/>
      <c r="F44" s="739"/>
      <c r="G44" s="363"/>
      <c r="H44" s="740">
        <v>-90</v>
      </c>
      <c r="I44" s="95"/>
    </row>
    <row r="45" spans="1:10" ht="15.75" hidden="1" thickBot="1" x14ac:dyDescent="0.3">
      <c r="A45" s="95"/>
      <c r="B45" s="95"/>
      <c r="C45" s="737">
        <v>45338</v>
      </c>
      <c r="D45" s="95"/>
      <c r="E45" s="738"/>
      <c r="F45" s="739"/>
      <c r="G45" s="363"/>
      <c r="H45" s="740">
        <v>-30</v>
      </c>
      <c r="I45" s="95"/>
    </row>
    <row r="46" spans="1:10" ht="15.75" hidden="1" thickBot="1" x14ac:dyDescent="0.3">
      <c r="A46" s="95"/>
      <c r="B46" s="95"/>
      <c r="C46" s="737"/>
      <c r="D46" s="95"/>
      <c r="E46" s="738"/>
      <c r="F46" s="782">
        <f>SUM(F43:F44)</f>
        <v>200</v>
      </c>
      <c r="G46" s="574"/>
      <c r="H46" s="364">
        <f>SUM(H43:H45)</f>
        <v>-200</v>
      </c>
      <c r="I46" s="95"/>
      <c r="J46" s="363">
        <f>+F46+H46</f>
        <v>0</v>
      </c>
    </row>
    <row r="47" spans="1:10" hidden="1" x14ac:dyDescent="0.25">
      <c r="C47" s="6"/>
      <c r="F47" s="162"/>
      <c r="H47" s="64"/>
    </row>
    <row r="48" spans="1:10" x14ac:dyDescent="0.25">
      <c r="F48" s="162"/>
      <c r="H48" s="64"/>
    </row>
    <row r="49" spans="1:10" x14ac:dyDescent="0.25">
      <c r="B49" s="6">
        <v>45308</v>
      </c>
      <c r="D49" t="s">
        <v>1861</v>
      </c>
      <c r="F49" s="162">
        <v>25</v>
      </c>
      <c r="H49" s="64">
        <v>-10</v>
      </c>
    </row>
    <row r="50" spans="1:10" ht="15.75" thickBot="1" x14ac:dyDescent="0.3">
      <c r="C50" s="6">
        <v>45322</v>
      </c>
      <c r="F50" s="162"/>
      <c r="H50" s="64">
        <v>-10</v>
      </c>
    </row>
    <row r="51" spans="1:10" ht="15.75" thickBot="1" x14ac:dyDescent="0.3">
      <c r="F51" s="114">
        <f>SUM(F49:F50)</f>
        <v>25</v>
      </c>
      <c r="H51" s="114">
        <f>SUM(H49:H50)</f>
        <v>-20</v>
      </c>
      <c r="J51" s="363">
        <f>+F51+H51</f>
        <v>5</v>
      </c>
    </row>
    <row r="52" spans="1:10" x14ac:dyDescent="0.25">
      <c r="F52" s="162"/>
      <c r="H52" s="64"/>
    </row>
    <row r="53" spans="1:10" hidden="1" x14ac:dyDescent="0.25">
      <c r="A53" s="95"/>
      <c r="B53" s="737">
        <v>45309</v>
      </c>
      <c r="C53" s="95"/>
      <c r="D53" s="95" t="s">
        <v>1867</v>
      </c>
      <c r="E53" s="738"/>
      <c r="F53" s="739">
        <v>150</v>
      </c>
      <c r="G53" s="363"/>
      <c r="H53" s="740">
        <v>-25</v>
      </c>
      <c r="I53" s="95"/>
    </row>
    <row r="54" spans="1:10" ht="15.75" hidden="1" thickBot="1" x14ac:dyDescent="0.3">
      <c r="A54" s="95"/>
      <c r="B54" s="737"/>
      <c r="C54" s="95" t="s">
        <v>2464</v>
      </c>
      <c r="D54" s="95"/>
      <c r="E54" s="738"/>
      <c r="F54" s="739"/>
      <c r="G54" s="363"/>
      <c r="H54" s="740">
        <v>-125</v>
      </c>
      <c r="I54" s="95"/>
    </row>
    <row r="55" spans="1:10" ht="15.75" hidden="1" thickBot="1" x14ac:dyDescent="0.3">
      <c r="A55" s="95"/>
      <c r="B55" s="737"/>
      <c r="C55" s="95"/>
      <c r="D55" s="95"/>
      <c r="E55" s="738"/>
      <c r="F55" s="364">
        <f>SUM(F53:F54)</f>
        <v>150</v>
      </c>
      <c r="G55" s="363"/>
      <c r="H55" s="364">
        <f>SUM(H53:H54)</f>
        <v>-150</v>
      </c>
      <c r="I55" s="95"/>
      <c r="J55" s="363">
        <f>+F55+H55</f>
        <v>0</v>
      </c>
    </row>
    <row r="56" spans="1:10" hidden="1" x14ac:dyDescent="0.25">
      <c r="A56" s="95"/>
      <c r="B56" s="737"/>
      <c r="C56" s="95"/>
      <c r="D56" s="95"/>
      <c r="E56" s="738"/>
      <c r="F56" s="739"/>
      <c r="G56" s="363"/>
      <c r="H56" s="740"/>
      <c r="I56" s="95"/>
    </row>
    <row r="57" spans="1:10" hidden="1" x14ac:dyDescent="0.25">
      <c r="A57" s="95"/>
      <c r="B57" s="737">
        <v>45313</v>
      </c>
      <c r="C57" s="95"/>
      <c r="D57" s="95" t="s">
        <v>1892</v>
      </c>
      <c r="E57" s="738"/>
      <c r="F57" s="739">
        <v>125</v>
      </c>
      <c r="G57" s="363"/>
      <c r="H57" s="740">
        <v>-65</v>
      </c>
      <c r="I57" s="95"/>
    </row>
    <row r="58" spans="1:10" ht="15.75" hidden="1" thickBot="1" x14ac:dyDescent="0.3">
      <c r="A58" s="95"/>
      <c r="B58" s="737"/>
      <c r="C58" s="737">
        <v>45329</v>
      </c>
      <c r="D58" s="95"/>
      <c r="E58" s="738"/>
      <c r="F58" s="739"/>
      <c r="G58" s="363"/>
      <c r="H58" s="740">
        <v>-60</v>
      </c>
      <c r="I58" s="95"/>
    </row>
    <row r="59" spans="1:10" ht="15.75" hidden="1" thickBot="1" x14ac:dyDescent="0.3">
      <c r="A59" s="95"/>
      <c r="B59" s="737"/>
      <c r="C59" s="95"/>
      <c r="D59" s="95"/>
      <c r="E59" s="738"/>
      <c r="F59" s="782">
        <f>SUM(F57:F58)</f>
        <v>125</v>
      </c>
      <c r="G59" s="574"/>
      <c r="H59" s="364">
        <f>SUM(H57:H58)</f>
        <v>-125</v>
      </c>
      <c r="I59" s="95"/>
      <c r="J59" s="363">
        <f>+F59+H59</f>
        <v>0</v>
      </c>
    </row>
    <row r="60" spans="1:10" hidden="1" x14ac:dyDescent="0.25">
      <c r="A60" s="95"/>
      <c r="B60" s="737"/>
      <c r="C60" s="95"/>
      <c r="D60" s="95"/>
      <c r="E60" s="738"/>
      <c r="F60" s="739"/>
      <c r="G60" s="363"/>
      <c r="H60" s="740"/>
      <c r="I60" s="95"/>
    </row>
    <row r="61" spans="1:10" hidden="1" x14ac:dyDescent="0.25">
      <c r="A61" s="95"/>
      <c r="B61" s="737">
        <v>45314</v>
      </c>
      <c r="C61" s="95"/>
      <c r="D61" s="95" t="s">
        <v>1894</v>
      </c>
      <c r="E61" s="738"/>
      <c r="F61" s="739">
        <v>150</v>
      </c>
      <c r="G61" s="363"/>
      <c r="H61" s="740">
        <v>-100</v>
      </c>
      <c r="I61" s="95"/>
    </row>
    <row r="62" spans="1:10" hidden="1" x14ac:dyDescent="0.25">
      <c r="A62" s="95"/>
      <c r="B62" s="737"/>
      <c r="C62" s="95"/>
      <c r="D62" s="95"/>
      <c r="E62" s="738"/>
      <c r="F62" s="739">
        <v>125</v>
      </c>
      <c r="G62" s="363"/>
      <c r="H62" s="740"/>
      <c r="I62" s="95" t="s">
        <v>1576</v>
      </c>
    </row>
    <row r="63" spans="1:10" hidden="1" x14ac:dyDescent="0.25">
      <c r="A63" s="95"/>
      <c r="B63" s="737"/>
      <c r="C63" s="95"/>
      <c r="D63" s="95"/>
      <c r="E63" s="738"/>
      <c r="F63" s="739">
        <v>125</v>
      </c>
      <c r="G63" s="363"/>
      <c r="H63" s="740">
        <v>-100</v>
      </c>
      <c r="I63" s="95"/>
    </row>
    <row r="64" spans="1:10" hidden="1" x14ac:dyDescent="0.25">
      <c r="A64" s="95"/>
      <c r="B64" s="737"/>
      <c r="C64" s="737">
        <v>45365</v>
      </c>
      <c r="D64" s="95"/>
      <c r="E64" s="738"/>
      <c r="F64" s="739"/>
      <c r="G64" s="363"/>
      <c r="H64" s="740">
        <v>-135</v>
      </c>
      <c r="I64" s="95"/>
    </row>
    <row r="65" spans="1:10" ht="15.75" hidden="1" thickBot="1" x14ac:dyDescent="0.3">
      <c r="A65" s="95"/>
      <c r="B65" s="737"/>
      <c r="C65" s="737">
        <v>45394</v>
      </c>
      <c r="D65" s="95"/>
      <c r="E65" s="738"/>
      <c r="F65" s="739"/>
      <c r="G65" s="363"/>
      <c r="H65" s="740">
        <v>-65</v>
      </c>
      <c r="I65" s="95"/>
    </row>
    <row r="66" spans="1:10" ht="15.75" hidden="1" thickBot="1" x14ac:dyDescent="0.3">
      <c r="A66" s="95"/>
      <c r="B66" s="737"/>
      <c r="C66" s="95"/>
      <c r="D66" s="95"/>
      <c r="E66" s="738"/>
      <c r="F66" s="782">
        <f>SUM(F61:F63)</f>
        <v>400</v>
      </c>
      <c r="G66" s="574"/>
      <c r="H66" s="364">
        <f>SUM(H61:H65)</f>
        <v>-400</v>
      </c>
      <c r="I66" s="95"/>
      <c r="J66" s="363">
        <f>+F66+H66</f>
        <v>0</v>
      </c>
    </row>
    <row r="67" spans="1:10" x14ac:dyDescent="0.25">
      <c r="B67" s="6"/>
      <c r="F67" s="162"/>
      <c r="H67" s="64"/>
    </row>
    <row r="68" spans="1:10" x14ac:dyDescent="0.25">
      <c r="A68" s="943"/>
      <c r="B68" s="944">
        <v>45313</v>
      </c>
      <c r="C68" s="943"/>
      <c r="D68" s="943" t="s">
        <v>1899</v>
      </c>
      <c r="E68" s="945"/>
      <c r="F68" s="946">
        <v>55</v>
      </c>
      <c r="G68" s="947"/>
      <c r="H68" s="948">
        <v>-20</v>
      </c>
      <c r="I68" s="943"/>
    </row>
    <row r="69" spans="1:10" ht="15.75" thickBot="1" x14ac:dyDescent="0.3">
      <c r="A69" s="943"/>
      <c r="B69" s="944"/>
      <c r="C69" s="943"/>
      <c r="D69" s="943" t="s">
        <v>2737</v>
      </c>
      <c r="E69" s="945"/>
      <c r="F69" s="946"/>
      <c r="G69" s="947"/>
      <c r="H69" s="948"/>
      <c r="I69" s="943"/>
    </row>
    <row r="70" spans="1:10" ht="15.75" thickBot="1" x14ac:dyDescent="0.3">
      <c r="A70" s="943"/>
      <c r="B70" s="944"/>
      <c r="C70" s="943"/>
      <c r="D70" s="943"/>
      <c r="E70" s="945"/>
      <c r="F70" s="606">
        <f>SUM(F68:F69)</f>
        <v>55</v>
      </c>
      <c r="G70" s="949"/>
      <c r="H70" s="950">
        <f>SUM(H68:H69)</f>
        <v>-20</v>
      </c>
      <c r="I70" s="943"/>
      <c r="J70" s="363">
        <f>+F70+H70</f>
        <v>35</v>
      </c>
    </row>
    <row r="71" spans="1:10" hidden="1" x14ac:dyDescent="0.25">
      <c r="A71" s="943"/>
      <c r="B71" s="944"/>
      <c r="C71" s="943"/>
      <c r="D71" s="943"/>
      <c r="E71" s="945"/>
      <c r="F71" s="946"/>
      <c r="G71" s="947"/>
      <c r="H71" s="948"/>
      <c r="I71" s="943"/>
    </row>
    <row r="72" spans="1:10" hidden="1" x14ac:dyDescent="0.25">
      <c r="A72" s="951"/>
      <c r="B72" s="952">
        <v>45320</v>
      </c>
      <c r="C72" s="951"/>
      <c r="D72" s="951" t="s">
        <v>1926</v>
      </c>
      <c r="E72" s="953"/>
      <c r="F72" s="954">
        <v>55</v>
      </c>
      <c r="G72" s="955"/>
      <c r="H72" s="956">
        <v>-30</v>
      </c>
      <c r="I72" s="951"/>
    </row>
    <row r="73" spans="1:10" ht="15.75" hidden="1" thickBot="1" x14ac:dyDescent="0.3">
      <c r="A73" s="951"/>
      <c r="B73" s="952"/>
      <c r="C73" s="952">
        <v>45351</v>
      </c>
      <c r="D73" s="951"/>
      <c r="E73" s="953"/>
      <c r="F73" s="954"/>
      <c r="G73" s="955"/>
      <c r="H73" s="956">
        <v>-25</v>
      </c>
      <c r="I73" s="951"/>
    </row>
    <row r="74" spans="1:10" ht="15.75" hidden="1" thickBot="1" x14ac:dyDescent="0.3">
      <c r="A74" s="951"/>
      <c r="B74" s="952"/>
      <c r="C74" s="951"/>
      <c r="D74" s="951"/>
      <c r="E74" s="953"/>
      <c r="F74" s="957">
        <f>SUM(F72:F73)</f>
        <v>55</v>
      </c>
      <c r="G74" s="955"/>
      <c r="H74" s="957">
        <f>SUM(H72:H73)</f>
        <v>-55</v>
      </c>
      <c r="I74" s="951"/>
      <c r="J74" s="363">
        <f>+H74+F74</f>
        <v>0</v>
      </c>
    </row>
    <row r="75" spans="1:10" x14ac:dyDescent="0.25">
      <c r="A75" s="943"/>
      <c r="B75" s="944"/>
      <c r="C75" s="943"/>
      <c r="D75" s="943"/>
      <c r="E75" s="945"/>
      <c r="F75" s="946"/>
      <c r="G75" s="947"/>
      <c r="H75" s="948"/>
      <c r="I75" s="943"/>
    </row>
    <row r="76" spans="1:10" x14ac:dyDescent="0.25">
      <c r="A76" s="943"/>
      <c r="B76" s="944">
        <v>45330</v>
      </c>
      <c r="C76" s="943"/>
      <c r="D76" s="943" t="s">
        <v>1975</v>
      </c>
      <c r="E76" s="945"/>
      <c r="F76" s="946">
        <f>90+45</f>
        <v>135</v>
      </c>
      <c r="G76" s="947"/>
      <c r="H76" s="948">
        <v>-100</v>
      </c>
      <c r="I76" s="943"/>
    </row>
    <row r="77" spans="1:10" ht="15.75" thickBot="1" x14ac:dyDescent="0.3">
      <c r="A77" s="943"/>
      <c r="B77" s="944"/>
      <c r="C77" s="943"/>
      <c r="D77" s="943"/>
      <c r="E77" s="945"/>
      <c r="F77" s="946">
        <v>-90</v>
      </c>
      <c r="G77" s="947"/>
      <c r="H77" s="948"/>
      <c r="I77" s="943"/>
    </row>
    <row r="78" spans="1:10" ht="15.75" thickBot="1" x14ac:dyDescent="0.3">
      <c r="A78" s="943"/>
      <c r="B78" s="944"/>
      <c r="C78" s="943"/>
      <c r="D78" s="943"/>
      <c r="E78" s="945"/>
      <c r="F78" s="606">
        <f>SUM(F76:F77)</f>
        <v>45</v>
      </c>
      <c r="G78" s="949"/>
      <c r="H78" s="950">
        <f>SUM(H76:H77)</f>
        <v>-100</v>
      </c>
      <c r="I78" s="943"/>
      <c r="J78" s="363">
        <f>+F78+H78</f>
        <v>-55</v>
      </c>
    </row>
    <row r="79" spans="1:10" hidden="1" x14ac:dyDescent="0.25">
      <c r="B79" s="6"/>
      <c r="F79" s="162"/>
      <c r="H79" s="64"/>
    </row>
    <row r="80" spans="1:10" hidden="1" x14ac:dyDescent="0.25">
      <c r="A80" s="95"/>
      <c r="B80" s="737">
        <v>45332</v>
      </c>
      <c r="C80" s="95"/>
      <c r="D80" s="95" t="s">
        <v>1977</v>
      </c>
      <c r="E80" s="738"/>
      <c r="F80" s="739">
        <v>110</v>
      </c>
      <c r="G80" s="363"/>
      <c r="H80" s="740">
        <v>-60</v>
      </c>
      <c r="I80" s="95"/>
    </row>
    <row r="81" spans="1:10" ht="15.75" hidden="1" thickBot="1" x14ac:dyDescent="0.3">
      <c r="A81" s="95"/>
      <c r="B81" s="737"/>
      <c r="C81" s="737">
        <v>45357</v>
      </c>
      <c r="D81" s="95"/>
      <c r="E81" s="738"/>
      <c r="F81" s="739"/>
      <c r="G81" s="363"/>
      <c r="H81" s="740">
        <v>-50</v>
      </c>
      <c r="I81" s="95"/>
    </row>
    <row r="82" spans="1:10" ht="15.75" hidden="1" thickBot="1" x14ac:dyDescent="0.3">
      <c r="A82" s="95"/>
      <c r="B82" s="737"/>
      <c r="C82" s="95"/>
      <c r="D82" s="95"/>
      <c r="E82" s="738"/>
      <c r="F82" s="782">
        <f>SUM(F80:F81)</f>
        <v>110</v>
      </c>
      <c r="G82" s="574"/>
      <c r="H82" s="364">
        <f>SUM(H80:H81)</f>
        <v>-110</v>
      </c>
      <c r="I82" s="95"/>
      <c r="J82" s="363">
        <f>+F82+H82</f>
        <v>0</v>
      </c>
    </row>
    <row r="83" spans="1:10" x14ac:dyDescent="0.25">
      <c r="B83" s="6"/>
      <c r="F83" s="162"/>
      <c r="H83" s="64"/>
    </row>
    <row r="84" spans="1:10" hidden="1" x14ac:dyDescent="0.25">
      <c r="A84" s="115"/>
      <c r="B84" s="963">
        <v>45332</v>
      </c>
      <c r="C84" s="115"/>
      <c r="D84" s="115" t="s">
        <v>1993</v>
      </c>
      <c r="E84" s="964"/>
      <c r="F84" s="965">
        <v>125</v>
      </c>
      <c r="G84" s="966"/>
      <c r="H84" s="967">
        <v>-40</v>
      </c>
      <c r="I84" s="115"/>
    </row>
    <row r="85" spans="1:10" hidden="1" x14ac:dyDescent="0.25">
      <c r="A85" s="115"/>
      <c r="B85" s="963"/>
      <c r="C85" s="963">
        <v>45349</v>
      </c>
      <c r="D85" s="115"/>
      <c r="E85" s="964"/>
      <c r="F85" s="965">
        <v>210</v>
      </c>
      <c r="G85" s="966"/>
      <c r="H85" s="967">
        <v>-130</v>
      </c>
      <c r="I85" s="115"/>
    </row>
    <row r="86" spans="1:10" hidden="1" x14ac:dyDescent="0.25">
      <c r="A86" s="115"/>
      <c r="B86" s="963"/>
      <c r="C86" s="963">
        <v>45384</v>
      </c>
      <c r="D86" s="115"/>
      <c r="E86" s="964"/>
      <c r="F86" s="965"/>
      <c r="G86" s="966"/>
      <c r="H86" s="967">
        <v>-65</v>
      </c>
      <c r="I86" s="115"/>
    </row>
    <row r="87" spans="1:10" ht="15.75" hidden="1" thickBot="1" x14ac:dyDescent="0.3">
      <c r="A87" s="115"/>
      <c r="B87" s="963"/>
      <c r="C87" s="963">
        <v>45458</v>
      </c>
      <c r="D87" s="115"/>
      <c r="E87" s="964"/>
      <c r="F87" s="965"/>
      <c r="G87" s="966"/>
      <c r="H87" s="967">
        <v>-100</v>
      </c>
      <c r="I87" s="115"/>
    </row>
    <row r="88" spans="1:10" ht="15.75" hidden="1" thickBot="1" x14ac:dyDescent="0.3">
      <c r="A88" s="115"/>
      <c r="B88" s="963"/>
      <c r="C88" s="115"/>
      <c r="D88" s="115"/>
      <c r="E88" s="964"/>
      <c r="F88" s="968">
        <f>SUM(F84:F85)</f>
        <v>335</v>
      </c>
      <c r="G88" s="969"/>
      <c r="H88" s="970">
        <f>SUM(H84:H87)</f>
        <v>-335</v>
      </c>
      <c r="I88" s="115"/>
      <c r="J88" s="363">
        <f>+F88+H88</f>
        <v>0</v>
      </c>
    </row>
    <row r="89" spans="1:10" hidden="1" x14ac:dyDescent="0.25">
      <c r="B89" s="6"/>
      <c r="F89" s="162"/>
      <c r="H89" s="64"/>
    </row>
    <row r="90" spans="1:10" hidden="1" x14ac:dyDescent="0.25">
      <c r="A90" s="95"/>
      <c r="B90" s="737">
        <v>45337</v>
      </c>
      <c r="C90" s="95"/>
      <c r="D90" s="95" t="s">
        <v>2027</v>
      </c>
      <c r="E90" s="738"/>
      <c r="F90" s="739">
        <v>55</v>
      </c>
      <c r="G90" s="363"/>
      <c r="H90" s="740">
        <v>-20</v>
      </c>
      <c r="I90" s="95"/>
    </row>
    <row r="91" spans="1:10" ht="15.75" hidden="1" thickBot="1" x14ac:dyDescent="0.3">
      <c r="A91" s="95"/>
      <c r="B91" s="737"/>
      <c r="C91" s="737">
        <v>45349</v>
      </c>
      <c r="D91" s="95"/>
      <c r="E91" s="738"/>
      <c r="F91" s="739"/>
      <c r="G91" s="363"/>
      <c r="H91" s="740">
        <v>-35</v>
      </c>
      <c r="I91" s="95"/>
    </row>
    <row r="92" spans="1:10" ht="15.75" hidden="1" thickBot="1" x14ac:dyDescent="0.3">
      <c r="A92" s="95"/>
      <c r="B92" s="737"/>
      <c r="C92" s="95"/>
      <c r="D92" s="95"/>
      <c r="E92" s="738"/>
      <c r="F92" s="782">
        <f>SUM(F90:F91)</f>
        <v>55</v>
      </c>
      <c r="G92" s="574"/>
      <c r="H92" s="364">
        <f>SUM(H90:H91)</f>
        <v>-55</v>
      </c>
      <c r="I92" s="95"/>
    </row>
    <row r="93" spans="1:10" hidden="1" x14ac:dyDescent="0.25">
      <c r="A93" s="95"/>
      <c r="B93" s="737"/>
      <c r="C93" s="95"/>
      <c r="D93" s="95"/>
      <c r="E93" s="738"/>
      <c r="F93" s="739"/>
      <c r="G93" s="363"/>
      <c r="H93" s="740"/>
      <c r="I93" s="95"/>
    </row>
    <row r="94" spans="1:10" hidden="1" x14ac:dyDescent="0.25">
      <c r="A94" s="95"/>
      <c r="B94" s="737">
        <v>45339</v>
      </c>
      <c r="C94" s="95"/>
      <c r="D94" s="95" t="s">
        <v>2028</v>
      </c>
      <c r="E94" s="738"/>
      <c r="F94" s="739">
        <v>95</v>
      </c>
      <c r="G94" s="363"/>
      <c r="H94" s="740">
        <v>-30</v>
      </c>
      <c r="I94" s="95"/>
    </row>
    <row r="95" spans="1:10" hidden="1" x14ac:dyDescent="0.25">
      <c r="A95" s="95"/>
      <c r="B95" s="737"/>
      <c r="C95" s="737">
        <v>45349</v>
      </c>
      <c r="D95" s="95"/>
      <c r="E95" s="738"/>
      <c r="F95" s="739"/>
      <c r="G95" s="363"/>
      <c r="H95" s="740">
        <v>-40</v>
      </c>
      <c r="I95" s="95"/>
    </row>
    <row r="96" spans="1:10" ht="15.75" hidden="1" thickBot="1" x14ac:dyDescent="0.3">
      <c r="A96" s="95"/>
      <c r="B96" s="737"/>
      <c r="C96" s="737">
        <v>45390</v>
      </c>
      <c r="D96" s="95"/>
      <c r="E96" s="738"/>
      <c r="F96" s="739"/>
      <c r="G96" s="363"/>
      <c r="H96" s="740">
        <v>-25</v>
      </c>
      <c r="I96" s="95"/>
    </row>
    <row r="97" spans="1:10" ht="15.75" hidden="1" thickBot="1" x14ac:dyDescent="0.3">
      <c r="A97" s="95"/>
      <c r="B97" s="737"/>
      <c r="C97" s="95"/>
      <c r="D97" s="95"/>
      <c r="E97" s="738"/>
      <c r="F97" s="782">
        <f>SUM(F94:F96)</f>
        <v>95</v>
      </c>
      <c r="G97" s="574"/>
      <c r="H97" s="364">
        <f>SUM(H94:H96)</f>
        <v>-95</v>
      </c>
      <c r="I97" s="95"/>
      <c r="J97" s="363">
        <f>+F97+H97</f>
        <v>0</v>
      </c>
    </row>
    <row r="98" spans="1:10" hidden="1" x14ac:dyDescent="0.25">
      <c r="B98" s="6"/>
      <c r="F98" s="162"/>
      <c r="H98" s="64"/>
    </row>
    <row r="99" spans="1:10" hidden="1" x14ac:dyDescent="0.25">
      <c r="A99" s="95"/>
      <c r="B99" s="737">
        <v>45364</v>
      </c>
      <c r="C99" s="95"/>
      <c r="D99" s="95" t="s">
        <v>2200</v>
      </c>
      <c r="E99" s="738"/>
      <c r="F99" s="739">
        <v>200</v>
      </c>
      <c r="G99" s="363"/>
      <c r="H99" s="740">
        <v>-100</v>
      </c>
    </row>
    <row r="100" spans="1:10" ht="15.75" hidden="1" thickBot="1" x14ac:dyDescent="0.3">
      <c r="A100" s="95"/>
      <c r="B100" s="737">
        <v>45366</v>
      </c>
      <c r="C100" s="95"/>
      <c r="D100" s="95"/>
      <c r="E100" s="738"/>
      <c r="F100" s="739"/>
      <c r="G100" s="363"/>
      <c r="H100" s="740">
        <v>-100</v>
      </c>
    </row>
    <row r="101" spans="1:10" ht="15.75" hidden="1" thickBot="1" x14ac:dyDescent="0.3">
      <c r="A101" s="95"/>
      <c r="B101" s="737"/>
      <c r="C101" s="95"/>
      <c r="D101" s="95"/>
      <c r="E101" s="738"/>
      <c r="F101" s="782">
        <f>SUM(F99:F100)</f>
        <v>200</v>
      </c>
      <c r="G101" s="574"/>
      <c r="H101" s="364">
        <f>SUM(H99:H100)</f>
        <v>-200</v>
      </c>
      <c r="J101" s="363">
        <f>+F101+H101</f>
        <v>0</v>
      </c>
    </row>
    <row r="102" spans="1:10" hidden="1" x14ac:dyDescent="0.25">
      <c r="B102" s="6"/>
      <c r="F102" s="162"/>
      <c r="H102" s="64"/>
    </row>
    <row r="103" spans="1:10" hidden="1" x14ac:dyDescent="0.25">
      <c r="A103" s="95"/>
      <c r="B103" s="737"/>
      <c r="C103" s="737">
        <v>45320</v>
      </c>
      <c r="D103" s="95" t="s">
        <v>2061</v>
      </c>
      <c r="E103" s="738"/>
      <c r="F103" s="739">
        <v>125</v>
      </c>
      <c r="G103" s="363"/>
      <c r="H103" s="740">
        <v>-20</v>
      </c>
      <c r="I103" s="95"/>
    </row>
    <row r="104" spans="1:10" hidden="1" x14ac:dyDescent="0.25">
      <c r="A104" s="95"/>
      <c r="B104" s="737"/>
      <c r="C104" s="737">
        <v>45352</v>
      </c>
      <c r="D104" s="95"/>
      <c r="E104" s="738"/>
      <c r="F104" s="739"/>
      <c r="G104" s="363"/>
      <c r="H104" s="740">
        <v>-20</v>
      </c>
      <c r="I104" s="95"/>
    </row>
    <row r="105" spans="1:10" hidden="1" x14ac:dyDescent="0.25">
      <c r="A105" s="95"/>
      <c r="B105" s="737"/>
      <c r="C105" s="737">
        <v>45358</v>
      </c>
      <c r="D105" s="95"/>
      <c r="E105" s="738"/>
      <c r="F105" s="739"/>
      <c r="G105" s="363"/>
      <c r="H105" s="740">
        <v>-20</v>
      </c>
      <c r="I105" s="95"/>
    </row>
    <row r="106" spans="1:10" hidden="1" x14ac:dyDescent="0.25">
      <c r="A106" s="95"/>
      <c r="B106" s="737"/>
      <c r="C106" s="737">
        <v>45366</v>
      </c>
      <c r="D106" s="95"/>
      <c r="E106" s="738"/>
      <c r="F106" s="739"/>
      <c r="G106" s="363"/>
      <c r="H106" s="740">
        <v>-20</v>
      </c>
      <c r="I106" s="95"/>
    </row>
    <row r="107" spans="1:10" hidden="1" x14ac:dyDescent="0.25">
      <c r="A107" s="95"/>
      <c r="B107" s="737"/>
      <c r="C107" s="737">
        <v>45374</v>
      </c>
      <c r="D107" s="95"/>
      <c r="E107" s="738"/>
      <c r="F107" s="739"/>
      <c r="G107" s="363"/>
      <c r="H107" s="740">
        <v>-20</v>
      </c>
      <c r="I107" s="95"/>
    </row>
    <row r="108" spans="1:10" ht="15.75" hidden="1" thickBot="1" x14ac:dyDescent="0.3">
      <c r="A108" s="95"/>
      <c r="B108" s="737"/>
      <c r="C108" s="737">
        <v>45378</v>
      </c>
      <c r="D108" s="95"/>
      <c r="E108" s="738"/>
      <c r="F108" s="739"/>
      <c r="G108" s="363"/>
      <c r="H108" s="740">
        <v>-20</v>
      </c>
      <c r="I108" s="95"/>
    </row>
    <row r="109" spans="1:10" ht="15.75" hidden="1" thickBot="1" x14ac:dyDescent="0.3">
      <c r="A109" s="95"/>
      <c r="B109" s="737"/>
      <c r="C109" s="95"/>
      <c r="D109" s="95"/>
      <c r="E109" s="738"/>
      <c r="F109" s="782">
        <f>SUM(F103:F108)</f>
        <v>125</v>
      </c>
      <c r="G109" s="574"/>
      <c r="H109" s="364">
        <f>SUM(H103:H108)</f>
        <v>-120</v>
      </c>
      <c r="I109" s="95"/>
      <c r="J109" s="363">
        <f>+F109+H109</f>
        <v>5</v>
      </c>
    </row>
    <row r="110" spans="1:10" hidden="1" x14ac:dyDescent="0.25">
      <c r="A110" s="95"/>
      <c r="B110" s="737"/>
      <c r="C110" s="95"/>
      <c r="D110" s="95"/>
      <c r="E110" s="738"/>
      <c r="F110" s="739"/>
      <c r="G110" s="363"/>
      <c r="H110" s="740"/>
    </row>
    <row r="111" spans="1:10" hidden="1" x14ac:dyDescent="0.25">
      <c r="A111" s="95"/>
      <c r="B111" s="737">
        <v>45356</v>
      </c>
      <c r="C111" s="95"/>
      <c r="D111" s="95" t="s">
        <v>2194</v>
      </c>
      <c r="E111" s="738"/>
      <c r="F111" s="739">
        <v>30</v>
      </c>
      <c r="G111" s="363"/>
      <c r="H111" s="740">
        <v>-10</v>
      </c>
    </row>
    <row r="112" spans="1:10" hidden="1" x14ac:dyDescent="0.25">
      <c r="A112" s="95"/>
      <c r="B112" s="737">
        <v>45362</v>
      </c>
      <c r="C112" s="95"/>
      <c r="D112" s="95"/>
      <c r="E112" s="738"/>
      <c r="F112" s="739"/>
      <c r="G112" s="363"/>
      <c r="H112" s="740">
        <v>-10</v>
      </c>
    </row>
    <row r="113" spans="1:10" ht="15.75" hidden="1" thickBot="1" x14ac:dyDescent="0.3">
      <c r="A113" s="95"/>
      <c r="B113" s="737">
        <v>45366</v>
      </c>
      <c r="C113" s="95"/>
      <c r="D113" s="95"/>
      <c r="E113" s="738"/>
      <c r="F113" s="739"/>
      <c r="G113" s="363"/>
      <c r="H113" s="740">
        <v>-10</v>
      </c>
    </row>
    <row r="114" spans="1:10" ht="15.75" hidden="1" thickBot="1" x14ac:dyDescent="0.3">
      <c r="A114" s="95"/>
      <c r="B114" s="737"/>
      <c r="C114" s="95"/>
      <c r="D114" s="95"/>
      <c r="E114" s="738"/>
      <c r="F114" s="782">
        <f>SUM(F111:F113)</f>
        <v>30</v>
      </c>
      <c r="G114" s="782">
        <f t="shared" ref="G114:H114" si="1">SUM(G111:G113)</f>
        <v>0</v>
      </c>
      <c r="H114" s="782">
        <f t="shared" si="1"/>
        <v>-30</v>
      </c>
    </row>
    <row r="115" spans="1:10" hidden="1" x14ac:dyDescent="0.25">
      <c r="B115" s="6"/>
      <c r="F115" s="162"/>
      <c r="H115" s="64"/>
    </row>
    <row r="116" spans="1:10" hidden="1" x14ac:dyDescent="0.25">
      <c r="A116" s="95"/>
      <c r="B116" s="737">
        <v>45377</v>
      </c>
      <c r="C116" s="95"/>
      <c r="D116" s="95" t="s">
        <v>2234</v>
      </c>
      <c r="E116" s="738"/>
      <c r="F116" s="739">
        <v>90</v>
      </c>
      <c r="G116" s="363"/>
      <c r="H116" s="740">
        <v>-40</v>
      </c>
      <c r="I116" s="95"/>
    </row>
    <row r="117" spans="1:10" hidden="1" x14ac:dyDescent="0.25">
      <c r="A117" s="95"/>
      <c r="B117" s="737"/>
      <c r="C117" s="737">
        <v>45394</v>
      </c>
      <c r="D117" s="95"/>
      <c r="E117" s="738"/>
      <c r="F117" s="739">
        <v>110</v>
      </c>
      <c r="G117" s="363"/>
      <c r="H117" s="740">
        <f>-50-20</f>
        <v>-70</v>
      </c>
      <c r="I117" s="95"/>
    </row>
    <row r="118" spans="1:10" ht="15.75" hidden="1" thickBot="1" x14ac:dyDescent="0.3">
      <c r="A118" s="95"/>
      <c r="B118" s="737"/>
      <c r="C118" s="737">
        <v>45502</v>
      </c>
      <c r="D118" s="95"/>
      <c r="E118" s="738"/>
      <c r="F118" s="739"/>
      <c r="G118" s="363"/>
      <c r="H118" s="740">
        <v>-90</v>
      </c>
      <c r="I118" s="95"/>
    </row>
    <row r="119" spans="1:10" ht="15.75" hidden="1" thickBot="1" x14ac:dyDescent="0.3">
      <c r="A119" s="95"/>
      <c r="B119" s="737"/>
      <c r="C119" s="95"/>
      <c r="D119" s="95"/>
      <c r="E119" s="738"/>
      <c r="F119" s="782">
        <f>SUM(F116:F118)</f>
        <v>200</v>
      </c>
      <c r="G119" s="782"/>
      <c r="H119" s="782">
        <f>SUM(H116:H118)</f>
        <v>-200</v>
      </c>
      <c r="I119" s="95"/>
      <c r="J119" s="363">
        <f>+F119+H119</f>
        <v>0</v>
      </c>
    </row>
    <row r="120" spans="1:10" hidden="1" x14ac:dyDescent="0.25">
      <c r="B120" s="6"/>
      <c r="F120" s="162"/>
      <c r="H120" s="64"/>
    </row>
    <row r="121" spans="1:10" hidden="1" x14ac:dyDescent="0.25">
      <c r="A121" s="95"/>
      <c r="B121" s="737">
        <v>45384</v>
      </c>
      <c r="C121" s="95"/>
      <c r="D121" s="95" t="s">
        <v>2305</v>
      </c>
      <c r="E121" s="738"/>
      <c r="F121" s="739">
        <v>150</v>
      </c>
      <c r="G121" s="363"/>
      <c r="H121" s="740">
        <v>-100</v>
      </c>
      <c r="I121" s="95"/>
    </row>
    <row r="122" spans="1:10" hidden="1" x14ac:dyDescent="0.25">
      <c r="A122" s="95"/>
      <c r="B122" s="737"/>
      <c r="C122" s="737">
        <v>45385</v>
      </c>
      <c r="D122" s="95"/>
      <c r="E122" s="738"/>
      <c r="F122" s="739">
        <v>110</v>
      </c>
      <c r="G122" s="363"/>
      <c r="H122" s="740">
        <v>-100</v>
      </c>
      <c r="I122" s="95"/>
    </row>
    <row r="123" spans="1:10" ht="15.75" hidden="1" thickBot="1" x14ac:dyDescent="0.3">
      <c r="A123" s="95"/>
      <c r="B123" s="737"/>
      <c r="C123" s="737">
        <v>45386</v>
      </c>
      <c r="D123" s="95"/>
      <c r="E123" s="738"/>
      <c r="F123" s="739"/>
      <c r="G123" s="363"/>
      <c r="H123" s="740">
        <v>-60</v>
      </c>
      <c r="I123" s="95"/>
    </row>
    <row r="124" spans="1:10" ht="15.75" hidden="1" thickBot="1" x14ac:dyDescent="0.3">
      <c r="A124" s="95"/>
      <c r="B124" s="737"/>
      <c r="C124" s="95"/>
      <c r="D124" s="95"/>
      <c r="E124" s="738"/>
      <c r="F124" s="782">
        <f>SUM(F121:F123)</f>
        <v>260</v>
      </c>
      <c r="G124" s="574"/>
      <c r="H124" s="364">
        <f>SUM(H121:H123)</f>
        <v>-260</v>
      </c>
      <c r="I124" s="95"/>
      <c r="J124" s="363">
        <f>+F124+H124</f>
        <v>0</v>
      </c>
    </row>
    <row r="125" spans="1:10" hidden="1" x14ac:dyDescent="0.25">
      <c r="B125" s="6"/>
      <c r="F125" s="162"/>
      <c r="H125" s="64"/>
    </row>
    <row r="126" spans="1:10" hidden="1" x14ac:dyDescent="0.25">
      <c r="A126" s="95"/>
      <c r="B126" s="737">
        <v>45384</v>
      </c>
      <c r="C126" s="95"/>
      <c r="D126" s="95" t="s">
        <v>2307</v>
      </c>
      <c r="E126" s="738"/>
      <c r="F126" s="739">
        <f>125+150</f>
        <v>275</v>
      </c>
      <c r="G126" s="363"/>
      <c r="H126" s="740">
        <v>-90</v>
      </c>
      <c r="I126" s="95"/>
    </row>
    <row r="127" spans="1:10" hidden="1" x14ac:dyDescent="0.25">
      <c r="A127" s="95"/>
      <c r="B127" s="737"/>
      <c r="C127" s="737">
        <v>45390</v>
      </c>
      <c r="D127" s="95"/>
      <c r="E127" s="738"/>
      <c r="F127" s="739"/>
      <c r="G127" s="363"/>
      <c r="H127" s="740">
        <v>-100</v>
      </c>
      <c r="I127" s="95"/>
    </row>
    <row r="128" spans="1:10" ht="15.75" hidden="1" thickBot="1" x14ac:dyDescent="0.3">
      <c r="A128" s="95"/>
      <c r="B128" s="737"/>
      <c r="C128" s="737">
        <v>45415</v>
      </c>
      <c r="D128" s="95"/>
      <c r="E128" s="738"/>
      <c r="F128" s="739"/>
      <c r="G128" s="363"/>
      <c r="H128" s="740">
        <v>-85</v>
      </c>
      <c r="I128" s="95"/>
    </row>
    <row r="129" spans="1:10" ht="15.75" hidden="1" thickBot="1" x14ac:dyDescent="0.3">
      <c r="A129" s="95"/>
      <c r="B129" s="737"/>
      <c r="C129" s="95"/>
      <c r="D129" s="95"/>
      <c r="E129" s="738"/>
      <c r="F129" s="782">
        <f>SUM(F126:F128)</f>
        <v>275</v>
      </c>
      <c r="G129" s="574"/>
      <c r="H129" s="364">
        <f>SUM(H126:H128)</f>
        <v>-275</v>
      </c>
      <c r="I129" s="95"/>
      <c r="J129" s="363">
        <f>+F129+H129</f>
        <v>0</v>
      </c>
    </row>
    <row r="130" spans="1:10" hidden="1" x14ac:dyDescent="0.25">
      <c r="B130" s="6"/>
      <c r="F130" s="162"/>
      <c r="H130" s="64"/>
    </row>
    <row r="131" spans="1:10" hidden="1" x14ac:dyDescent="0.25">
      <c r="A131" s="95"/>
      <c r="B131" s="737">
        <v>45390</v>
      </c>
      <c r="C131" s="95"/>
      <c r="D131" s="95" t="s">
        <v>2421</v>
      </c>
      <c r="E131" s="738"/>
      <c r="F131" s="739">
        <v>260</v>
      </c>
      <c r="G131" s="363"/>
      <c r="H131" s="740">
        <v>-100</v>
      </c>
      <c r="I131" s="95"/>
    </row>
    <row r="132" spans="1:10" hidden="1" x14ac:dyDescent="0.25">
      <c r="A132" s="95"/>
      <c r="B132" s="737"/>
      <c r="C132" s="737">
        <v>45392</v>
      </c>
      <c r="D132" s="95"/>
      <c r="E132" s="738"/>
      <c r="F132" s="739">
        <v>35</v>
      </c>
      <c r="G132" s="363"/>
      <c r="H132" s="740">
        <v>-100</v>
      </c>
      <c r="I132" s="95"/>
    </row>
    <row r="133" spans="1:10" ht="15.75" hidden="1" thickBot="1" x14ac:dyDescent="0.3">
      <c r="A133" s="95"/>
      <c r="B133" s="737"/>
      <c r="C133" s="737">
        <v>45411</v>
      </c>
      <c r="D133" s="95"/>
      <c r="E133" s="738"/>
      <c r="F133" s="739">
        <v>-10</v>
      </c>
      <c r="G133" s="363"/>
      <c r="H133" s="740">
        <v>-85</v>
      </c>
      <c r="I133" s="95"/>
    </row>
    <row r="134" spans="1:10" ht="15.75" hidden="1" thickBot="1" x14ac:dyDescent="0.3">
      <c r="A134" s="95"/>
      <c r="B134" s="737"/>
      <c r="C134" s="95"/>
      <c r="D134" s="95"/>
      <c r="E134" s="738"/>
      <c r="F134" s="782">
        <f>SUM(F131:F133)</f>
        <v>285</v>
      </c>
      <c r="G134" s="574">
        <f t="shared" ref="G134:H134" si="2">SUM(G131:G133)</f>
        <v>0</v>
      </c>
      <c r="H134" s="364">
        <f t="shared" si="2"/>
        <v>-285</v>
      </c>
      <c r="I134" s="95"/>
      <c r="J134" s="363">
        <f>+F134+H134</f>
        <v>0</v>
      </c>
    </row>
    <row r="135" spans="1:10" hidden="1" x14ac:dyDescent="0.25">
      <c r="B135" s="6"/>
      <c r="F135" s="162"/>
      <c r="H135" s="64"/>
    </row>
    <row r="136" spans="1:10" hidden="1" x14ac:dyDescent="0.25">
      <c r="A136" s="95"/>
      <c r="B136" s="737" t="s">
        <v>2385</v>
      </c>
      <c r="C136" s="95"/>
      <c r="D136" s="95" t="s">
        <v>1892</v>
      </c>
      <c r="E136" s="738"/>
      <c r="F136" s="739">
        <v>70</v>
      </c>
      <c r="G136" s="363"/>
      <c r="H136" s="740">
        <v>-35</v>
      </c>
      <c r="I136" s="95"/>
    </row>
    <row r="137" spans="1:10" ht="15.75" hidden="1" thickBot="1" x14ac:dyDescent="0.3">
      <c r="A137" s="95"/>
      <c r="B137" s="737"/>
      <c r="C137" s="737">
        <v>45460</v>
      </c>
      <c r="D137" s="95"/>
      <c r="E137" s="738"/>
      <c r="F137" s="739"/>
      <c r="G137" s="363"/>
      <c r="H137" s="740">
        <v>-35</v>
      </c>
      <c r="I137" s="95"/>
    </row>
    <row r="138" spans="1:10" ht="15.75" hidden="1" thickBot="1" x14ac:dyDescent="0.3">
      <c r="A138" s="95"/>
      <c r="B138" s="737"/>
      <c r="C138" s="95"/>
      <c r="D138" s="95"/>
      <c r="E138" s="738"/>
      <c r="F138" s="782">
        <f>SUM(F136:F137)</f>
        <v>70</v>
      </c>
      <c r="G138" s="574"/>
      <c r="H138" s="364">
        <f>SUM(H136:H137)</f>
        <v>-70</v>
      </c>
      <c r="I138" s="95"/>
      <c r="J138" s="363">
        <f>+F138+H138</f>
        <v>0</v>
      </c>
    </row>
    <row r="139" spans="1:10" hidden="1" x14ac:dyDescent="0.25">
      <c r="B139" s="6"/>
      <c r="F139" s="162"/>
      <c r="H139" s="64"/>
    </row>
    <row r="140" spans="1:10" x14ac:dyDescent="0.25">
      <c r="A140" s="146"/>
      <c r="B140" s="148">
        <v>45391</v>
      </c>
      <c r="C140" s="146"/>
      <c r="D140" s="146" t="s">
        <v>2387</v>
      </c>
      <c r="E140" s="608"/>
      <c r="F140" s="225">
        <v>115</v>
      </c>
      <c r="G140" s="609"/>
      <c r="H140" s="610">
        <v>-30</v>
      </c>
      <c r="I140" s="146"/>
    </row>
    <row r="141" spans="1:10" ht="15.75" thickBot="1" x14ac:dyDescent="0.3">
      <c r="A141" s="146"/>
      <c r="B141" s="148"/>
      <c r="C141" s="148"/>
      <c r="D141" s="146"/>
      <c r="E141" s="608"/>
      <c r="F141" s="225"/>
      <c r="G141" s="609"/>
      <c r="H141" s="610"/>
      <c r="I141" s="146"/>
    </row>
    <row r="142" spans="1:10" ht="15.75" thickBot="1" x14ac:dyDescent="0.3">
      <c r="A142" s="146"/>
      <c r="B142" s="148"/>
      <c r="C142" s="146"/>
      <c r="D142" s="146"/>
      <c r="E142" s="608"/>
      <c r="F142" s="958">
        <f>SUM(F140:F141)</f>
        <v>115</v>
      </c>
      <c r="G142" s="959"/>
      <c r="H142" s="621">
        <f>SUM(H140:H141)</f>
        <v>-30</v>
      </c>
      <c r="I142" s="146"/>
      <c r="J142" s="363">
        <f>SUM(F142:H142)</f>
        <v>85</v>
      </c>
    </row>
    <row r="143" spans="1:10" hidden="1" x14ac:dyDescent="0.25">
      <c r="B143" s="6"/>
      <c r="F143" s="162"/>
      <c r="H143" s="64"/>
    </row>
    <row r="144" spans="1:10" hidden="1" x14ac:dyDescent="0.25">
      <c r="A144" s="95"/>
      <c r="B144" s="737" t="s">
        <v>2406</v>
      </c>
      <c r="C144" s="95"/>
      <c r="D144" s="95" t="s">
        <v>2407</v>
      </c>
      <c r="E144" s="738"/>
      <c r="F144" s="739">
        <f>110+150</f>
        <v>260</v>
      </c>
      <c r="G144" s="363"/>
      <c r="H144" s="740">
        <v>-100</v>
      </c>
      <c r="I144" s="95"/>
    </row>
    <row r="145" spans="1:10" hidden="1" x14ac:dyDescent="0.25">
      <c r="A145" s="95"/>
      <c r="B145" s="737"/>
      <c r="C145" s="95"/>
      <c r="D145" s="95"/>
      <c r="E145" s="738"/>
      <c r="F145" s="739"/>
      <c r="G145" s="363"/>
      <c r="H145" s="740">
        <v>-50</v>
      </c>
      <c r="I145" s="95" t="s">
        <v>67</v>
      </c>
    </row>
    <row r="146" spans="1:10" hidden="1" x14ac:dyDescent="0.25">
      <c r="A146" s="95"/>
      <c r="B146" s="737"/>
      <c r="C146" s="95"/>
      <c r="D146" s="95"/>
      <c r="E146" s="738"/>
      <c r="F146" s="739">
        <v>510</v>
      </c>
      <c r="G146" s="363"/>
      <c r="H146" s="740">
        <v>-100</v>
      </c>
      <c r="I146" s="95"/>
    </row>
    <row r="147" spans="1:10" hidden="1" x14ac:dyDescent="0.25">
      <c r="A147" s="95"/>
      <c r="B147" s="737"/>
      <c r="C147" s="737">
        <v>45425</v>
      </c>
      <c r="D147" s="95"/>
      <c r="E147" s="738"/>
      <c r="F147" s="739"/>
      <c r="G147" s="363"/>
      <c r="H147" s="740">
        <v>-200</v>
      </c>
      <c r="I147" s="95"/>
    </row>
    <row r="148" spans="1:10" hidden="1" x14ac:dyDescent="0.25">
      <c r="A148" s="95"/>
      <c r="B148" s="737"/>
      <c r="C148" s="737">
        <v>45462</v>
      </c>
      <c r="D148" s="95"/>
      <c r="E148" s="738"/>
      <c r="F148" s="739"/>
      <c r="G148" s="363"/>
      <c r="H148" s="740">
        <v>-300</v>
      </c>
      <c r="I148" s="95"/>
    </row>
    <row r="149" spans="1:10" ht="15.75" hidden="1" thickBot="1" x14ac:dyDescent="0.3">
      <c r="A149" s="95"/>
      <c r="B149" s="737"/>
      <c r="C149" s="737">
        <v>45467</v>
      </c>
      <c r="D149" s="95"/>
      <c r="E149" s="738"/>
      <c r="F149" s="739"/>
      <c r="G149" s="363"/>
      <c r="H149" s="740">
        <v>-20</v>
      </c>
      <c r="I149" s="95"/>
    </row>
    <row r="150" spans="1:10" ht="15.75" hidden="1" thickBot="1" x14ac:dyDescent="0.3">
      <c r="A150" s="95"/>
      <c r="B150" s="737"/>
      <c r="C150" s="95"/>
      <c r="D150" s="95"/>
      <c r="E150" s="738"/>
      <c r="F150" s="782">
        <f>SUM(F144:F146)</f>
        <v>770</v>
      </c>
      <c r="G150" s="574"/>
      <c r="H150" s="364">
        <f>SUM(H144:H149)</f>
        <v>-770</v>
      </c>
      <c r="I150" s="95"/>
      <c r="J150" s="363">
        <f>+F150+H150</f>
        <v>0</v>
      </c>
    </row>
    <row r="151" spans="1:10" hidden="1" x14ac:dyDescent="0.25">
      <c r="B151" s="6"/>
      <c r="F151" s="162"/>
      <c r="H151" s="64"/>
    </row>
    <row r="152" spans="1:10" hidden="1" x14ac:dyDescent="0.25">
      <c r="A152" s="95"/>
      <c r="B152" s="737">
        <v>45399</v>
      </c>
      <c r="C152" s="95"/>
      <c r="D152" s="95" t="s">
        <v>2420</v>
      </c>
      <c r="E152" s="738"/>
      <c r="F152" s="739">
        <v>120</v>
      </c>
      <c r="G152" s="363"/>
      <c r="H152" s="740">
        <v>-50</v>
      </c>
      <c r="I152" s="95"/>
    </row>
    <row r="153" spans="1:10" hidden="1" x14ac:dyDescent="0.25">
      <c r="A153" s="95"/>
      <c r="B153" s="737"/>
      <c r="C153" s="737">
        <v>45404</v>
      </c>
      <c r="D153" s="95"/>
      <c r="E153" s="738"/>
      <c r="F153" s="739"/>
      <c r="G153" s="363"/>
      <c r="H153" s="740">
        <v>-10</v>
      </c>
      <c r="I153" s="95"/>
    </row>
    <row r="154" spans="1:10" hidden="1" x14ac:dyDescent="0.25">
      <c r="A154" s="95"/>
      <c r="B154" s="737"/>
      <c r="C154" s="737">
        <v>45405</v>
      </c>
      <c r="D154" s="95"/>
      <c r="E154" s="738"/>
      <c r="F154" s="739"/>
      <c r="G154" s="363"/>
      <c r="H154" s="740">
        <v>-10</v>
      </c>
      <c r="I154" s="95"/>
    </row>
    <row r="155" spans="1:10" hidden="1" x14ac:dyDescent="0.25">
      <c r="A155" s="95"/>
      <c r="B155" s="737"/>
      <c r="C155" s="737">
        <v>45407</v>
      </c>
      <c r="D155" s="95"/>
      <c r="E155" s="738"/>
      <c r="F155" s="739"/>
      <c r="G155" s="901"/>
      <c r="H155" s="902">
        <v>-10</v>
      </c>
      <c r="I155" s="95"/>
    </row>
    <row r="156" spans="1:10" hidden="1" x14ac:dyDescent="0.25">
      <c r="A156" s="95"/>
      <c r="B156" s="737"/>
      <c r="C156" s="737">
        <v>45408</v>
      </c>
      <c r="D156" s="95"/>
      <c r="E156" s="738"/>
      <c r="F156" s="739"/>
      <c r="G156" s="901"/>
      <c r="H156" s="902">
        <v>-10</v>
      </c>
      <c r="I156" s="95"/>
    </row>
    <row r="157" spans="1:10" hidden="1" x14ac:dyDescent="0.25">
      <c r="A157" s="95"/>
      <c r="B157" s="737"/>
      <c r="C157" s="737">
        <v>45418</v>
      </c>
      <c r="D157" s="95"/>
      <c r="E157" s="738"/>
      <c r="F157" s="739"/>
      <c r="G157" s="901"/>
      <c r="H157" s="902">
        <v>-10</v>
      </c>
      <c r="I157" s="95"/>
    </row>
    <row r="158" spans="1:10" hidden="1" x14ac:dyDescent="0.25">
      <c r="A158" s="95"/>
      <c r="B158" s="737"/>
      <c r="C158" s="737">
        <v>45419</v>
      </c>
      <c r="D158" s="95"/>
      <c r="E158" s="738"/>
      <c r="F158" s="739"/>
      <c r="G158" s="901"/>
      <c r="H158" s="902">
        <v>-10</v>
      </c>
      <c r="I158" s="95"/>
    </row>
    <row r="159" spans="1:10" ht="15.75" hidden="1" thickBot="1" x14ac:dyDescent="0.3">
      <c r="A159" s="95"/>
      <c r="B159" s="737"/>
      <c r="C159" s="737">
        <v>45420</v>
      </c>
      <c r="D159" s="95"/>
      <c r="E159" s="738"/>
      <c r="F159" s="739"/>
      <c r="G159" s="901"/>
      <c r="H159" s="902">
        <v>-10</v>
      </c>
      <c r="I159" s="95"/>
    </row>
    <row r="160" spans="1:10" ht="15.75" hidden="1" thickBot="1" x14ac:dyDescent="0.3">
      <c r="A160" s="95"/>
      <c r="B160" s="737"/>
      <c r="C160" s="95"/>
      <c r="D160" s="95"/>
      <c r="E160" s="738"/>
      <c r="F160" s="782">
        <f>SUM(F152:F154)</f>
        <v>120</v>
      </c>
      <c r="G160" s="782">
        <f>SUM(G152:G154)</f>
        <v>0</v>
      </c>
      <c r="H160" s="782">
        <f>SUM(H152:H159)</f>
        <v>-120</v>
      </c>
      <c r="I160" s="95"/>
      <c r="J160" s="363">
        <f>+F160+H160</f>
        <v>0</v>
      </c>
    </row>
    <row r="161" spans="1:10" hidden="1" x14ac:dyDescent="0.25">
      <c r="B161" s="6"/>
      <c r="F161" s="162"/>
      <c r="H161" s="64"/>
    </row>
    <row r="162" spans="1:10" hidden="1" x14ac:dyDescent="0.25">
      <c r="A162" s="95"/>
      <c r="B162" s="737">
        <v>45414</v>
      </c>
      <c r="C162" s="95"/>
      <c r="D162" s="95" t="s">
        <v>2512</v>
      </c>
      <c r="E162" s="738"/>
      <c r="F162" s="739">
        <v>50</v>
      </c>
      <c r="G162" s="363"/>
      <c r="H162" s="740">
        <v>-20</v>
      </c>
      <c r="I162" s="95"/>
    </row>
    <row r="163" spans="1:10" hidden="1" x14ac:dyDescent="0.25">
      <c r="A163" s="95"/>
      <c r="B163" s="737"/>
      <c r="C163" s="737">
        <v>45425</v>
      </c>
      <c r="D163" s="95"/>
      <c r="E163" s="738"/>
      <c r="F163" s="739"/>
      <c r="G163" s="363"/>
      <c r="H163" s="740">
        <v>-10</v>
      </c>
      <c r="I163" s="95"/>
    </row>
    <row r="164" spans="1:10" hidden="1" x14ac:dyDescent="0.25">
      <c r="A164" s="95"/>
      <c r="B164" s="737"/>
      <c r="C164" s="737">
        <v>45427</v>
      </c>
      <c r="D164" s="95"/>
      <c r="E164" s="738"/>
      <c r="F164" s="739"/>
      <c r="G164" s="363"/>
      <c r="H164" s="740">
        <v>-10</v>
      </c>
      <c r="I164" s="95"/>
    </row>
    <row r="165" spans="1:10" ht="15.75" hidden="1" thickBot="1" x14ac:dyDescent="0.3">
      <c r="A165" s="95"/>
      <c r="B165" s="737"/>
      <c r="C165" s="737">
        <v>45447</v>
      </c>
      <c r="D165" s="95"/>
      <c r="E165" s="738"/>
      <c r="F165" s="739"/>
      <c r="G165" s="363"/>
      <c r="H165" s="740">
        <v>-10</v>
      </c>
      <c r="I165" s="95"/>
    </row>
    <row r="166" spans="1:10" ht="15.75" hidden="1" thickBot="1" x14ac:dyDescent="0.3">
      <c r="A166" s="95"/>
      <c r="B166" s="737"/>
      <c r="C166" s="95"/>
      <c r="D166" s="95"/>
      <c r="E166" s="738"/>
      <c r="F166" s="782">
        <f>SUM(F162:F163)</f>
        <v>50</v>
      </c>
      <c r="G166" s="574"/>
      <c r="H166" s="364">
        <f>SUM(H162:H165)</f>
        <v>-50</v>
      </c>
      <c r="I166" s="95"/>
      <c r="J166" s="363">
        <f>+F166+H166</f>
        <v>0</v>
      </c>
    </row>
    <row r="167" spans="1:10" hidden="1" x14ac:dyDescent="0.25">
      <c r="B167" s="6"/>
      <c r="F167" s="162"/>
      <c r="H167" s="64"/>
    </row>
    <row r="168" spans="1:10" hidden="1" x14ac:dyDescent="0.25">
      <c r="A168" s="95"/>
      <c r="B168" s="737">
        <v>45415</v>
      </c>
      <c r="C168" s="95"/>
      <c r="D168" s="95" t="s">
        <v>2536</v>
      </c>
      <c r="E168" s="738"/>
      <c r="F168" s="739">
        <v>65</v>
      </c>
      <c r="G168" s="363"/>
      <c r="H168" s="740">
        <v>-30</v>
      </c>
      <c r="I168" s="95"/>
    </row>
    <row r="169" spans="1:10" ht="15.75" hidden="1" thickBot="1" x14ac:dyDescent="0.3">
      <c r="A169" s="95"/>
      <c r="B169" s="737"/>
      <c r="C169" s="737">
        <v>45420</v>
      </c>
      <c r="D169" s="95"/>
      <c r="E169" s="738"/>
      <c r="F169" s="739"/>
      <c r="G169" s="363"/>
      <c r="H169" s="740">
        <v>-35</v>
      </c>
      <c r="I169" s="95"/>
    </row>
    <row r="170" spans="1:10" ht="15.75" hidden="1" thickBot="1" x14ac:dyDescent="0.3">
      <c r="A170" s="95"/>
      <c r="B170" s="737"/>
      <c r="C170" s="95"/>
      <c r="D170" s="95"/>
      <c r="E170" s="738"/>
      <c r="F170" s="782">
        <f>SUM(F168)</f>
        <v>65</v>
      </c>
      <c r="G170" s="574"/>
      <c r="H170" s="364">
        <f>SUM(H168)</f>
        <v>-30</v>
      </c>
      <c r="I170" s="95"/>
      <c r="J170" s="363">
        <f>+F170+H170</f>
        <v>35</v>
      </c>
    </row>
    <row r="171" spans="1:10" hidden="1" x14ac:dyDescent="0.25">
      <c r="B171" s="6"/>
      <c r="F171" s="162"/>
      <c r="H171" s="64"/>
    </row>
    <row r="172" spans="1:10" hidden="1" x14ac:dyDescent="0.25">
      <c r="A172" s="95"/>
      <c r="B172" s="737">
        <v>45423</v>
      </c>
      <c r="C172" s="95"/>
      <c r="D172" s="95" t="s">
        <v>2568</v>
      </c>
      <c r="E172" s="738"/>
      <c r="F172" s="739">
        <v>125</v>
      </c>
      <c r="G172" s="363"/>
      <c r="H172" s="740">
        <v>-60</v>
      </c>
      <c r="I172" s="95"/>
    </row>
    <row r="173" spans="1:10" ht="15.75" hidden="1" thickBot="1" x14ac:dyDescent="0.3">
      <c r="A173" s="95"/>
      <c r="B173" s="737"/>
      <c r="C173" s="737">
        <v>45439</v>
      </c>
      <c r="D173" s="95"/>
      <c r="E173" s="738"/>
      <c r="F173" s="739"/>
      <c r="G173" s="363"/>
      <c r="H173" s="740">
        <v>-65</v>
      </c>
      <c r="I173" s="95"/>
    </row>
    <row r="174" spans="1:10" ht="15.75" hidden="1" thickBot="1" x14ac:dyDescent="0.3">
      <c r="A174" s="95"/>
      <c r="B174" s="737"/>
      <c r="C174" s="95"/>
      <c r="D174" s="95"/>
      <c r="E174" s="738"/>
      <c r="F174" s="782">
        <f>SUM(F172:F173)</f>
        <v>125</v>
      </c>
      <c r="G174" s="574"/>
      <c r="H174" s="364">
        <f>SUM(H172:H173)</f>
        <v>-125</v>
      </c>
      <c r="I174" s="95"/>
      <c r="J174" s="363">
        <f>+F174+H174</f>
        <v>0</v>
      </c>
    </row>
    <row r="175" spans="1:10" hidden="1" x14ac:dyDescent="0.25">
      <c r="B175" s="6"/>
      <c r="F175" s="162"/>
      <c r="H175" s="64"/>
    </row>
    <row r="176" spans="1:10" hidden="1" x14ac:dyDescent="0.25">
      <c r="A176" s="95"/>
      <c r="B176" s="737">
        <v>45426</v>
      </c>
      <c r="C176" s="95"/>
      <c r="D176" s="95" t="s">
        <v>2420</v>
      </c>
      <c r="E176" s="738"/>
      <c r="F176" s="739">
        <v>125</v>
      </c>
      <c r="G176" s="363"/>
      <c r="H176" s="740">
        <v>-20</v>
      </c>
      <c r="I176" s="95"/>
    </row>
    <row r="177" spans="1:10" hidden="1" x14ac:dyDescent="0.25">
      <c r="A177" s="95"/>
      <c r="B177" s="737"/>
      <c r="C177" s="737">
        <v>45429</v>
      </c>
      <c r="D177" s="95"/>
      <c r="E177" s="738"/>
      <c r="F177" s="739"/>
      <c r="G177" s="363"/>
      <c r="H177" s="740">
        <v>-10</v>
      </c>
      <c r="I177" s="95"/>
    </row>
    <row r="178" spans="1:10" hidden="1" x14ac:dyDescent="0.25">
      <c r="A178" s="95"/>
      <c r="B178" s="737"/>
      <c r="C178" s="737">
        <v>45430</v>
      </c>
      <c r="D178" s="95"/>
      <c r="E178" s="738"/>
      <c r="F178" s="739"/>
      <c r="G178" s="363"/>
      <c r="H178" s="740">
        <v>-10</v>
      </c>
      <c r="I178" s="95"/>
    </row>
    <row r="179" spans="1:10" hidden="1" x14ac:dyDescent="0.25">
      <c r="A179" s="95"/>
      <c r="B179" s="737"/>
      <c r="C179" s="737">
        <v>45433</v>
      </c>
      <c r="D179" s="95"/>
      <c r="E179" s="738"/>
      <c r="F179" s="739"/>
      <c r="G179" s="363"/>
      <c r="H179" s="740">
        <v>-15</v>
      </c>
      <c r="I179" s="95"/>
    </row>
    <row r="180" spans="1:10" hidden="1" x14ac:dyDescent="0.25">
      <c r="A180" s="95"/>
      <c r="B180" s="737"/>
      <c r="C180" s="737">
        <v>45436</v>
      </c>
      <c r="D180" s="95"/>
      <c r="E180" s="738"/>
      <c r="F180" s="739"/>
      <c r="G180" s="363"/>
      <c r="H180" s="740">
        <v>-10</v>
      </c>
      <c r="I180" s="95"/>
    </row>
    <row r="181" spans="1:10" hidden="1" x14ac:dyDescent="0.25">
      <c r="A181" s="95"/>
      <c r="B181" s="737"/>
      <c r="C181" s="737">
        <v>45439</v>
      </c>
      <c r="D181" s="95"/>
      <c r="E181" s="738"/>
      <c r="F181" s="739"/>
      <c r="G181" s="363"/>
      <c r="H181" s="740">
        <v>-10</v>
      </c>
      <c r="I181" s="95"/>
    </row>
    <row r="182" spans="1:10" hidden="1" x14ac:dyDescent="0.25">
      <c r="A182" s="95"/>
      <c r="B182" s="737"/>
      <c r="C182" s="737">
        <v>45440</v>
      </c>
      <c r="D182" s="95"/>
      <c r="E182" s="738"/>
      <c r="F182" s="739"/>
      <c r="G182" s="363"/>
      <c r="H182" s="740">
        <v>-10</v>
      </c>
      <c r="I182" s="95"/>
    </row>
    <row r="183" spans="1:10" hidden="1" x14ac:dyDescent="0.25">
      <c r="A183" s="95"/>
      <c r="B183" s="737"/>
      <c r="C183" s="737">
        <v>45441</v>
      </c>
      <c r="D183" s="95"/>
      <c r="E183" s="738"/>
      <c r="F183" s="739"/>
      <c r="G183" s="363"/>
      <c r="H183" s="740">
        <v>-10</v>
      </c>
      <c r="I183" s="95"/>
    </row>
    <row r="184" spans="1:10" hidden="1" x14ac:dyDescent="0.25">
      <c r="A184" s="95"/>
      <c r="B184" s="737"/>
      <c r="C184" s="737">
        <v>45442</v>
      </c>
      <c r="D184" s="95"/>
      <c r="E184" s="738"/>
      <c r="F184" s="739"/>
      <c r="G184" s="363"/>
      <c r="H184" s="740">
        <v>-10</v>
      </c>
      <c r="I184" s="95"/>
    </row>
    <row r="185" spans="1:10" ht="15.75" hidden="1" thickBot="1" x14ac:dyDescent="0.3">
      <c r="A185" s="95"/>
      <c r="B185" s="737"/>
      <c r="C185" s="737">
        <v>45443</v>
      </c>
      <c r="D185" s="95"/>
      <c r="E185" s="738"/>
      <c r="F185" s="739"/>
      <c r="G185" s="363"/>
      <c r="H185" s="740">
        <v>-20</v>
      </c>
      <c r="I185" s="95"/>
    </row>
    <row r="186" spans="1:10" ht="15.75" hidden="1" thickBot="1" x14ac:dyDescent="0.3">
      <c r="A186" s="95"/>
      <c r="B186" s="737"/>
      <c r="C186" s="95"/>
      <c r="D186" s="95"/>
      <c r="E186" s="738"/>
      <c r="F186" s="782">
        <f>SUM(F176:F179)</f>
        <v>125</v>
      </c>
      <c r="G186" s="574"/>
      <c r="H186" s="364">
        <f>SUM(H176:H185)</f>
        <v>-125</v>
      </c>
      <c r="I186" s="95"/>
      <c r="J186" s="363">
        <f>+F186+H186</f>
        <v>0</v>
      </c>
    </row>
    <row r="187" spans="1:10" hidden="1" x14ac:dyDescent="0.25">
      <c r="B187" s="6"/>
      <c r="F187" s="162"/>
      <c r="H187" s="64"/>
    </row>
    <row r="188" spans="1:10" hidden="1" x14ac:dyDescent="0.25">
      <c r="A188" s="95"/>
      <c r="B188" s="737">
        <v>45432</v>
      </c>
      <c r="C188" s="95"/>
      <c r="D188" s="95" t="s">
        <v>2675</v>
      </c>
      <c r="E188" s="738"/>
      <c r="F188" s="739">
        <v>150</v>
      </c>
      <c r="G188" s="363"/>
      <c r="H188" s="740">
        <v>-40</v>
      </c>
      <c r="I188" s="95"/>
    </row>
    <row r="189" spans="1:10" ht="15.75" hidden="1" thickBot="1" x14ac:dyDescent="0.3">
      <c r="A189" s="95"/>
      <c r="B189" s="737"/>
      <c r="C189" s="737">
        <v>45433</v>
      </c>
      <c r="D189" s="95"/>
      <c r="E189" s="738"/>
      <c r="F189" s="739"/>
      <c r="G189" s="363"/>
      <c r="H189" s="740">
        <v>-110</v>
      </c>
      <c r="I189" s="95"/>
    </row>
    <row r="190" spans="1:10" ht="15.75" hidden="1" thickBot="1" x14ac:dyDescent="0.3">
      <c r="A190" s="95"/>
      <c r="B190" s="737"/>
      <c r="C190" s="95"/>
      <c r="D190" s="95"/>
      <c r="E190" s="738"/>
      <c r="F190" s="782">
        <f>SUM(F188:F189)</f>
        <v>150</v>
      </c>
      <c r="G190" s="574"/>
      <c r="H190" s="364">
        <f>SUM(H188:H189)</f>
        <v>-150</v>
      </c>
      <c r="I190" s="95"/>
      <c r="J190" s="363">
        <f>+F190+H190</f>
        <v>0</v>
      </c>
    </row>
    <row r="191" spans="1:10" hidden="1" x14ac:dyDescent="0.25">
      <c r="B191" s="6"/>
      <c r="F191" s="162"/>
      <c r="H191" s="64"/>
    </row>
    <row r="192" spans="1:10" hidden="1" x14ac:dyDescent="0.25">
      <c r="A192" s="95"/>
      <c r="B192" s="737">
        <v>45433</v>
      </c>
      <c r="C192" s="95"/>
      <c r="D192" s="95" t="s">
        <v>1679</v>
      </c>
      <c r="E192" s="738"/>
      <c r="F192" s="739">
        <v>195</v>
      </c>
      <c r="G192" s="363"/>
      <c r="H192" s="740">
        <v>-50</v>
      </c>
      <c r="I192" s="95"/>
    </row>
    <row r="193" spans="1:10" hidden="1" x14ac:dyDescent="0.25">
      <c r="A193" s="95"/>
      <c r="B193" s="737"/>
      <c r="C193" s="737">
        <v>45440</v>
      </c>
      <c r="D193" s="95"/>
      <c r="E193" s="738"/>
      <c r="F193" s="739"/>
      <c r="G193" s="363"/>
      <c r="H193" s="740">
        <v>-50</v>
      </c>
      <c r="I193" s="95"/>
    </row>
    <row r="194" spans="1:10" ht="15.75" hidden="1" thickBot="1" x14ac:dyDescent="0.3">
      <c r="A194" s="95"/>
      <c r="B194" s="737"/>
      <c r="C194" s="737">
        <v>45447</v>
      </c>
      <c r="D194" s="95"/>
      <c r="E194" s="738"/>
      <c r="F194" s="739"/>
      <c r="G194" s="363"/>
      <c r="H194" s="740">
        <v>-95</v>
      </c>
      <c r="I194" s="95"/>
    </row>
    <row r="195" spans="1:10" ht="15.75" hidden="1" thickBot="1" x14ac:dyDescent="0.3">
      <c r="A195" s="95"/>
      <c r="B195" s="737"/>
      <c r="C195" s="95"/>
      <c r="D195" s="95"/>
      <c r="E195" s="738"/>
      <c r="F195" s="782">
        <f>SUM(F192:F193)</f>
        <v>195</v>
      </c>
      <c r="G195" s="574"/>
      <c r="H195" s="364">
        <f>SUM(H192:H194)</f>
        <v>-195</v>
      </c>
      <c r="I195" s="95"/>
      <c r="J195" s="363">
        <f>+F195+H195</f>
        <v>0</v>
      </c>
    </row>
    <row r="196" spans="1:10" x14ac:dyDescent="0.25">
      <c r="B196" s="6"/>
      <c r="F196" s="162"/>
      <c r="H196" s="64"/>
    </row>
    <row r="197" spans="1:10" s="146" customFormat="1" x14ac:dyDescent="0.25">
      <c r="B197" s="148">
        <v>45439</v>
      </c>
      <c r="D197" s="146" t="s">
        <v>2716</v>
      </c>
      <c r="E197" s="608"/>
      <c r="F197" s="225">
        <v>170</v>
      </c>
      <c r="G197" s="609"/>
      <c r="H197" s="610">
        <v>-30</v>
      </c>
      <c r="J197" s="363"/>
    </row>
    <row r="198" spans="1:10" s="146" customFormat="1" x14ac:dyDescent="0.25">
      <c r="B198" s="148"/>
      <c r="C198" s="148">
        <v>45441</v>
      </c>
      <c r="E198" s="608"/>
      <c r="F198" s="225">
        <v>85</v>
      </c>
      <c r="G198" s="609"/>
      <c r="H198" s="610">
        <v>-140</v>
      </c>
      <c r="J198" s="363"/>
    </row>
    <row r="199" spans="1:10" s="146" customFormat="1" x14ac:dyDescent="0.25">
      <c r="B199" s="148">
        <v>45446</v>
      </c>
      <c r="C199" s="148"/>
      <c r="E199" s="608"/>
      <c r="F199" s="162"/>
      <c r="G199" s="49"/>
      <c r="H199" s="64">
        <v>-45</v>
      </c>
      <c r="J199" s="363"/>
    </row>
    <row r="200" spans="1:10" s="146" customFormat="1" ht="15.75" thickBot="1" x14ac:dyDescent="0.3">
      <c r="B200" s="148"/>
      <c r="C200" s="148"/>
      <c r="E200" s="608"/>
      <c r="F200" s="225"/>
      <c r="G200" s="609"/>
      <c r="H200" s="610"/>
      <c r="J200" s="363"/>
    </row>
    <row r="201" spans="1:10" s="146" customFormat="1" ht="15.75" thickBot="1" x14ac:dyDescent="0.3">
      <c r="B201" s="148"/>
      <c r="E201" s="608"/>
      <c r="F201" s="958">
        <f>SUM(F197:F200)</f>
        <v>255</v>
      </c>
      <c r="G201" s="959">
        <f t="shared" ref="G201" si="3">SUM(G197:G198)</f>
        <v>0</v>
      </c>
      <c r="H201" s="621">
        <f>SUM(H197:H200)</f>
        <v>-215</v>
      </c>
      <c r="J201" s="363">
        <f>+F201+H201</f>
        <v>40</v>
      </c>
    </row>
    <row r="202" spans="1:10" s="146" customFormat="1" hidden="1" x14ac:dyDescent="0.25">
      <c r="A202" s="95"/>
      <c r="B202" s="737"/>
      <c r="C202" s="95"/>
      <c r="D202" s="95"/>
      <c r="E202" s="738"/>
      <c r="F202" s="739"/>
      <c r="G202" s="363"/>
      <c r="H202" s="740"/>
      <c r="I202" s="95"/>
      <c r="J202" s="363"/>
    </row>
    <row r="203" spans="1:10" hidden="1" x14ac:dyDescent="0.25">
      <c r="A203" s="95"/>
      <c r="B203" s="737"/>
      <c r="C203" s="95"/>
      <c r="D203" s="95"/>
      <c r="E203" s="738"/>
      <c r="F203" s="739"/>
      <c r="G203" s="363"/>
      <c r="H203" s="740"/>
      <c r="I203" s="95"/>
    </row>
    <row r="204" spans="1:10" hidden="1" x14ac:dyDescent="0.25">
      <c r="A204" s="95"/>
      <c r="B204" s="737"/>
      <c r="C204" s="95"/>
      <c r="D204" s="95"/>
      <c r="E204" s="738"/>
      <c r="F204" s="739"/>
      <c r="G204" s="363"/>
      <c r="H204" s="740"/>
      <c r="I204" s="95"/>
    </row>
    <row r="205" spans="1:10" hidden="1" x14ac:dyDescent="0.25">
      <c r="A205" s="95"/>
      <c r="B205" s="737">
        <v>45447</v>
      </c>
      <c r="C205" s="95"/>
      <c r="D205" s="95" t="s">
        <v>2420</v>
      </c>
      <c r="E205" s="738"/>
      <c r="F205" s="739">
        <v>45</v>
      </c>
      <c r="G205" s="363"/>
      <c r="H205" s="740">
        <v>-10</v>
      </c>
      <c r="I205" s="95"/>
    </row>
    <row r="206" spans="1:10" hidden="1" x14ac:dyDescent="0.25">
      <c r="A206" s="95"/>
      <c r="B206" s="737"/>
      <c r="C206" s="737">
        <v>45448</v>
      </c>
      <c r="D206" s="95"/>
      <c r="E206" s="738"/>
      <c r="F206" s="739"/>
      <c r="G206" s="363"/>
      <c r="H206" s="740">
        <v>-10</v>
      </c>
      <c r="I206" s="95"/>
    </row>
    <row r="207" spans="1:10" ht="15.75" hidden="1" thickBot="1" x14ac:dyDescent="0.3">
      <c r="A207" s="95"/>
      <c r="B207" s="737"/>
      <c r="C207" s="737">
        <v>45456</v>
      </c>
      <c r="D207" s="95"/>
      <c r="E207" s="738"/>
      <c r="F207" s="739"/>
      <c r="G207" s="363"/>
      <c r="H207" s="740">
        <v>-25</v>
      </c>
      <c r="I207" s="95"/>
    </row>
    <row r="208" spans="1:10" ht="15.75" hidden="1" thickBot="1" x14ac:dyDescent="0.3">
      <c r="A208" s="95"/>
      <c r="B208" s="737"/>
      <c r="C208" s="95"/>
      <c r="D208" s="95"/>
      <c r="E208" s="738"/>
      <c r="F208" s="782">
        <f>SUM(F205:F207)</f>
        <v>45</v>
      </c>
      <c r="G208" s="574">
        <f>SUM(G205:G207)</f>
        <v>0</v>
      </c>
      <c r="H208" s="364">
        <f>SUM(H205:H207)</f>
        <v>-45</v>
      </c>
      <c r="I208" s="95"/>
      <c r="J208" s="363">
        <f>+F208+H208</f>
        <v>0</v>
      </c>
    </row>
    <row r="209" spans="1:10" hidden="1" x14ac:dyDescent="0.25">
      <c r="A209" s="95"/>
      <c r="B209" s="737"/>
      <c r="C209" s="95"/>
      <c r="D209" s="95"/>
      <c r="E209" s="738"/>
      <c r="F209" s="739"/>
      <c r="G209" s="363"/>
      <c r="H209" s="740"/>
      <c r="I209" s="95"/>
    </row>
    <row r="210" spans="1:10" hidden="1" x14ac:dyDescent="0.25">
      <c r="A210" s="95"/>
      <c r="B210" s="737">
        <v>45451</v>
      </c>
      <c r="C210" s="95"/>
      <c r="D210" s="95" t="s">
        <v>2777</v>
      </c>
      <c r="E210" s="738"/>
      <c r="F210" s="739">
        <v>45</v>
      </c>
      <c r="G210" s="363"/>
      <c r="H210" s="740">
        <v>-25</v>
      </c>
      <c r="I210" s="95"/>
    </row>
    <row r="211" spans="1:10" ht="15.75" hidden="1" thickBot="1" x14ac:dyDescent="0.3">
      <c r="A211" s="95"/>
      <c r="B211" s="737"/>
      <c r="C211" s="737">
        <v>45462</v>
      </c>
      <c r="D211" s="95"/>
      <c r="E211" s="738"/>
      <c r="F211" s="739"/>
      <c r="G211" s="363"/>
      <c r="H211" s="740">
        <v>-20</v>
      </c>
      <c r="I211" s="95"/>
    </row>
    <row r="212" spans="1:10" ht="15.75" hidden="1" thickBot="1" x14ac:dyDescent="0.3">
      <c r="A212" s="95"/>
      <c r="B212" s="95"/>
      <c r="C212" s="95"/>
      <c r="D212" s="95"/>
      <c r="E212" s="738"/>
      <c r="F212" s="782">
        <f t="shared" ref="F212:H212" si="4">SUM(F210:F211)</f>
        <v>45</v>
      </c>
      <c r="G212" s="574">
        <f t="shared" si="4"/>
        <v>0</v>
      </c>
      <c r="H212" s="364">
        <f t="shared" si="4"/>
        <v>-45</v>
      </c>
      <c r="I212" s="95"/>
      <c r="J212" s="363">
        <f>+F212+H212</f>
        <v>0</v>
      </c>
    </row>
    <row r="213" spans="1:10" hidden="1" x14ac:dyDescent="0.25">
      <c r="A213" s="95"/>
      <c r="B213" s="95"/>
      <c r="C213" s="95"/>
      <c r="D213" s="95"/>
      <c r="E213" s="738"/>
      <c r="F213" s="739"/>
      <c r="G213" s="363"/>
      <c r="H213" s="740"/>
      <c r="I213" s="95"/>
    </row>
    <row r="214" spans="1:10" hidden="1" x14ac:dyDescent="0.25">
      <c r="A214" s="95"/>
      <c r="B214" s="737">
        <v>45453</v>
      </c>
      <c r="C214" s="95"/>
      <c r="D214" s="95" t="s">
        <v>2778</v>
      </c>
      <c r="E214" s="738"/>
      <c r="F214" s="739">
        <f>75+80</f>
        <v>155</v>
      </c>
      <c r="G214" s="363"/>
      <c r="H214" s="740">
        <v>-60</v>
      </c>
      <c r="I214" s="95"/>
    </row>
    <row r="215" spans="1:10" ht="15.75" hidden="1" thickBot="1" x14ac:dyDescent="0.3">
      <c r="A215" s="95"/>
      <c r="B215" s="95"/>
      <c r="C215" s="737">
        <v>45456</v>
      </c>
      <c r="D215" s="95"/>
      <c r="E215" s="738"/>
      <c r="F215" s="739"/>
      <c r="G215" s="363"/>
      <c r="H215" s="740">
        <v>-95</v>
      </c>
      <c r="I215" s="95"/>
    </row>
    <row r="216" spans="1:10" ht="15.75" hidden="1" thickBot="1" x14ac:dyDescent="0.3">
      <c r="A216" s="95"/>
      <c r="B216" s="95"/>
      <c r="C216" s="95"/>
      <c r="D216" s="95"/>
      <c r="E216" s="738"/>
      <c r="F216" s="782">
        <f t="shared" ref="F216:H216" si="5">SUM(F214:F215)</f>
        <v>155</v>
      </c>
      <c r="G216" s="574">
        <f t="shared" si="5"/>
        <v>0</v>
      </c>
      <c r="H216" s="364">
        <f t="shared" si="5"/>
        <v>-155</v>
      </c>
      <c r="I216" s="95"/>
      <c r="J216" s="363">
        <f>+F216+H216</f>
        <v>0</v>
      </c>
    </row>
    <row r="217" spans="1:10" hidden="1" x14ac:dyDescent="0.25">
      <c r="A217" s="95"/>
      <c r="B217" s="95"/>
      <c r="C217" s="95"/>
      <c r="D217" s="95"/>
      <c r="E217" s="738"/>
      <c r="F217" s="739"/>
      <c r="G217" s="363"/>
      <c r="H217" s="740"/>
      <c r="I217" s="95"/>
    </row>
    <row r="218" spans="1:10" hidden="1" x14ac:dyDescent="0.25">
      <c r="A218" s="95"/>
      <c r="B218" s="737">
        <v>45454</v>
      </c>
      <c r="C218" s="95"/>
      <c r="D218" s="95" t="s">
        <v>2782</v>
      </c>
      <c r="E218" s="738"/>
      <c r="F218" s="739">
        <v>90</v>
      </c>
      <c r="G218" s="363"/>
      <c r="H218" s="740">
        <v>-20</v>
      </c>
      <c r="I218" s="95"/>
    </row>
    <row r="219" spans="1:10" ht="15.75" hidden="1" thickBot="1" x14ac:dyDescent="0.3">
      <c r="A219" s="95"/>
      <c r="B219" s="95"/>
      <c r="C219" s="737">
        <v>45455</v>
      </c>
      <c r="D219" s="95"/>
      <c r="E219" s="738"/>
      <c r="F219" s="739"/>
      <c r="G219" s="363"/>
      <c r="H219" s="740">
        <v>-70</v>
      </c>
      <c r="I219" s="95"/>
    </row>
    <row r="220" spans="1:10" ht="15.75" hidden="1" thickBot="1" x14ac:dyDescent="0.3">
      <c r="A220" s="95"/>
      <c r="B220" s="95"/>
      <c r="C220" s="95"/>
      <c r="D220" s="95"/>
      <c r="E220" s="738"/>
      <c r="F220" s="782">
        <f t="shared" ref="F220:H220" si="6">SUM(F218:F219)</f>
        <v>90</v>
      </c>
      <c r="G220" s="574">
        <f t="shared" si="6"/>
        <v>0</v>
      </c>
      <c r="H220" s="364">
        <f t="shared" si="6"/>
        <v>-90</v>
      </c>
      <c r="I220" s="95"/>
    </row>
    <row r="221" spans="1:10" hidden="1" x14ac:dyDescent="0.25">
      <c r="A221" s="95"/>
      <c r="B221" s="95"/>
      <c r="C221" s="95"/>
      <c r="D221" s="95"/>
      <c r="E221" s="738"/>
      <c r="F221" s="739"/>
      <c r="G221" s="363"/>
      <c r="H221" s="740"/>
      <c r="I221" s="95"/>
    </row>
    <row r="222" spans="1:10" hidden="1" x14ac:dyDescent="0.25">
      <c r="A222" s="95"/>
      <c r="B222" s="737">
        <v>45456</v>
      </c>
      <c r="C222" s="95"/>
      <c r="D222" s="95" t="s">
        <v>2813</v>
      </c>
      <c r="E222" s="738"/>
      <c r="F222" s="739">
        <v>65</v>
      </c>
      <c r="G222" s="363"/>
      <c r="H222" s="740">
        <v>-30</v>
      </c>
      <c r="I222" s="95"/>
    </row>
    <row r="223" spans="1:10" ht="15.75" hidden="1" thickBot="1" x14ac:dyDescent="0.3">
      <c r="A223" s="95"/>
      <c r="B223" s="95"/>
      <c r="C223" s="737">
        <v>45447</v>
      </c>
      <c r="D223" s="95"/>
      <c r="E223" s="738"/>
      <c r="F223" s="739"/>
      <c r="G223" s="363"/>
      <c r="H223" s="740">
        <v>-35</v>
      </c>
      <c r="I223" s="95"/>
    </row>
    <row r="224" spans="1:10" ht="15.75" hidden="1" thickBot="1" x14ac:dyDescent="0.3">
      <c r="A224" s="95"/>
      <c r="B224" s="95"/>
      <c r="C224" s="95"/>
      <c r="D224" s="95"/>
      <c r="E224" s="738"/>
      <c r="F224" s="782">
        <f t="shared" ref="F224:H224" si="7">SUM(F222:F223)</f>
        <v>65</v>
      </c>
      <c r="G224" s="574">
        <f t="shared" si="7"/>
        <v>0</v>
      </c>
      <c r="H224" s="364">
        <f t="shared" si="7"/>
        <v>-65</v>
      </c>
      <c r="I224" s="95"/>
      <c r="J224" s="363">
        <f>+F224+H224</f>
        <v>0</v>
      </c>
    </row>
    <row r="225" spans="1:10" x14ac:dyDescent="0.25">
      <c r="F225" s="162"/>
      <c r="H225" s="64"/>
    </row>
    <row r="226" spans="1:10" x14ac:dyDescent="0.25">
      <c r="B226" s="6">
        <v>45468</v>
      </c>
      <c r="D226" t="s">
        <v>2913</v>
      </c>
      <c r="F226" s="162">
        <v>235</v>
      </c>
      <c r="H226" s="64">
        <v>-100</v>
      </c>
    </row>
    <row r="227" spans="1:10" ht="15.75" thickBot="1" x14ac:dyDescent="0.3">
      <c r="F227" s="162"/>
      <c r="H227" s="64"/>
    </row>
    <row r="228" spans="1:10" ht="15.75" thickBot="1" x14ac:dyDescent="0.3">
      <c r="F228" s="7">
        <f t="shared" ref="F228:H228" si="8">SUM(F226:F227)</f>
        <v>235</v>
      </c>
      <c r="G228" s="111">
        <f t="shared" si="8"/>
        <v>0</v>
      </c>
      <c r="H228" s="114">
        <f t="shared" si="8"/>
        <v>-100</v>
      </c>
      <c r="J228" s="363">
        <f>+F228+H228</f>
        <v>135</v>
      </c>
    </row>
    <row r="229" spans="1:10" x14ac:dyDescent="0.25">
      <c r="F229" s="162"/>
      <c r="H229" s="64"/>
    </row>
    <row r="230" spans="1:10" hidden="1" x14ac:dyDescent="0.25">
      <c r="A230" s="95"/>
      <c r="B230" s="737">
        <v>45495</v>
      </c>
      <c r="C230" s="95"/>
      <c r="D230" s="95" t="s">
        <v>3002</v>
      </c>
      <c r="E230" s="738"/>
      <c r="F230" s="739">
        <f>260-45</f>
        <v>215</v>
      </c>
      <c r="G230" s="363"/>
      <c r="H230" s="740">
        <v>-100</v>
      </c>
      <c r="I230" s="95"/>
    </row>
    <row r="231" spans="1:10" hidden="1" x14ac:dyDescent="0.25">
      <c r="A231" s="95"/>
      <c r="B231" s="95"/>
      <c r="C231" s="737">
        <v>45497</v>
      </c>
      <c r="D231" s="95"/>
      <c r="E231" s="738"/>
      <c r="F231" s="739">
        <v>125</v>
      </c>
      <c r="G231" s="363"/>
      <c r="H231" s="740">
        <v>-60</v>
      </c>
      <c r="I231" s="95"/>
    </row>
    <row r="232" spans="1:10" ht="15.75" hidden="1" thickBot="1" x14ac:dyDescent="0.3">
      <c r="A232" s="95"/>
      <c r="B232" s="95"/>
      <c r="C232" s="737">
        <v>45499</v>
      </c>
      <c r="D232" s="95"/>
      <c r="E232" s="738"/>
      <c r="F232" s="739"/>
      <c r="G232" s="363"/>
      <c r="H232" s="740">
        <v>-180</v>
      </c>
      <c r="I232" s="95"/>
    </row>
    <row r="233" spans="1:10" ht="15.75" hidden="1" thickBot="1" x14ac:dyDescent="0.3">
      <c r="A233" s="95"/>
      <c r="B233" s="95"/>
      <c r="C233" s="95"/>
      <c r="D233" s="95"/>
      <c r="E233" s="738"/>
      <c r="F233" s="782">
        <f t="shared" ref="F233:H233" si="9">SUM(F230:F232)</f>
        <v>340</v>
      </c>
      <c r="G233" s="574">
        <f t="shared" si="9"/>
        <v>0</v>
      </c>
      <c r="H233" s="364">
        <f t="shared" si="9"/>
        <v>-340</v>
      </c>
      <c r="I233" s="95"/>
      <c r="J233" s="363">
        <f>+F233+H233</f>
        <v>0</v>
      </c>
    </row>
    <row r="234" spans="1:10" hidden="1" x14ac:dyDescent="0.25">
      <c r="F234" s="162"/>
      <c r="H234" s="64"/>
    </row>
    <row r="235" spans="1:10" x14ac:dyDescent="0.25">
      <c r="B235" s="6">
        <v>45496</v>
      </c>
      <c r="D235" t="s">
        <v>3010</v>
      </c>
      <c r="F235" s="162">
        <v>55</v>
      </c>
      <c r="H235" s="64">
        <v>-25</v>
      </c>
    </row>
    <row r="236" spans="1:10" ht="15.75" thickBot="1" x14ac:dyDescent="0.3"/>
    <row r="237" spans="1:10" ht="15.75" thickBot="1" x14ac:dyDescent="0.3">
      <c r="F237" s="551">
        <f t="shared" ref="F237:H237" si="10">SUM(F235:F236)</f>
        <v>55</v>
      </c>
      <c r="G237" s="111">
        <f t="shared" si="10"/>
        <v>0</v>
      </c>
      <c r="H237" s="111">
        <f t="shared" si="10"/>
        <v>-25</v>
      </c>
      <c r="J237" s="363">
        <f t="shared" ref="J237" si="11">+F237+H237</f>
        <v>30</v>
      </c>
    </row>
    <row r="244" spans="2:10" ht="15.75" thickBot="1" x14ac:dyDescent="0.3"/>
    <row r="245" spans="2:10" ht="15.75" thickBot="1" x14ac:dyDescent="0.3">
      <c r="D245" s="7" t="s">
        <v>31</v>
      </c>
      <c r="E245" s="548"/>
      <c r="F245" s="8">
        <f>SUM(F144:F236)</f>
        <v>5715</v>
      </c>
      <c r="G245" s="114"/>
      <c r="H245" s="114">
        <f>SUM(H144:H236)</f>
        <v>-5300</v>
      </c>
      <c r="I245" s="8"/>
      <c r="J245" s="364">
        <f>SUM(J2:J236)</f>
        <v>285</v>
      </c>
    </row>
    <row r="247" spans="2:10" x14ac:dyDescent="0.25">
      <c r="B247" s="6">
        <v>45439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5"/>
  <sheetViews>
    <sheetView topLeftCell="B1" zoomScale="120" zoomScaleNormal="120" workbookViewId="0">
      <pane ySplit="1" topLeftCell="A481" activePane="bottomLeft" state="frozen"/>
      <selection activeCell="D14" sqref="D14"/>
      <selection pane="bottomLeft" activeCell="F505" sqref="F505"/>
    </sheetView>
  </sheetViews>
  <sheetFormatPr defaultColWidth="9.140625" defaultRowHeight="18" customHeight="1" x14ac:dyDescent="0.25"/>
  <cols>
    <col min="1" max="1" width="0" style="59" hidden="1" customWidth="1"/>
    <col min="2" max="2" width="15.28515625" style="34" customWidth="1"/>
    <col min="3" max="3" width="13.42578125" style="59" customWidth="1"/>
    <col min="4" max="4" width="8.140625" style="119" customWidth="1"/>
    <col min="5" max="5" width="11.7109375" style="59" customWidth="1"/>
    <col min="6" max="6" width="14" style="59" customWidth="1"/>
    <col min="7" max="7" width="8" style="54" customWidth="1"/>
    <col min="8" max="8" width="10" style="409" customWidth="1"/>
    <col min="9" max="9" width="11" style="402" customWidth="1"/>
    <col min="10" max="10" width="9.140625" style="59" customWidth="1"/>
    <col min="11" max="11" width="23.7109375" style="59" customWidth="1"/>
    <col min="12" max="12" width="10.42578125" style="59" customWidth="1"/>
    <col min="13" max="13" width="9.5703125" style="59" bestFit="1" customWidth="1"/>
    <col min="14" max="14" width="12" style="59" customWidth="1"/>
    <col min="15" max="16384" width="9.140625" style="59"/>
  </cols>
  <sheetData>
    <row r="1" spans="1:13" s="54" customFormat="1" ht="31.5" customHeight="1" x14ac:dyDescent="0.25">
      <c r="A1" s="54" t="s">
        <v>703</v>
      </c>
      <c r="B1" s="66"/>
      <c r="C1" s="66" t="s">
        <v>128</v>
      </c>
      <c r="D1" s="118" t="s">
        <v>217</v>
      </c>
      <c r="E1" s="66" t="s">
        <v>28</v>
      </c>
      <c r="F1" s="67" t="s">
        <v>129</v>
      </c>
      <c r="G1" s="57"/>
      <c r="H1" s="405"/>
      <c r="I1" s="355" t="s">
        <v>714</v>
      </c>
      <c r="M1" s="57"/>
    </row>
    <row r="2" spans="1:13" s="54" customFormat="1" ht="31.5" customHeight="1" x14ac:dyDescent="0.25">
      <c r="B2" s="66"/>
      <c r="C2" s="66"/>
      <c r="D2" s="118"/>
      <c r="E2" s="66"/>
      <c r="F2" s="67"/>
      <c r="G2" s="57"/>
      <c r="H2" s="405"/>
      <c r="I2" s="355"/>
      <c r="M2" s="57"/>
    </row>
    <row r="3" spans="1:13" s="188" customFormat="1" ht="18" customHeight="1" x14ac:dyDescent="0.25">
      <c r="A3" s="188" t="s">
        <v>66</v>
      </c>
      <c r="B3" s="245" t="s">
        <v>132</v>
      </c>
      <c r="C3" s="245"/>
      <c r="D3" s="246"/>
      <c r="E3" s="245">
        <v>215</v>
      </c>
      <c r="F3" s="247"/>
      <c r="G3" s="248"/>
      <c r="H3" s="406"/>
      <c r="I3" s="356"/>
      <c r="M3" s="248"/>
    </row>
    <row r="4" spans="1:13" s="188" customFormat="1" ht="18" customHeight="1" x14ac:dyDescent="0.25">
      <c r="A4" s="188">
        <v>2</v>
      </c>
      <c r="B4" s="245" t="s">
        <v>133</v>
      </c>
      <c r="C4" s="245"/>
      <c r="D4" s="246"/>
      <c r="E4" s="245"/>
      <c r="F4" s="247"/>
      <c r="G4" s="248"/>
      <c r="H4" s="406"/>
      <c r="I4" s="356"/>
      <c r="M4" s="248"/>
    </row>
    <row r="5" spans="1:13" s="81" customFormat="1" ht="18" customHeight="1" x14ac:dyDescent="0.25">
      <c r="A5" s="188">
        <v>7</v>
      </c>
      <c r="B5" s="82" t="s">
        <v>162</v>
      </c>
      <c r="C5" s="168">
        <v>43088</v>
      </c>
      <c r="D5" s="187"/>
      <c r="E5" s="81">
        <f>150+60+150+65</f>
        <v>425</v>
      </c>
      <c r="F5" s="249" t="e">
        <f>+E5-#REF!</f>
        <v>#REF!</v>
      </c>
      <c r="G5" s="250" t="e">
        <f>+F5</f>
        <v>#REF!</v>
      </c>
      <c r="H5" s="407"/>
      <c r="I5" s="306"/>
    </row>
    <row r="6" spans="1:13" s="81" customFormat="1" ht="18" customHeight="1" x14ac:dyDescent="0.25">
      <c r="A6" s="188"/>
      <c r="B6" s="82"/>
      <c r="C6" s="168"/>
      <c r="D6" s="187"/>
      <c r="F6" s="249"/>
      <c r="G6" s="250"/>
      <c r="H6" s="407"/>
      <c r="I6" s="306"/>
    </row>
    <row r="7" spans="1:13" s="81" customFormat="1" ht="18" customHeight="1" x14ac:dyDescent="0.25">
      <c r="B7" s="82" t="s">
        <v>266</v>
      </c>
      <c r="C7" s="168">
        <v>43571</v>
      </c>
      <c r="D7" s="187"/>
      <c r="E7" s="82">
        <v>125</v>
      </c>
      <c r="G7" s="188"/>
      <c r="H7" s="408"/>
      <c r="I7" s="306"/>
    </row>
    <row r="8" spans="1:13" s="81" customFormat="1" ht="18" customHeight="1" thickBot="1" x14ac:dyDescent="0.3">
      <c r="B8" s="82"/>
      <c r="C8" s="168">
        <v>43597</v>
      </c>
      <c r="D8" s="187"/>
      <c r="E8" s="82"/>
      <c r="G8" s="188"/>
      <c r="H8" s="408"/>
      <c r="I8" s="306"/>
    </row>
    <row r="9" spans="1:13" s="81" customFormat="1" ht="18" customHeight="1" thickBot="1" x14ac:dyDescent="0.3">
      <c r="B9" s="82"/>
      <c r="C9" s="168"/>
      <c r="D9" s="187"/>
      <c r="E9" s="189">
        <f>SUM(E7:E8)</f>
        <v>125</v>
      </c>
      <c r="G9" s="188"/>
      <c r="H9" s="408"/>
      <c r="I9" s="306" t="e">
        <f>+E9+#REF!</f>
        <v>#REF!</v>
      </c>
    </row>
    <row r="10" spans="1:13" s="81" customFormat="1" ht="18" customHeight="1" x14ac:dyDescent="0.25">
      <c r="B10" s="82"/>
      <c r="C10" s="168"/>
      <c r="D10" s="187"/>
      <c r="E10" s="244"/>
      <c r="G10" s="188"/>
      <c r="H10" s="408"/>
      <c r="I10" s="306"/>
    </row>
    <row r="11" spans="1:13" s="81" customFormat="1" ht="18" customHeight="1" x14ac:dyDescent="0.25">
      <c r="B11" s="82" t="s">
        <v>252</v>
      </c>
      <c r="C11" s="168"/>
      <c r="D11" s="187"/>
      <c r="E11" s="81">
        <v>65</v>
      </c>
      <c r="F11" s="249">
        <v>-30</v>
      </c>
      <c r="G11" s="188"/>
      <c r="H11" s="408"/>
      <c r="I11" s="306"/>
    </row>
    <row r="12" spans="1:13" s="81" customFormat="1" ht="18" customHeight="1" x14ac:dyDescent="0.25">
      <c r="B12" s="82"/>
      <c r="C12" s="168">
        <v>43550</v>
      </c>
      <c r="D12" s="187"/>
      <c r="E12" s="81">
        <v>65</v>
      </c>
      <c r="F12" s="249">
        <v>-40</v>
      </c>
      <c r="G12" s="188"/>
      <c r="H12" s="408"/>
      <c r="I12" s="306"/>
    </row>
    <row r="13" spans="1:13" s="81" customFormat="1" ht="18" customHeight="1" x14ac:dyDescent="0.25">
      <c r="B13" s="82"/>
      <c r="C13" s="168">
        <v>43612</v>
      </c>
      <c r="D13" s="187"/>
      <c r="F13" s="249">
        <v>-50</v>
      </c>
      <c r="G13" s="188"/>
      <c r="H13" s="408"/>
      <c r="I13" s="306"/>
    </row>
    <row r="14" spans="1:13" s="81" customFormat="1" ht="18" customHeight="1" x14ac:dyDescent="0.25">
      <c r="B14" s="82"/>
      <c r="C14" s="168">
        <v>43613</v>
      </c>
      <c r="D14" s="187"/>
      <c r="E14" s="81">
        <v>200</v>
      </c>
      <c r="F14" s="249"/>
      <c r="G14" s="188"/>
      <c r="H14" s="408"/>
      <c r="I14" s="306"/>
    </row>
    <row r="15" spans="1:13" s="81" customFormat="1" ht="18" customHeight="1" thickBot="1" x14ac:dyDescent="0.3">
      <c r="B15" s="82"/>
      <c r="C15" s="168">
        <v>43847</v>
      </c>
      <c r="D15" s="187"/>
      <c r="F15" s="249">
        <v>-50</v>
      </c>
      <c r="G15" s="188"/>
      <c r="H15" s="408"/>
      <c r="I15" s="306"/>
    </row>
    <row r="16" spans="1:13" s="81" customFormat="1" ht="18" customHeight="1" thickBot="1" x14ac:dyDescent="0.3">
      <c r="B16" s="82"/>
      <c r="C16" s="168"/>
      <c r="D16" s="187"/>
      <c r="E16" s="251">
        <f>SUM(E11:E15)</f>
        <v>330</v>
      </c>
      <c r="F16" s="252">
        <f>SUM(F11:F15)</f>
        <v>-170</v>
      </c>
      <c r="G16" s="188"/>
      <c r="H16" s="408"/>
      <c r="I16" s="306">
        <f>+E16+F16</f>
        <v>160</v>
      </c>
    </row>
    <row r="17" spans="2:9" s="81" customFormat="1" ht="18" customHeight="1" x14ac:dyDescent="0.25">
      <c r="B17" s="82"/>
      <c r="C17" s="168"/>
      <c r="D17" s="187"/>
      <c r="E17" s="244"/>
      <c r="F17" s="669"/>
      <c r="G17" s="188"/>
      <c r="H17" s="408"/>
      <c r="I17" s="306"/>
    </row>
    <row r="18" spans="2:9" ht="18" customHeight="1" x14ac:dyDescent="0.25">
      <c r="B18" s="80" t="s">
        <v>233</v>
      </c>
      <c r="C18" s="211">
        <v>43546</v>
      </c>
      <c r="D18" s="212">
        <v>431</v>
      </c>
      <c r="E18" s="69">
        <v>200</v>
      </c>
      <c r="F18" s="69"/>
      <c r="G18" s="74"/>
      <c r="H18" s="412"/>
    </row>
    <row r="19" spans="2:9" ht="18" customHeight="1" x14ac:dyDescent="0.25">
      <c r="B19" s="80"/>
      <c r="C19" s="211">
        <v>43551</v>
      </c>
      <c r="D19" s="212"/>
      <c r="E19" s="69"/>
      <c r="F19" s="69"/>
      <c r="G19" s="74"/>
      <c r="H19" s="412"/>
    </row>
    <row r="20" spans="2:9" ht="18" hidden="1" customHeight="1" x14ac:dyDescent="0.25">
      <c r="B20" s="80"/>
      <c r="C20" s="211">
        <v>43551</v>
      </c>
      <c r="D20" s="212"/>
      <c r="E20" s="69">
        <f>125+180</f>
        <v>305</v>
      </c>
      <c r="F20" s="69"/>
      <c r="G20" s="74"/>
      <c r="H20" s="412"/>
    </row>
    <row r="21" spans="2:9" ht="18" hidden="1" customHeight="1" x14ac:dyDescent="0.25">
      <c r="B21" s="80"/>
      <c r="C21" s="211"/>
      <c r="D21" s="212"/>
      <c r="E21" s="69">
        <v>175</v>
      </c>
      <c r="F21" s="69"/>
      <c r="G21" s="74"/>
      <c r="H21" s="412"/>
    </row>
    <row r="22" spans="2:9" ht="18" hidden="1" customHeight="1" x14ac:dyDescent="0.25">
      <c r="B22" s="80"/>
      <c r="C22" s="211">
        <v>43553</v>
      </c>
      <c r="D22" s="212"/>
      <c r="E22" s="69"/>
      <c r="F22" s="69"/>
      <c r="G22" s="74"/>
      <c r="H22" s="412"/>
    </row>
    <row r="23" spans="2:9" ht="18" hidden="1" customHeight="1" x14ac:dyDescent="0.25">
      <c r="B23" s="80"/>
      <c r="C23" s="211">
        <v>43593</v>
      </c>
      <c r="D23" s="212"/>
      <c r="E23" s="69">
        <v>65</v>
      </c>
      <c r="F23" s="69"/>
      <c r="G23" s="74"/>
      <c r="H23" s="412"/>
    </row>
    <row r="24" spans="2:9" ht="18" hidden="1" customHeight="1" x14ac:dyDescent="0.25">
      <c r="B24" s="80"/>
      <c r="C24" s="211">
        <v>43602</v>
      </c>
      <c r="D24" s="212"/>
      <c r="E24" s="69">
        <f>45+85</f>
        <v>130</v>
      </c>
      <c r="F24" s="69"/>
      <c r="G24" s="74"/>
      <c r="H24" s="412"/>
    </row>
    <row r="25" spans="2:9" ht="18" hidden="1" customHeight="1" x14ac:dyDescent="0.25">
      <c r="B25" s="80"/>
      <c r="C25" s="211">
        <v>43607</v>
      </c>
      <c r="D25" s="212"/>
      <c r="E25" s="69">
        <f>70+65</f>
        <v>135</v>
      </c>
      <c r="F25" s="69"/>
      <c r="G25" s="74"/>
      <c r="H25" s="412"/>
    </row>
    <row r="26" spans="2:9" ht="18" hidden="1" customHeight="1" x14ac:dyDescent="0.25">
      <c r="B26" s="80"/>
      <c r="C26" s="211">
        <v>43608</v>
      </c>
      <c r="D26" s="212"/>
      <c r="E26" s="69">
        <v>65</v>
      </c>
      <c r="F26" s="69"/>
      <c r="G26" s="74"/>
      <c r="H26" s="412"/>
    </row>
    <row r="27" spans="2:9" ht="18" hidden="1" customHeight="1" x14ac:dyDescent="0.25">
      <c r="B27" s="80"/>
      <c r="C27" s="211">
        <v>43616</v>
      </c>
      <c r="D27" s="212"/>
      <c r="E27" s="69"/>
      <c r="F27" s="69"/>
      <c r="G27" s="74"/>
      <c r="H27" s="412"/>
    </row>
    <row r="28" spans="2:9" ht="18" hidden="1" customHeight="1" x14ac:dyDescent="0.25">
      <c r="B28" s="80"/>
      <c r="C28" s="211">
        <v>43616</v>
      </c>
      <c r="D28" s="212"/>
      <c r="E28" s="69">
        <v>415</v>
      </c>
      <c r="F28" s="69"/>
      <c r="G28" s="74"/>
      <c r="H28" s="412"/>
    </row>
    <row r="29" spans="2:9" ht="18" hidden="1" customHeight="1" x14ac:dyDescent="0.25">
      <c r="B29" s="80"/>
      <c r="C29" s="211">
        <v>43630</v>
      </c>
      <c r="D29" s="212"/>
      <c r="E29" s="69">
        <v>90</v>
      </c>
      <c r="F29" s="69"/>
      <c r="G29" s="74"/>
      <c r="H29" s="412"/>
    </row>
    <row r="30" spans="2:9" ht="18" hidden="1" customHeight="1" x14ac:dyDescent="0.25">
      <c r="B30" s="80"/>
      <c r="C30" s="211">
        <v>43664</v>
      </c>
      <c r="D30" s="212"/>
      <c r="E30" s="69"/>
      <c r="F30" s="69"/>
      <c r="G30" s="74"/>
      <c r="H30" s="412"/>
    </row>
    <row r="31" spans="2:9" ht="18" hidden="1" customHeight="1" x14ac:dyDescent="0.25">
      <c r="B31" s="80"/>
      <c r="C31" s="211">
        <v>43664</v>
      </c>
      <c r="D31" s="212"/>
      <c r="E31" s="69">
        <v>200</v>
      </c>
      <c r="F31" s="69"/>
      <c r="G31" s="74"/>
      <c r="H31" s="412"/>
    </row>
    <row r="32" spans="2:9" ht="18" hidden="1" customHeight="1" x14ac:dyDescent="0.25">
      <c r="B32" s="80"/>
      <c r="C32" s="211">
        <v>43679</v>
      </c>
      <c r="D32" s="212"/>
      <c r="E32" s="69">
        <v>300</v>
      </c>
      <c r="F32" s="69"/>
      <c r="G32" s="74"/>
      <c r="H32" s="412"/>
    </row>
    <row r="33" spans="2:11" ht="18" hidden="1" customHeight="1" x14ac:dyDescent="0.25">
      <c r="B33" s="80"/>
      <c r="C33" s="211">
        <v>43694</v>
      </c>
      <c r="D33" s="212"/>
      <c r="E33" s="69"/>
      <c r="F33" s="69"/>
      <c r="G33" s="74"/>
      <c r="H33" s="412"/>
    </row>
    <row r="34" spans="2:11" ht="18" hidden="1" customHeight="1" x14ac:dyDescent="0.25">
      <c r="B34" s="80"/>
      <c r="C34" s="211">
        <v>43694</v>
      </c>
      <c r="D34" s="212"/>
      <c r="E34" s="69">
        <v>100</v>
      </c>
      <c r="F34" s="69"/>
      <c r="G34" s="74"/>
      <c r="H34" s="412"/>
    </row>
    <row r="35" spans="2:11" ht="18" hidden="1" customHeight="1" x14ac:dyDescent="0.25">
      <c r="B35" s="80"/>
      <c r="C35" s="211">
        <v>43732</v>
      </c>
      <c r="D35" s="212"/>
      <c r="E35" s="69">
        <v>215</v>
      </c>
      <c r="F35" s="69"/>
      <c r="G35" s="74"/>
      <c r="H35" s="412"/>
    </row>
    <row r="36" spans="2:11" ht="18" hidden="1" customHeight="1" x14ac:dyDescent="0.25">
      <c r="B36" s="80"/>
      <c r="C36" s="211">
        <v>43748</v>
      </c>
      <c r="D36" s="212"/>
      <c r="E36" s="69"/>
      <c r="F36" s="69"/>
      <c r="G36" s="74"/>
      <c r="H36" s="412"/>
    </row>
    <row r="37" spans="2:11" ht="18" hidden="1" customHeight="1" x14ac:dyDescent="0.25">
      <c r="B37" s="80"/>
      <c r="C37" s="211">
        <v>43748</v>
      </c>
      <c r="D37" s="212"/>
      <c r="E37" s="69">
        <v>125</v>
      </c>
      <c r="F37" s="69"/>
      <c r="G37" s="74"/>
      <c r="H37" s="412"/>
    </row>
    <row r="38" spans="2:11" ht="18" hidden="1" customHeight="1" x14ac:dyDescent="0.25">
      <c r="B38" s="80"/>
      <c r="C38" s="211">
        <v>44169</v>
      </c>
      <c r="D38" s="212"/>
      <c r="E38" s="69">
        <v>150</v>
      </c>
      <c r="F38" s="69"/>
      <c r="G38" s="74"/>
      <c r="H38" s="412"/>
    </row>
    <row r="39" spans="2:11" ht="18" hidden="1" customHeight="1" x14ac:dyDescent="0.25">
      <c r="B39" s="80"/>
      <c r="C39" s="211">
        <v>43820</v>
      </c>
      <c r="D39" s="212"/>
      <c r="E39" s="69">
        <v>120</v>
      </c>
      <c r="F39" s="69"/>
      <c r="G39" s="74"/>
      <c r="H39" s="412"/>
    </row>
    <row r="40" spans="2:11" ht="18" hidden="1" customHeight="1" x14ac:dyDescent="0.25">
      <c r="B40" s="80"/>
      <c r="C40" s="211">
        <v>43859</v>
      </c>
      <c r="D40" s="212"/>
      <c r="E40" s="69"/>
      <c r="F40" s="69"/>
      <c r="G40" s="74"/>
      <c r="H40" s="412"/>
    </row>
    <row r="41" spans="2:11" ht="18" hidden="1" customHeight="1" x14ac:dyDescent="0.25">
      <c r="B41" s="80"/>
      <c r="C41" s="211">
        <v>43861</v>
      </c>
      <c r="D41" s="212"/>
      <c r="E41" s="69">
        <v>280</v>
      </c>
      <c r="F41" s="69"/>
      <c r="G41" s="74"/>
      <c r="H41" s="412"/>
    </row>
    <row r="42" spans="2:11" ht="18" hidden="1" customHeight="1" x14ac:dyDescent="0.25">
      <c r="B42" s="80"/>
      <c r="C42" s="211">
        <v>43865</v>
      </c>
      <c r="D42" s="212"/>
      <c r="E42" s="69">
        <v>75</v>
      </c>
      <c r="F42" s="69"/>
      <c r="G42" s="74"/>
      <c r="H42" s="412"/>
    </row>
    <row r="43" spans="2:11" ht="18" hidden="1" customHeight="1" x14ac:dyDescent="0.25">
      <c r="B43" s="80"/>
      <c r="C43" s="211">
        <v>43867</v>
      </c>
      <c r="D43" s="212"/>
      <c r="E43" s="69">
        <v>55</v>
      </c>
      <c r="F43" s="69"/>
      <c r="G43" s="74"/>
      <c r="H43" s="412"/>
    </row>
    <row r="44" spans="2:11" ht="18" customHeight="1" x14ac:dyDescent="0.25">
      <c r="B44" s="80"/>
      <c r="C44" s="211">
        <v>43874</v>
      </c>
      <c r="D44" s="212"/>
      <c r="E44" s="69">
        <v>50</v>
      </c>
      <c r="F44" s="69"/>
      <c r="G44" s="74"/>
      <c r="H44" s="412"/>
    </row>
    <row r="45" spans="2:11" ht="18" customHeight="1" x14ac:dyDescent="0.25">
      <c r="B45" s="80"/>
      <c r="C45" s="211">
        <v>43873</v>
      </c>
      <c r="D45" s="212"/>
      <c r="E45" s="69">
        <v>125</v>
      </c>
      <c r="F45" s="69"/>
      <c r="G45" s="74"/>
      <c r="H45" s="412"/>
    </row>
    <row r="46" spans="2:11" ht="18" customHeight="1" thickBot="1" x14ac:dyDescent="0.3">
      <c r="B46" s="34" t="s">
        <v>353</v>
      </c>
      <c r="C46" s="211">
        <v>43904</v>
      </c>
      <c r="D46" s="212"/>
      <c r="E46" s="69"/>
      <c r="F46" s="69"/>
      <c r="G46" s="74"/>
      <c r="H46" s="412"/>
    </row>
    <row r="47" spans="2:11" ht="18" customHeight="1" thickBot="1" x14ac:dyDescent="0.3">
      <c r="B47" s="80"/>
      <c r="C47" s="211"/>
      <c r="D47" s="212"/>
      <c r="E47" s="233">
        <f>SUM(E18:E46)</f>
        <v>3375</v>
      </c>
      <c r="F47" s="69"/>
      <c r="G47" s="74"/>
      <c r="H47" s="412"/>
      <c r="K47" s="59">
        <v>745</v>
      </c>
    </row>
    <row r="48" spans="2:11" ht="18" customHeight="1" x14ac:dyDescent="0.25">
      <c r="C48" s="89"/>
      <c r="E48" s="157"/>
    </row>
    <row r="49" spans="2:9" ht="18" customHeight="1" x14ac:dyDescent="0.25">
      <c r="B49" s="34" t="s">
        <v>353</v>
      </c>
      <c r="C49" s="89"/>
      <c r="E49" s="155">
        <v>745</v>
      </c>
    </row>
    <row r="50" spans="2:9" ht="18" customHeight="1" x14ac:dyDescent="0.25">
      <c r="C50" s="89">
        <v>43977</v>
      </c>
      <c r="E50" s="157"/>
      <c r="G50" s="54">
        <v>-300</v>
      </c>
    </row>
    <row r="51" spans="2:9" ht="18" customHeight="1" thickBot="1" x14ac:dyDescent="0.3">
      <c r="C51" s="89">
        <v>43977</v>
      </c>
      <c r="E51" s="157">
        <f>80+45</f>
        <v>125</v>
      </c>
    </row>
    <row r="52" spans="2:9" ht="18" customHeight="1" thickBot="1" x14ac:dyDescent="0.3">
      <c r="C52" s="89"/>
      <c r="E52" s="135">
        <f>SUM(E49:E51)</f>
        <v>870</v>
      </c>
      <c r="G52" s="234">
        <f>SUM(G49:G51)</f>
        <v>-300</v>
      </c>
      <c r="I52" s="402">
        <f>+E52+G52</f>
        <v>570</v>
      </c>
    </row>
    <row r="53" spans="2:9" ht="18" customHeight="1" x14ac:dyDescent="0.25">
      <c r="B53" s="34" t="s">
        <v>465</v>
      </c>
      <c r="C53" s="89"/>
      <c r="E53" s="155">
        <v>570</v>
      </c>
      <c r="G53" s="219"/>
    </row>
    <row r="54" spans="2:9" ht="18" customHeight="1" x14ac:dyDescent="0.25">
      <c r="C54" s="89"/>
      <c r="E54" s="155"/>
      <c r="G54" s="219"/>
    </row>
    <row r="55" spans="2:9" s="141" customFormat="1" ht="18" customHeight="1" x14ac:dyDescent="0.25">
      <c r="B55" s="144"/>
      <c r="C55" s="142"/>
      <c r="D55" s="143"/>
      <c r="E55" s="158"/>
      <c r="G55" s="158"/>
      <c r="H55" s="413"/>
      <c r="I55" s="402"/>
    </row>
    <row r="56" spans="2:9" ht="18" customHeight="1" x14ac:dyDescent="0.25">
      <c r="B56" s="34" t="s">
        <v>234</v>
      </c>
      <c r="C56" s="89">
        <v>43698</v>
      </c>
      <c r="D56" s="119">
        <v>550</v>
      </c>
      <c r="E56" s="157">
        <v>65</v>
      </c>
      <c r="G56" s="59">
        <v>0</v>
      </c>
      <c r="H56" s="414"/>
    </row>
    <row r="57" spans="2:9" ht="18" hidden="1" customHeight="1" x14ac:dyDescent="0.25">
      <c r="C57" s="89">
        <v>43732</v>
      </c>
      <c r="E57" s="157">
        <v>235</v>
      </c>
      <c r="G57" s="59"/>
      <c r="H57" s="414"/>
    </row>
    <row r="58" spans="2:9" ht="18" hidden="1" customHeight="1" x14ac:dyDescent="0.25">
      <c r="C58" s="89">
        <v>43733</v>
      </c>
      <c r="E58" s="157"/>
      <c r="G58" s="59">
        <v>-100</v>
      </c>
      <c r="H58" s="414"/>
    </row>
    <row r="59" spans="2:9" ht="18" hidden="1" customHeight="1" x14ac:dyDescent="0.25">
      <c r="C59" s="89">
        <v>43733</v>
      </c>
      <c r="E59" s="157">
        <v>280</v>
      </c>
      <c r="G59" s="59"/>
      <c r="H59" s="414"/>
    </row>
    <row r="60" spans="2:9" ht="18" hidden="1" customHeight="1" x14ac:dyDescent="0.25">
      <c r="C60" s="89">
        <v>43742</v>
      </c>
      <c r="E60" s="157"/>
      <c r="G60" s="59">
        <v>-100</v>
      </c>
      <c r="H60" s="414"/>
    </row>
    <row r="61" spans="2:9" ht="18" hidden="1" customHeight="1" x14ac:dyDescent="0.25">
      <c r="C61" s="89">
        <v>43742</v>
      </c>
      <c r="E61" s="157">
        <f>125+65</f>
        <v>190</v>
      </c>
      <c r="G61" s="59"/>
      <c r="H61" s="414"/>
    </row>
    <row r="62" spans="2:9" ht="18" hidden="1" customHeight="1" x14ac:dyDescent="0.25">
      <c r="C62" s="89">
        <v>43798</v>
      </c>
      <c r="E62" s="157">
        <v>68</v>
      </c>
      <c r="G62" s="59"/>
      <c r="H62" s="414"/>
    </row>
    <row r="63" spans="2:9" ht="18" hidden="1" customHeight="1" x14ac:dyDescent="0.25">
      <c r="C63" s="89">
        <v>43798</v>
      </c>
      <c r="E63" s="157">
        <v>65</v>
      </c>
      <c r="G63" s="59"/>
      <c r="H63" s="414"/>
    </row>
    <row r="64" spans="2:9" ht="18" hidden="1" customHeight="1" x14ac:dyDescent="0.25">
      <c r="C64" s="89">
        <v>44170</v>
      </c>
      <c r="E64" s="157">
        <f>125+150</f>
        <v>275</v>
      </c>
      <c r="G64" s="59"/>
      <c r="H64" s="414"/>
    </row>
    <row r="65" spans="2:9" ht="18" hidden="1" customHeight="1" x14ac:dyDescent="0.25">
      <c r="C65" s="89">
        <v>43820</v>
      </c>
      <c r="D65" s="119">
        <v>642</v>
      </c>
      <c r="E65" s="157">
        <v>115</v>
      </c>
      <c r="G65" s="59"/>
      <c r="H65" s="414"/>
    </row>
    <row r="66" spans="2:9" ht="18" hidden="1" customHeight="1" x14ac:dyDescent="0.25">
      <c r="C66" s="89">
        <v>43900</v>
      </c>
      <c r="E66" s="157"/>
      <c r="G66" s="59">
        <v>-400</v>
      </c>
      <c r="H66" s="414"/>
    </row>
    <row r="67" spans="2:9" ht="18" hidden="1" customHeight="1" x14ac:dyDescent="0.25">
      <c r="C67" s="89"/>
      <c r="E67" s="157"/>
      <c r="G67" s="59">
        <v>-65</v>
      </c>
      <c r="H67" s="414"/>
    </row>
    <row r="68" spans="2:9" ht="18" hidden="1" customHeight="1" x14ac:dyDescent="0.25">
      <c r="C68" s="89">
        <v>43973</v>
      </c>
      <c r="E68" s="157"/>
      <c r="G68" s="59">
        <v>-200</v>
      </c>
      <c r="H68" s="414"/>
    </row>
    <row r="69" spans="2:9" ht="18" hidden="1" customHeight="1" x14ac:dyDescent="0.25">
      <c r="C69" s="89"/>
      <c r="E69" s="157"/>
      <c r="G69" s="59"/>
      <c r="H69" s="414"/>
    </row>
    <row r="70" spans="2:9" ht="18" customHeight="1" thickBot="1" x14ac:dyDescent="0.3">
      <c r="C70" s="89"/>
      <c r="E70" s="157"/>
      <c r="G70" s="59"/>
      <c r="H70" s="414"/>
    </row>
    <row r="71" spans="2:9" ht="18" customHeight="1" thickBot="1" x14ac:dyDescent="0.3">
      <c r="C71" s="89"/>
      <c r="E71" s="129">
        <f>SUM(E56:E68)</f>
        <v>1293</v>
      </c>
      <c r="F71" s="129">
        <f>SUM(F56:F60)</f>
        <v>0</v>
      </c>
      <c r="G71" s="129">
        <f>SUM(G56:G68)</f>
        <v>-865</v>
      </c>
      <c r="H71" s="414"/>
      <c r="I71" s="307">
        <f>+E71+G71</f>
        <v>428</v>
      </c>
    </row>
    <row r="72" spans="2:9" s="390" customFormat="1" ht="18" customHeight="1" x14ac:dyDescent="0.25">
      <c r="B72" s="387"/>
      <c r="C72" s="391"/>
      <c r="D72" s="392"/>
      <c r="E72" s="157"/>
      <c r="F72" s="157"/>
      <c r="G72" s="157"/>
      <c r="H72" s="414"/>
      <c r="I72" s="308"/>
    </row>
    <row r="73" spans="2:9" ht="18" customHeight="1" x14ac:dyDescent="0.25">
      <c r="B73" s="34" t="s">
        <v>384</v>
      </c>
      <c r="C73" s="89">
        <v>43907</v>
      </c>
      <c r="E73" s="157">
        <v>100</v>
      </c>
      <c r="G73" s="157"/>
      <c r="H73" s="414"/>
    </row>
    <row r="74" spans="2:9" ht="18" customHeight="1" x14ac:dyDescent="0.25">
      <c r="C74" s="89">
        <v>43964</v>
      </c>
      <c r="E74" s="157"/>
      <c r="G74" s="157">
        <v>-100</v>
      </c>
      <c r="H74" s="414"/>
    </row>
    <row r="75" spans="2:9" ht="18" customHeight="1" x14ac:dyDescent="0.25">
      <c r="C75" s="89">
        <v>43964</v>
      </c>
      <c r="E75" s="157">
        <v>90</v>
      </c>
      <c r="G75" s="157">
        <v>-50</v>
      </c>
      <c r="H75" s="414"/>
    </row>
    <row r="76" spans="2:9" ht="18" customHeight="1" x14ac:dyDescent="0.25">
      <c r="C76" s="89">
        <v>43978</v>
      </c>
      <c r="E76" s="157">
        <f>125+125+90</f>
        <v>340</v>
      </c>
      <c r="G76" s="157"/>
      <c r="H76" s="414"/>
    </row>
    <row r="77" spans="2:9" ht="18" customHeight="1" x14ac:dyDescent="0.25">
      <c r="C77" s="89"/>
      <c r="E77" s="157"/>
      <c r="G77" s="157"/>
      <c r="H77" s="414"/>
    </row>
    <row r="78" spans="2:9" ht="18" customHeight="1" thickBot="1" x14ac:dyDescent="0.3">
      <c r="C78" s="89"/>
      <c r="E78" s="157"/>
      <c r="G78" s="157"/>
      <c r="H78" s="414"/>
    </row>
    <row r="79" spans="2:9" ht="18" customHeight="1" thickBot="1" x14ac:dyDescent="0.3">
      <c r="C79" s="89"/>
      <c r="E79" s="129">
        <f>SUM(E73:E78)</f>
        <v>530</v>
      </c>
      <c r="G79" s="129">
        <f>SUM(G74:G78)</f>
        <v>-150</v>
      </c>
      <c r="H79" s="414"/>
      <c r="I79" s="402">
        <f>+E79+G79</f>
        <v>380</v>
      </c>
    </row>
    <row r="80" spans="2:9" ht="18" customHeight="1" x14ac:dyDescent="0.25">
      <c r="C80" s="89"/>
      <c r="E80" s="34"/>
    </row>
    <row r="81" spans="1:14" s="1" customFormat="1" ht="18" customHeight="1" x14ac:dyDescent="0.25">
      <c r="B81" s="38"/>
      <c r="C81" s="11"/>
      <c r="D81" s="119"/>
      <c r="E81" s="3"/>
      <c r="F81" s="2"/>
      <c r="G81" s="55"/>
      <c r="H81" s="410"/>
      <c r="I81" s="357"/>
      <c r="N81" s="55"/>
    </row>
    <row r="82" spans="1:14" s="182" customFormat="1" ht="18" customHeight="1" x14ac:dyDescent="0.25">
      <c r="B82" s="183"/>
      <c r="C82" s="184"/>
      <c r="D82" s="185"/>
      <c r="F82" s="186"/>
      <c r="G82" s="186"/>
      <c r="H82" s="411"/>
      <c r="I82" s="358"/>
      <c r="N82" s="186"/>
    </row>
    <row r="83" spans="1:14" ht="18" customHeight="1" x14ac:dyDescent="0.25">
      <c r="B83" s="84">
        <v>43770</v>
      </c>
      <c r="C83" s="89"/>
      <c r="F83" s="68"/>
    </row>
    <row r="84" spans="1:14" ht="18" customHeight="1" x14ac:dyDescent="0.25">
      <c r="C84" s="89"/>
      <c r="F84" s="68"/>
    </row>
    <row r="85" spans="1:14" ht="18" customHeight="1" x14ac:dyDescent="0.25">
      <c r="A85" s="59">
        <v>11</v>
      </c>
      <c r="B85" s="34" t="s">
        <v>235</v>
      </c>
      <c r="C85" s="89">
        <v>43789</v>
      </c>
      <c r="D85" s="119">
        <v>401</v>
      </c>
      <c r="E85" s="59">
        <v>25</v>
      </c>
      <c r="I85" s="80"/>
    </row>
    <row r="86" spans="1:14" ht="18" customHeight="1" x14ac:dyDescent="0.25">
      <c r="C86" s="89">
        <v>43473</v>
      </c>
      <c r="E86" s="59">
        <v>25</v>
      </c>
    </row>
    <row r="87" spans="1:14" ht="18" customHeight="1" x14ac:dyDescent="0.25">
      <c r="C87" s="89">
        <v>43495</v>
      </c>
      <c r="E87" s="33">
        <f>-(50/3.4)</f>
        <v>-14.705882352941178</v>
      </c>
    </row>
    <row r="88" spans="1:14" ht="18" hidden="1" customHeight="1" x14ac:dyDescent="0.25">
      <c r="C88" s="89">
        <v>43552</v>
      </c>
      <c r="E88" s="33">
        <f>-50/3.4</f>
        <v>-14.705882352941178</v>
      </c>
    </row>
    <row r="89" spans="1:14" ht="18" hidden="1" customHeight="1" x14ac:dyDescent="0.25">
      <c r="C89" s="89">
        <v>43567</v>
      </c>
      <c r="E89" s="33">
        <f>65*0.75</f>
        <v>48.75</v>
      </c>
    </row>
    <row r="90" spans="1:14" ht="18" hidden="1" customHeight="1" x14ac:dyDescent="0.25">
      <c r="C90" s="89">
        <v>43619</v>
      </c>
      <c r="E90" s="33">
        <v>-10</v>
      </c>
    </row>
    <row r="91" spans="1:14" ht="18" hidden="1" customHeight="1" x14ac:dyDescent="0.25">
      <c r="C91" s="89">
        <v>43679</v>
      </c>
      <c r="E91" s="33">
        <v>-10</v>
      </c>
    </row>
    <row r="92" spans="1:14" ht="18" hidden="1" customHeight="1" x14ac:dyDescent="0.25">
      <c r="C92" s="89">
        <v>43680</v>
      </c>
      <c r="E92" s="33">
        <v>10</v>
      </c>
    </row>
    <row r="93" spans="1:14" ht="18" hidden="1" customHeight="1" x14ac:dyDescent="0.25">
      <c r="C93" s="89">
        <v>43739</v>
      </c>
      <c r="E93" s="33">
        <v>-5</v>
      </c>
    </row>
    <row r="94" spans="1:14" ht="18" hidden="1" customHeight="1" x14ac:dyDescent="0.25">
      <c r="C94" s="89">
        <v>43801</v>
      </c>
      <c r="E94" s="33">
        <v>-5</v>
      </c>
    </row>
    <row r="95" spans="1:14" ht="18" hidden="1" customHeight="1" x14ac:dyDescent="0.25">
      <c r="C95" s="89">
        <v>43812</v>
      </c>
      <c r="E95" s="33">
        <f>125*0.75</f>
        <v>93.75</v>
      </c>
    </row>
    <row r="96" spans="1:14" ht="18" hidden="1" customHeight="1" x14ac:dyDescent="0.25">
      <c r="C96" s="89">
        <v>44258</v>
      </c>
      <c r="E96" s="33">
        <v>60</v>
      </c>
    </row>
    <row r="97" spans="2:9" ht="18" hidden="1" customHeight="1" x14ac:dyDescent="0.25">
      <c r="C97" s="89">
        <v>44348</v>
      </c>
      <c r="E97" s="33">
        <v>-8</v>
      </c>
    </row>
    <row r="98" spans="2:9" ht="18" hidden="1" customHeight="1" x14ac:dyDescent="0.25">
      <c r="C98" s="89">
        <v>44382</v>
      </c>
      <c r="E98" s="33">
        <v>-10</v>
      </c>
    </row>
    <row r="99" spans="2:9" ht="18" hidden="1" customHeight="1" x14ac:dyDescent="0.25">
      <c r="C99" s="89">
        <v>44509</v>
      </c>
      <c r="E99" s="33">
        <v>25</v>
      </c>
    </row>
    <row r="100" spans="2:9" ht="18" hidden="1" customHeight="1" x14ac:dyDescent="0.25">
      <c r="C100" s="89">
        <v>44531</v>
      </c>
      <c r="E100" s="33">
        <v>-10</v>
      </c>
    </row>
    <row r="101" spans="2:9" ht="18" hidden="1" customHeight="1" x14ac:dyDescent="0.25">
      <c r="C101" s="89" t="s">
        <v>694</v>
      </c>
      <c r="E101" s="33">
        <v>-10</v>
      </c>
    </row>
    <row r="102" spans="2:9" ht="18" hidden="1" customHeight="1" x14ac:dyDescent="0.25">
      <c r="C102" s="89">
        <v>44594</v>
      </c>
      <c r="E102" s="33">
        <v>-10</v>
      </c>
    </row>
    <row r="103" spans="2:9" ht="18" hidden="1" customHeight="1" x14ac:dyDescent="0.25">
      <c r="C103" s="89">
        <v>44621</v>
      </c>
      <c r="E103" s="33">
        <v>-10</v>
      </c>
    </row>
    <row r="104" spans="2:9" ht="18" hidden="1" customHeight="1" x14ac:dyDescent="0.25">
      <c r="C104" s="89">
        <v>44650</v>
      </c>
      <c r="E104" s="33">
        <v>-10</v>
      </c>
    </row>
    <row r="105" spans="2:9" ht="18" hidden="1" customHeight="1" x14ac:dyDescent="0.25">
      <c r="C105" s="89">
        <v>44693</v>
      </c>
      <c r="E105" s="33">
        <v>70</v>
      </c>
    </row>
    <row r="106" spans="2:9" ht="18" hidden="1" customHeight="1" x14ac:dyDescent="0.25">
      <c r="C106" s="89">
        <v>44713</v>
      </c>
      <c r="E106" s="33">
        <v>-10</v>
      </c>
    </row>
    <row r="107" spans="2:9" s="390" customFormat="1" ht="18" hidden="1" customHeight="1" x14ac:dyDescent="0.25">
      <c r="B107" s="387"/>
      <c r="C107" s="391">
        <v>44743</v>
      </c>
      <c r="D107" s="392"/>
      <c r="E107" s="386">
        <v>-10</v>
      </c>
      <c r="G107" s="388"/>
      <c r="H107" s="409"/>
      <c r="I107" s="402"/>
    </row>
    <row r="108" spans="2:9" s="390" customFormat="1" ht="18" hidden="1" customHeight="1" x14ac:dyDescent="0.25">
      <c r="B108" s="387"/>
      <c r="C108" s="391">
        <v>44838</v>
      </c>
      <c r="D108" s="392"/>
      <c r="E108" s="386">
        <v>-14</v>
      </c>
      <c r="G108" s="388"/>
      <c r="H108" s="409"/>
      <c r="I108" s="402"/>
    </row>
    <row r="109" spans="2:9" s="390" customFormat="1" ht="18" hidden="1" customHeight="1" x14ac:dyDescent="0.25">
      <c r="B109" s="387"/>
      <c r="C109" s="391">
        <v>44872</v>
      </c>
      <c r="D109" s="392"/>
      <c r="E109" s="386">
        <v>-15</v>
      </c>
      <c r="G109" s="388"/>
      <c r="H109" s="409"/>
      <c r="I109" s="402"/>
    </row>
    <row r="110" spans="2:9" s="390" customFormat="1" ht="18" hidden="1" customHeight="1" x14ac:dyDescent="0.25">
      <c r="B110" s="387"/>
      <c r="C110" s="391">
        <v>45238</v>
      </c>
      <c r="D110" s="392"/>
      <c r="E110" s="386">
        <v>15</v>
      </c>
      <c r="G110" s="388"/>
      <c r="H110" s="409"/>
      <c r="I110" s="402"/>
    </row>
    <row r="111" spans="2:9" s="390" customFormat="1" ht="18" hidden="1" customHeight="1" x14ac:dyDescent="0.25">
      <c r="B111" s="387"/>
      <c r="C111" s="391">
        <v>44919</v>
      </c>
      <c r="D111" s="392"/>
      <c r="E111" s="386">
        <v>-20</v>
      </c>
      <c r="G111" s="388"/>
      <c r="H111" s="409"/>
      <c r="I111" s="402"/>
    </row>
    <row r="112" spans="2:9" s="390" customFormat="1" ht="18" hidden="1" customHeight="1" x14ac:dyDescent="0.25">
      <c r="B112" s="387"/>
      <c r="C112" s="391">
        <v>44986</v>
      </c>
      <c r="D112" s="392"/>
      <c r="E112" s="386">
        <v>-10</v>
      </c>
      <c r="G112" s="388"/>
      <c r="H112" s="409"/>
      <c r="I112" s="402"/>
    </row>
    <row r="113" spans="1:9" s="390" customFormat="1" ht="18" hidden="1" customHeight="1" x14ac:dyDescent="0.25">
      <c r="B113" s="387"/>
      <c r="C113" s="391">
        <v>45019</v>
      </c>
      <c r="D113" s="392"/>
      <c r="E113" s="386">
        <v>-10</v>
      </c>
      <c r="G113" s="388"/>
      <c r="H113" s="409"/>
      <c r="I113" s="402"/>
    </row>
    <row r="114" spans="1:9" s="390" customFormat="1" ht="18" hidden="1" customHeight="1" x14ac:dyDescent="0.25">
      <c r="B114" s="387"/>
      <c r="C114" s="391">
        <v>45079</v>
      </c>
      <c r="D114" s="392"/>
      <c r="E114" s="386">
        <v>-10</v>
      </c>
      <c r="G114" s="388"/>
      <c r="H114" s="409"/>
      <c r="I114" s="402"/>
    </row>
    <row r="115" spans="1:9" s="390" customFormat="1" ht="18" hidden="1" customHeight="1" x14ac:dyDescent="0.25">
      <c r="B115" s="387"/>
      <c r="C115" s="391">
        <v>45189</v>
      </c>
      <c r="D115" s="392"/>
      <c r="E115" s="386">
        <v>41</v>
      </c>
      <c r="G115" s="388"/>
      <c r="H115" s="409"/>
      <c r="I115" s="402"/>
    </row>
    <row r="116" spans="1:9" s="390" customFormat="1" ht="18" hidden="1" customHeight="1" x14ac:dyDescent="0.25">
      <c r="B116" s="387"/>
      <c r="C116" s="391">
        <v>45261</v>
      </c>
      <c r="D116" s="392"/>
      <c r="E116" s="386">
        <v>-10</v>
      </c>
      <c r="G116" s="388"/>
      <c r="H116" s="409"/>
      <c r="I116" s="402"/>
    </row>
    <row r="117" spans="1:9" s="390" customFormat="1" ht="18" customHeight="1" x14ac:dyDescent="0.25">
      <c r="B117" s="387"/>
      <c r="C117" s="391">
        <v>45281</v>
      </c>
      <c r="D117" s="392"/>
      <c r="E117" s="386">
        <v>-20</v>
      </c>
      <c r="G117" s="388"/>
      <c r="H117" s="409"/>
      <c r="I117" s="402"/>
    </row>
    <row r="118" spans="1:9" s="390" customFormat="1" ht="18" customHeight="1" thickBot="1" x14ac:dyDescent="0.3">
      <c r="B118" s="387"/>
      <c r="C118" s="391"/>
      <c r="D118" s="392"/>
      <c r="E118" s="386"/>
      <c r="G118" s="388"/>
      <c r="H118" s="409"/>
      <c r="I118" s="402"/>
    </row>
    <row r="119" spans="1:9" ht="18" customHeight="1" thickBot="1" x14ac:dyDescent="0.3">
      <c r="C119" s="89"/>
      <c r="E119" s="130">
        <f>SUM(E85:E117)</f>
        <v>157.08823529411765</v>
      </c>
      <c r="I119" s="402">
        <f>+E119</f>
        <v>157.08823529411765</v>
      </c>
    </row>
    <row r="120" spans="1:9" ht="18" customHeight="1" x14ac:dyDescent="0.25">
      <c r="C120" s="89"/>
    </row>
    <row r="121" spans="1:9" ht="18" customHeight="1" x14ac:dyDescent="0.25">
      <c r="A121" s="59">
        <v>13</v>
      </c>
      <c r="B121" s="34" t="s">
        <v>236</v>
      </c>
      <c r="C121" s="89">
        <v>43473</v>
      </c>
      <c r="D121" s="119">
        <v>404</v>
      </c>
      <c r="E121" s="59">
        <v>25</v>
      </c>
    </row>
    <row r="122" spans="1:9" ht="18" customHeight="1" x14ac:dyDescent="0.25">
      <c r="C122" s="89">
        <v>43494</v>
      </c>
      <c r="E122" s="33">
        <f>-(20/3.4)</f>
        <v>-5.882352941176471</v>
      </c>
    </row>
    <row r="123" spans="1:9" ht="18" hidden="1" customHeight="1" x14ac:dyDescent="0.25">
      <c r="C123" s="89">
        <v>43552</v>
      </c>
      <c r="E123" s="33">
        <f>-30/3.4</f>
        <v>-8.8235294117647065</v>
      </c>
    </row>
    <row r="124" spans="1:9" ht="18" hidden="1" customHeight="1" x14ac:dyDescent="0.25">
      <c r="C124" s="89">
        <v>43567</v>
      </c>
      <c r="E124" s="33">
        <v>25</v>
      </c>
    </row>
    <row r="125" spans="1:9" ht="18" hidden="1" customHeight="1" x14ac:dyDescent="0.25">
      <c r="C125" s="89">
        <v>43619</v>
      </c>
      <c r="E125" s="33">
        <v>-5</v>
      </c>
    </row>
    <row r="126" spans="1:9" ht="18" hidden="1" customHeight="1" x14ac:dyDescent="0.25">
      <c r="C126" s="89">
        <v>43648</v>
      </c>
      <c r="E126" s="33">
        <v>-10</v>
      </c>
    </row>
    <row r="127" spans="1:9" ht="18" hidden="1" customHeight="1" x14ac:dyDescent="0.25">
      <c r="C127" s="89">
        <v>43739</v>
      </c>
      <c r="E127" s="33">
        <v>-5</v>
      </c>
    </row>
    <row r="128" spans="1:9" ht="18" hidden="1" customHeight="1" x14ac:dyDescent="0.25">
      <c r="C128" s="89">
        <v>43788</v>
      </c>
      <c r="E128" s="33">
        <v>26</v>
      </c>
    </row>
    <row r="129" spans="3:6" ht="18" hidden="1" customHeight="1" x14ac:dyDescent="0.25">
      <c r="C129" s="89">
        <v>43801</v>
      </c>
      <c r="E129" s="33">
        <v>-5</v>
      </c>
    </row>
    <row r="130" spans="3:6" ht="18" hidden="1" customHeight="1" x14ac:dyDescent="0.25">
      <c r="C130" s="89">
        <v>43817</v>
      </c>
      <c r="E130" s="33">
        <v>61</v>
      </c>
    </row>
    <row r="131" spans="3:6" ht="18" hidden="1" customHeight="1" x14ac:dyDescent="0.25">
      <c r="C131" s="89">
        <v>43894</v>
      </c>
      <c r="E131" s="33">
        <v>-6</v>
      </c>
    </row>
    <row r="132" spans="3:6" ht="18" hidden="1" customHeight="1" x14ac:dyDescent="0.25">
      <c r="C132" s="89">
        <v>44258</v>
      </c>
      <c r="E132" s="33">
        <v>60</v>
      </c>
    </row>
    <row r="133" spans="3:6" ht="18" hidden="1" customHeight="1" x14ac:dyDescent="0.25">
      <c r="C133" s="89">
        <v>44285</v>
      </c>
      <c r="E133" s="33"/>
      <c r="F133" s="59">
        <v>-10</v>
      </c>
    </row>
    <row r="134" spans="3:6" ht="18" hidden="1" customHeight="1" x14ac:dyDescent="0.25">
      <c r="C134" s="89">
        <v>44319</v>
      </c>
      <c r="E134" s="33"/>
      <c r="F134" s="59">
        <v>-10</v>
      </c>
    </row>
    <row r="135" spans="3:6" ht="18" hidden="1" customHeight="1" x14ac:dyDescent="0.25">
      <c r="C135" s="89">
        <v>44348</v>
      </c>
      <c r="E135" s="33"/>
      <c r="F135" s="59">
        <v>-10</v>
      </c>
    </row>
    <row r="136" spans="3:6" ht="18" hidden="1" customHeight="1" x14ac:dyDescent="0.25">
      <c r="C136" s="89">
        <v>44412</v>
      </c>
      <c r="E136" s="33"/>
      <c r="F136" s="59">
        <v>-10</v>
      </c>
    </row>
    <row r="137" spans="3:6" ht="18" hidden="1" customHeight="1" x14ac:dyDescent="0.25">
      <c r="C137" s="89">
        <v>44440</v>
      </c>
      <c r="E137" s="33"/>
      <c r="F137" s="59">
        <v>-10</v>
      </c>
    </row>
    <row r="138" spans="3:6" ht="18" hidden="1" customHeight="1" x14ac:dyDescent="0.25">
      <c r="C138" s="89">
        <v>44470</v>
      </c>
      <c r="E138" s="33"/>
      <c r="F138" s="59">
        <v>-13</v>
      </c>
    </row>
    <row r="139" spans="3:6" ht="18" hidden="1" customHeight="1" x14ac:dyDescent="0.25">
      <c r="C139" s="89">
        <v>44509</v>
      </c>
      <c r="E139" s="33">
        <v>25</v>
      </c>
    </row>
    <row r="140" spans="3:6" ht="18" hidden="1" customHeight="1" x14ac:dyDescent="0.25">
      <c r="C140" s="89">
        <v>44511</v>
      </c>
      <c r="E140" s="33">
        <v>42</v>
      </c>
    </row>
    <row r="141" spans="3:6" ht="18" hidden="1" customHeight="1" x14ac:dyDescent="0.25">
      <c r="C141" s="89">
        <v>44531</v>
      </c>
      <c r="E141" s="33"/>
      <c r="F141" s="59">
        <v>-15</v>
      </c>
    </row>
    <row r="142" spans="3:6" ht="18" hidden="1" customHeight="1" x14ac:dyDescent="0.25">
      <c r="C142" s="89">
        <v>44916</v>
      </c>
      <c r="E142" s="33"/>
      <c r="F142" s="59">
        <v>-20</v>
      </c>
    </row>
    <row r="143" spans="3:6" ht="18" hidden="1" customHeight="1" x14ac:dyDescent="0.25">
      <c r="C143" s="89">
        <v>44919</v>
      </c>
      <c r="E143" s="33">
        <v>60</v>
      </c>
    </row>
    <row r="144" spans="3:6" ht="18" hidden="1" customHeight="1" x14ac:dyDescent="0.25">
      <c r="C144" s="89">
        <v>44594</v>
      </c>
      <c r="E144" s="33">
        <v>-20</v>
      </c>
    </row>
    <row r="145" spans="2:9" ht="18" hidden="1" customHeight="1" x14ac:dyDescent="0.25">
      <c r="C145" s="89">
        <v>44621</v>
      </c>
      <c r="E145" s="33">
        <v>-8</v>
      </c>
    </row>
    <row r="146" spans="2:9" ht="18" hidden="1" customHeight="1" x14ac:dyDescent="0.25">
      <c r="C146" s="89">
        <v>44650</v>
      </c>
      <c r="E146" s="33">
        <v>-10</v>
      </c>
    </row>
    <row r="147" spans="2:9" ht="18" hidden="1" customHeight="1" x14ac:dyDescent="0.25">
      <c r="C147" s="89">
        <v>44713</v>
      </c>
      <c r="E147" s="33">
        <v>-10</v>
      </c>
    </row>
    <row r="148" spans="2:9" s="390" customFormat="1" ht="18" hidden="1" customHeight="1" x14ac:dyDescent="0.25">
      <c r="B148" s="387"/>
      <c r="C148" s="391">
        <v>44743</v>
      </c>
      <c r="D148" s="392"/>
      <c r="E148" s="386">
        <v>-10</v>
      </c>
      <c r="G148" s="388"/>
      <c r="H148" s="409"/>
      <c r="I148" s="402"/>
    </row>
    <row r="149" spans="2:9" s="390" customFormat="1" ht="18" hidden="1" customHeight="1" x14ac:dyDescent="0.25">
      <c r="B149" s="387"/>
      <c r="C149" s="391">
        <v>44838</v>
      </c>
      <c r="D149" s="392"/>
      <c r="E149" s="386">
        <v>-15</v>
      </c>
      <c r="G149" s="388"/>
      <c r="H149" s="409"/>
      <c r="I149" s="402"/>
    </row>
    <row r="150" spans="2:9" s="390" customFormat="1" ht="18" hidden="1" customHeight="1" x14ac:dyDescent="0.25">
      <c r="B150" s="387"/>
      <c r="C150" s="391">
        <v>44872</v>
      </c>
      <c r="D150" s="392"/>
      <c r="E150" s="386">
        <v>-16</v>
      </c>
      <c r="G150" s="388"/>
      <c r="H150" s="409"/>
      <c r="I150" s="402"/>
    </row>
    <row r="151" spans="2:9" s="390" customFormat="1" ht="18" hidden="1" customHeight="1" x14ac:dyDescent="0.25">
      <c r="B151" s="387"/>
      <c r="C151" s="391">
        <v>45262</v>
      </c>
      <c r="D151" s="392"/>
      <c r="E151" s="386">
        <v>-14</v>
      </c>
      <c r="G151" s="388"/>
      <c r="H151" s="409"/>
      <c r="I151" s="402"/>
    </row>
    <row r="152" spans="2:9" s="390" customFormat="1" ht="18" hidden="1" customHeight="1" x14ac:dyDescent="0.25">
      <c r="B152" s="387"/>
      <c r="C152" s="391">
        <v>44919</v>
      </c>
      <c r="D152" s="392"/>
      <c r="E152" s="386">
        <v>-20</v>
      </c>
      <c r="G152" s="388"/>
      <c r="H152" s="409"/>
      <c r="I152" s="402"/>
    </row>
    <row r="153" spans="2:9" s="390" customFormat="1" ht="18" hidden="1" customHeight="1" x14ac:dyDescent="0.25">
      <c r="B153" s="387"/>
      <c r="C153" s="391"/>
      <c r="D153" s="392"/>
      <c r="E153" s="386">
        <v>15</v>
      </c>
      <c r="G153" s="388"/>
      <c r="H153" s="409"/>
      <c r="I153" s="402"/>
    </row>
    <row r="154" spans="2:9" s="390" customFormat="1" ht="18" hidden="1" customHeight="1" x14ac:dyDescent="0.25">
      <c r="B154" s="387"/>
      <c r="C154" s="391">
        <v>44958</v>
      </c>
      <c r="D154" s="392"/>
      <c r="E154" s="386">
        <v>-13</v>
      </c>
      <c r="G154" s="388"/>
      <c r="H154" s="409"/>
      <c r="I154" s="402"/>
    </row>
    <row r="155" spans="2:9" s="390" customFormat="1" ht="18" hidden="1" customHeight="1" x14ac:dyDescent="0.25">
      <c r="B155" s="387"/>
      <c r="C155" s="391">
        <v>44960</v>
      </c>
      <c r="D155" s="392"/>
      <c r="E155" s="386">
        <v>49</v>
      </c>
      <c r="G155" s="388"/>
      <c r="H155" s="409"/>
      <c r="I155" s="402"/>
    </row>
    <row r="156" spans="2:9" s="390" customFormat="1" ht="18" hidden="1" customHeight="1" x14ac:dyDescent="0.25">
      <c r="B156" s="387"/>
      <c r="C156" s="391">
        <v>44993</v>
      </c>
      <c r="D156" s="392"/>
      <c r="E156" s="386">
        <v>-10</v>
      </c>
      <c r="G156" s="388"/>
      <c r="H156" s="409"/>
      <c r="I156" s="402"/>
    </row>
    <row r="157" spans="2:9" s="390" customFormat="1" ht="18" hidden="1" customHeight="1" x14ac:dyDescent="0.25">
      <c r="B157" s="387"/>
      <c r="C157" s="391">
        <v>45019</v>
      </c>
      <c r="D157" s="392"/>
      <c r="E157" s="386">
        <v>-15</v>
      </c>
      <c r="G157" s="388"/>
      <c r="H157" s="409"/>
      <c r="I157" s="402"/>
    </row>
    <row r="158" spans="2:9" s="390" customFormat="1" ht="18" hidden="1" customHeight="1" x14ac:dyDescent="0.25">
      <c r="B158" s="387"/>
      <c r="C158" s="391">
        <v>45019</v>
      </c>
      <c r="D158" s="392"/>
      <c r="E158" s="386">
        <v>42</v>
      </c>
      <c r="G158" s="388"/>
      <c r="H158" s="409"/>
      <c r="I158" s="402"/>
    </row>
    <row r="159" spans="2:9" s="390" customFormat="1" ht="18" hidden="1" customHeight="1" x14ac:dyDescent="0.25">
      <c r="B159" s="387"/>
      <c r="C159" s="391">
        <v>45048</v>
      </c>
      <c r="D159" s="392"/>
      <c r="E159" s="386">
        <v>-15</v>
      </c>
      <c r="G159" s="388"/>
      <c r="H159" s="409"/>
      <c r="I159" s="402"/>
    </row>
    <row r="160" spans="2:9" s="390" customFormat="1" ht="18" hidden="1" customHeight="1" x14ac:dyDescent="0.25">
      <c r="B160" s="387"/>
      <c r="C160" s="391">
        <v>45078</v>
      </c>
      <c r="D160" s="392"/>
      <c r="E160" s="386">
        <v>-15</v>
      </c>
      <c r="G160" s="388"/>
      <c r="H160" s="409"/>
      <c r="I160" s="402"/>
    </row>
    <row r="161" spans="2:9" s="390" customFormat="1" ht="18" hidden="1" customHeight="1" x14ac:dyDescent="0.25">
      <c r="B161" s="387"/>
      <c r="C161" s="391">
        <v>45169</v>
      </c>
      <c r="D161" s="392"/>
      <c r="E161" s="386">
        <v>-10</v>
      </c>
      <c r="G161" s="388"/>
      <c r="H161" s="409"/>
      <c r="I161" s="402"/>
    </row>
    <row r="162" spans="2:9" s="390" customFormat="1" ht="18" hidden="1" customHeight="1" x14ac:dyDescent="0.25">
      <c r="B162" s="387"/>
      <c r="C162" s="391">
        <v>45183</v>
      </c>
      <c r="D162" s="392"/>
      <c r="E162" s="386">
        <v>15</v>
      </c>
      <c r="G162" s="388"/>
      <c r="H162" s="409"/>
      <c r="I162" s="402"/>
    </row>
    <row r="163" spans="2:9" s="390" customFormat="1" ht="18" hidden="1" customHeight="1" x14ac:dyDescent="0.25">
      <c r="B163" s="387"/>
      <c r="C163" s="391">
        <v>45201</v>
      </c>
      <c r="D163" s="392"/>
      <c r="E163" s="386">
        <v>-10</v>
      </c>
      <c r="G163" s="388"/>
      <c r="H163" s="409"/>
      <c r="I163" s="402"/>
    </row>
    <row r="164" spans="2:9" s="390" customFormat="1" ht="18" hidden="1" customHeight="1" x14ac:dyDescent="0.25">
      <c r="B164" s="387"/>
      <c r="C164" s="391">
        <v>45230</v>
      </c>
      <c r="D164" s="392"/>
      <c r="E164" s="386">
        <v>-10</v>
      </c>
      <c r="G164" s="388"/>
      <c r="H164" s="409"/>
      <c r="I164" s="402"/>
    </row>
    <row r="165" spans="2:9" s="390" customFormat="1" ht="18" hidden="1" customHeight="1" x14ac:dyDescent="0.25">
      <c r="B165" s="387"/>
      <c r="C165" s="391"/>
      <c r="D165" s="392"/>
      <c r="E165" s="386">
        <v>25</v>
      </c>
      <c r="G165" s="388"/>
      <c r="H165" s="409"/>
      <c r="I165" s="402"/>
    </row>
    <row r="166" spans="2:9" s="390" customFormat="1" ht="18" hidden="1" customHeight="1" x14ac:dyDescent="0.25">
      <c r="B166" s="387"/>
      <c r="C166" s="391">
        <v>45243</v>
      </c>
      <c r="D166" s="392"/>
      <c r="E166" s="386">
        <v>54</v>
      </c>
      <c r="G166" s="388"/>
      <c r="H166" s="409"/>
      <c r="I166" s="402"/>
    </row>
    <row r="167" spans="2:9" s="390" customFormat="1" ht="18" customHeight="1" x14ac:dyDescent="0.25">
      <c r="B167" s="387"/>
      <c r="C167" s="391">
        <v>45280</v>
      </c>
      <c r="D167" s="392"/>
      <c r="E167" s="386">
        <v>-19</v>
      </c>
      <c r="G167" s="388"/>
      <c r="H167" s="409"/>
      <c r="I167" s="402"/>
    </row>
    <row r="168" spans="2:9" s="390" customFormat="1" ht="18" customHeight="1" x14ac:dyDescent="0.25">
      <c r="B168" s="387"/>
      <c r="C168" s="391">
        <v>45280</v>
      </c>
      <c r="D168" s="392"/>
      <c r="E168" s="386">
        <v>55</v>
      </c>
      <c r="F168" s="390" t="s">
        <v>1772</v>
      </c>
      <c r="G168" s="388"/>
      <c r="H168" s="409"/>
      <c r="I168" s="402"/>
    </row>
    <row r="169" spans="2:9" s="390" customFormat="1" ht="18" customHeight="1" thickBot="1" x14ac:dyDescent="0.3">
      <c r="B169" s="387"/>
      <c r="C169" s="391">
        <v>45280</v>
      </c>
      <c r="D169" s="392"/>
      <c r="E169" s="386">
        <v>-21</v>
      </c>
      <c r="F169" s="390" t="s">
        <v>1773</v>
      </c>
      <c r="G169" s="388"/>
      <c r="H169" s="409"/>
      <c r="I169" s="402"/>
    </row>
    <row r="170" spans="2:9" ht="18" customHeight="1" thickBot="1" x14ac:dyDescent="0.3">
      <c r="C170" s="89"/>
      <c r="E170" s="130">
        <f>SUM(E121:E169)</f>
        <v>272.29411764705884</v>
      </c>
      <c r="F170" s="129">
        <f>SUM(F121:F143)</f>
        <v>-98</v>
      </c>
      <c r="I170" s="402">
        <f>+E170+F170</f>
        <v>174.29411764705884</v>
      </c>
    </row>
    <row r="171" spans="2:9" ht="18" customHeight="1" x14ac:dyDescent="0.25">
      <c r="C171" s="89"/>
    </row>
    <row r="172" spans="2:9" ht="18" customHeight="1" x14ac:dyDescent="0.25">
      <c r="C172" s="89"/>
      <c r="E172" s="157"/>
      <c r="F172" s="157"/>
      <c r="G172" s="157"/>
      <c r="H172" s="414"/>
      <c r="I172" s="308"/>
    </row>
    <row r="173" spans="2:9" ht="18" customHeight="1" thickBot="1" x14ac:dyDescent="0.3">
      <c r="C173" s="89"/>
      <c r="E173" s="157"/>
      <c r="G173" s="157"/>
      <c r="H173" s="414"/>
    </row>
    <row r="174" spans="2:9" ht="18" customHeight="1" thickBot="1" x14ac:dyDescent="0.3">
      <c r="B174" s="277" t="s">
        <v>466</v>
      </c>
      <c r="C174" s="279"/>
      <c r="D174" s="280"/>
      <c r="E174" s="278"/>
      <c r="F174" s="278"/>
      <c r="G174" s="278"/>
      <c r="H174" s="416"/>
      <c r="I174" s="309">
        <f>SUM(I171:I173)</f>
        <v>0</v>
      </c>
    </row>
    <row r="175" spans="2:9" ht="18" customHeight="1" x14ac:dyDescent="0.25">
      <c r="B175" s="157"/>
      <c r="C175" s="254"/>
      <c r="D175" s="255"/>
      <c r="E175" s="157"/>
      <c r="F175" s="157"/>
      <c r="G175" s="157"/>
      <c r="H175" s="414"/>
      <c r="I175" s="308"/>
    </row>
    <row r="176" spans="2:9" customFormat="1" ht="15" x14ac:dyDescent="0.25">
      <c r="C176" s="153"/>
      <c r="D176" s="257"/>
      <c r="E176" s="518"/>
      <c r="F176" s="43"/>
      <c r="G176" s="162"/>
      <c r="H176" s="415"/>
      <c r="I176" s="359"/>
    </row>
    <row r="177" spans="2:9" customFormat="1" ht="15" hidden="1" x14ac:dyDescent="0.25">
      <c r="C177" s="153"/>
      <c r="D177" s="257"/>
      <c r="E177" s="518"/>
      <c r="F177" s="43"/>
      <c r="G177" s="162"/>
      <c r="H177" s="415"/>
      <c r="I177" s="359"/>
    </row>
    <row r="178" spans="2:9" s="141" customFormat="1" ht="18" hidden="1" customHeight="1" x14ac:dyDescent="0.25">
      <c r="B178" s="144"/>
      <c r="C178" s="142"/>
      <c r="D178" s="143"/>
      <c r="E178" s="144"/>
      <c r="G178" s="145"/>
      <c r="H178" s="418"/>
      <c r="I178" s="402"/>
    </row>
    <row r="179" spans="2:9" ht="18" hidden="1" customHeight="1" x14ac:dyDescent="0.25">
      <c r="C179" s="89"/>
      <c r="E179" s="157"/>
      <c r="G179" s="157"/>
      <c r="H179" s="414"/>
    </row>
    <row r="180" spans="2:9" s="34" customFormat="1" ht="18" hidden="1" customHeight="1" x14ac:dyDescent="0.25">
      <c r="C180" s="376"/>
      <c r="D180" s="119"/>
      <c r="E180" s="157"/>
      <c r="F180" s="157"/>
      <c r="G180" s="66"/>
      <c r="H180" s="420"/>
      <c r="I180" s="402"/>
    </row>
    <row r="181" spans="2:9" ht="18" hidden="1" customHeight="1" x14ac:dyDescent="0.25">
      <c r="B181" s="80" t="s">
        <v>845</v>
      </c>
      <c r="C181" s="211">
        <v>44725</v>
      </c>
      <c r="D181" s="212"/>
      <c r="E181" s="80">
        <v>235</v>
      </c>
      <c r="F181" s="779">
        <v>-50</v>
      </c>
      <c r="G181" s="74"/>
      <c r="H181" s="412"/>
    </row>
    <row r="182" spans="2:9" ht="18" hidden="1" customHeight="1" x14ac:dyDescent="0.25">
      <c r="B182" s="80"/>
      <c r="C182" s="211">
        <v>44742</v>
      </c>
      <c r="D182" s="212"/>
      <c r="E182" s="80"/>
      <c r="F182" s="779">
        <v>-50</v>
      </c>
      <c r="G182" s="74"/>
      <c r="H182" s="412"/>
    </row>
    <row r="183" spans="2:9" ht="18" hidden="1" customHeight="1" x14ac:dyDescent="0.25">
      <c r="B183" s="80"/>
      <c r="C183" s="211">
        <v>44774</v>
      </c>
      <c r="D183" s="212"/>
      <c r="E183" s="80">
        <v>65</v>
      </c>
      <c r="F183" s="779">
        <v>-50</v>
      </c>
      <c r="G183" s="74"/>
      <c r="H183" s="412"/>
    </row>
    <row r="184" spans="2:9" ht="18" hidden="1" customHeight="1" x14ac:dyDescent="0.25">
      <c r="B184" s="80"/>
      <c r="C184" s="211">
        <v>44838</v>
      </c>
      <c r="D184" s="212"/>
      <c r="E184" s="80">
        <v>90</v>
      </c>
      <c r="F184" s="779">
        <v>-100</v>
      </c>
      <c r="G184" s="74"/>
      <c r="H184" s="412"/>
    </row>
    <row r="185" spans="2:9" s="390" customFormat="1" ht="18" hidden="1" customHeight="1" x14ac:dyDescent="0.25">
      <c r="B185" s="80"/>
      <c r="C185" s="211">
        <v>44868</v>
      </c>
      <c r="D185" s="212"/>
      <c r="E185" s="80"/>
      <c r="F185" s="779">
        <v>-50</v>
      </c>
      <c r="G185" s="74"/>
      <c r="H185" s="412"/>
      <c r="I185" s="402"/>
    </row>
    <row r="186" spans="2:9" s="390" customFormat="1" ht="18" hidden="1" customHeight="1" x14ac:dyDescent="0.25">
      <c r="B186" s="80"/>
      <c r="C186" s="211">
        <v>44890</v>
      </c>
      <c r="D186" s="212"/>
      <c r="E186" s="80">
        <v>320</v>
      </c>
      <c r="F186" s="779"/>
      <c r="G186" s="74"/>
      <c r="H186" s="412"/>
      <c r="I186" s="402"/>
    </row>
    <row r="187" spans="2:9" s="390" customFormat="1" ht="18" hidden="1" customHeight="1" x14ac:dyDescent="0.25">
      <c r="B187" s="80"/>
      <c r="C187" s="211">
        <v>44909</v>
      </c>
      <c r="D187" s="212"/>
      <c r="E187" s="80"/>
      <c r="F187" s="779">
        <v>-100</v>
      </c>
      <c r="G187" s="74"/>
      <c r="H187" s="412"/>
      <c r="I187" s="402"/>
    </row>
    <row r="188" spans="2:9" s="390" customFormat="1" ht="18" hidden="1" customHeight="1" x14ac:dyDescent="0.25">
      <c r="B188" s="80"/>
      <c r="C188" s="211">
        <v>45290</v>
      </c>
      <c r="D188" s="212"/>
      <c r="E188" s="80">
        <v>255</v>
      </c>
      <c r="F188" s="779"/>
      <c r="G188" s="74"/>
      <c r="H188" s="412"/>
      <c r="I188" s="402"/>
    </row>
    <row r="189" spans="2:9" s="390" customFormat="1" ht="18" hidden="1" customHeight="1" x14ac:dyDescent="0.25">
      <c r="B189" s="80"/>
      <c r="C189" s="211">
        <v>44956</v>
      </c>
      <c r="D189" s="212"/>
      <c r="E189" s="80">
        <f>150+30</f>
        <v>180</v>
      </c>
      <c r="F189" s="779">
        <v>-100</v>
      </c>
      <c r="G189" s="74"/>
      <c r="H189" s="412"/>
      <c r="I189" s="402"/>
    </row>
    <row r="190" spans="2:9" s="390" customFormat="1" ht="18" hidden="1" customHeight="1" x14ac:dyDescent="0.25">
      <c r="B190" s="80"/>
      <c r="C190" s="211">
        <v>44973</v>
      </c>
      <c r="D190" s="212"/>
      <c r="E190" s="80">
        <v>100</v>
      </c>
      <c r="F190" s="779"/>
      <c r="G190" s="74"/>
      <c r="H190" s="412"/>
      <c r="I190" s="402"/>
    </row>
    <row r="191" spans="2:9" s="390" customFormat="1" ht="18" hidden="1" customHeight="1" x14ac:dyDescent="0.25">
      <c r="B191" s="80"/>
      <c r="C191" s="211">
        <v>45017</v>
      </c>
      <c r="D191" s="212"/>
      <c r="E191" s="80"/>
      <c r="F191" s="779">
        <v>-150</v>
      </c>
      <c r="G191" s="74"/>
      <c r="H191" s="412"/>
      <c r="I191" s="402"/>
    </row>
    <row r="192" spans="2:9" s="390" customFormat="1" ht="18" hidden="1" customHeight="1" x14ac:dyDescent="0.25">
      <c r="B192" s="80"/>
      <c r="C192" s="211">
        <v>45077</v>
      </c>
      <c r="D192" s="212"/>
      <c r="E192" s="80">
        <v>35</v>
      </c>
      <c r="F192" s="779">
        <v>-145</v>
      </c>
      <c r="G192" s="74"/>
      <c r="H192" s="412"/>
      <c r="I192" s="402"/>
    </row>
    <row r="193" spans="2:9" s="390" customFormat="1" ht="18" hidden="1" customHeight="1" x14ac:dyDescent="0.25">
      <c r="B193" s="80"/>
      <c r="C193" s="211">
        <v>45118</v>
      </c>
      <c r="D193" s="212"/>
      <c r="E193" s="80"/>
      <c r="F193" s="779">
        <v>-50</v>
      </c>
      <c r="G193" s="74"/>
      <c r="H193" s="412"/>
      <c r="I193" s="402"/>
    </row>
    <row r="194" spans="2:9" s="390" customFormat="1" ht="18" hidden="1" customHeight="1" x14ac:dyDescent="0.25">
      <c r="B194" s="80"/>
      <c r="C194" s="211">
        <v>45154</v>
      </c>
      <c r="D194" s="212"/>
      <c r="E194" s="80"/>
      <c r="F194" s="779">
        <v>-50</v>
      </c>
      <c r="G194" s="74"/>
      <c r="H194" s="412"/>
      <c r="I194" s="402"/>
    </row>
    <row r="195" spans="2:9" s="390" customFormat="1" ht="18" hidden="1" customHeight="1" x14ac:dyDescent="0.25">
      <c r="B195" s="80"/>
      <c r="C195" s="211">
        <v>45232</v>
      </c>
      <c r="D195" s="212"/>
      <c r="E195" s="80"/>
      <c r="F195" s="779">
        <v>-100</v>
      </c>
      <c r="G195" s="74"/>
      <c r="H195" s="412"/>
      <c r="I195" s="402"/>
    </row>
    <row r="196" spans="2:9" s="390" customFormat="1" ht="18" hidden="1" customHeight="1" x14ac:dyDescent="0.25">
      <c r="B196" s="80"/>
      <c r="C196" s="211">
        <v>45275</v>
      </c>
      <c r="D196" s="212"/>
      <c r="E196" s="80"/>
      <c r="F196" s="779">
        <v>-100</v>
      </c>
      <c r="G196" s="74"/>
      <c r="H196" s="412"/>
      <c r="I196" s="402"/>
    </row>
    <row r="197" spans="2:9" s="390" customFormat="1" ht="18" hidden="1" customHeight="1" thickBot="1" x14ac:dyDescent="0.3">
      <c r="B197" s="80"/>
      <c r="C197" s="211">
        <v>45349</v>
      </c>
      <c r="D197" s="212"/>
      <c r="E197" s="80"/>
      <c r="F197" s="779">
        <v>-185</v>
      </c>
      <c r="G197" s="74"/>
      <c r="H197" s="412"/>
      <c r="I197" s="402"/>
    </row>
    <row r="198" spans="2:9" ht="18" hidden="1" customHeight="1" thickBot="1" x14ac:dyDescent="0.3">
      <c r="B198" s="80"/>
      <c r="C198" s="211"/>
      <c r="D198" s="212"/>
      <c r="E198" s="780">
        <f>SUM(E181:E193)</f>
        <v>1280</v>
      </c>
      <c r="F198" s="780">
        <f>SUM(F181:F197)</f>
        <v>-1280</v>
      </c>
      <c r="G198" s="74"/>
      <c r="H198" s="412"/>
      <c r="I198" s="402">
        <f>+E198+F198</f>
        <v>0</v>
      </c>
    </row>
    <row r="199" spans="2:9" ht="18" customHeight="1" x14ac:dyDescent="0.25">
      <c r="C199" s="89"/>
      <c r="E199" s="34"/>
      <c r="F199" s="157"/>
    </row>
    <row r="200" spans="2:9" ht="18" customHeight="1" x14ac:dyDescent="0.25">
      <c r="E200" s="163"/>
      <c r="F200" s="163"/>
    </row>
    <row r="201" spans="2:9" ht="18" hidden="1" customHeight="1" x14ac:dyDescent="0.25">
      <c r="B201" s="80" t="s">
        <v>486</v>
      </c>
      <c r="C201" s="211">
        <v>44741</v>
      </c>
      <c r="D201" s="212"/>
      <c r="E201" s="361">
        <v>95</v>
      </c>
      <c r="F201" s="361">
        <v>0</v>
      </c>
      <c r="G201" s="74"/>
      <c r="H201" s="412" t="s">
        <v>938</v>
      </c>
    </row>
    <row r="202" spans="2:9" ht="18" hidden="1" customHeight="1" x14ac:dyDescent="0.25">
      <c r="B202" s="80"/>
      <c r="C202" s="211">
        <v>44752</v>
      </c>
      <c r="D202" s="212"/>
      <c r="E202" s="361"/>
      <c r="F202" s="361">
        <v>-60</v>
      </c>
      <c r="G202" s="74"/>
      <c r="H202" s="412"/>
    </row>
    <row r="203" spans="2:9" s="390" customFormat="1" ht="18" hidden="1" customHeight="1" x14ac:dyDescent="0.25">
      <c r="B203" s="80"/>
      <c r="C203" s="211">
        <v>44755</v>
      </c>
      <c r="D203" s="212"/>
      <c r="E203" s="361">
        <v>65</v>
      </c>
      <c r="F203" s="361"/>
      <c r="G203" s="74"/>
      <c r="H203" s="412" t="s">
        <v>939</v>
      </c>
      <c r="I203" s="402"/>
    </row>
    <row r="204" spans="2:9" s="390" customFormat="1" ht="18" hidden="1" customHeight="1" x14ac:dyDescent="0.25">
      <c r="B204" s="80"/>
      <c r="C204" s="211">
        <v>44769</v>
      </c>
      <c r="D204" s="212"/>
      <c r="E204" s="361"/>
      <c r="F204" s="361">
        <v>-30</v>
      </c>
      <c r="G204" s="74"/>
      <c r="H204" s="412"/>
      <c r="I204" s="402"/>
    </row>
    <row r="205" spans="2:9" s="390" customFormat="1" ht="18" hidden="1" customHeight="1" x14ac:dyDescent="0.25">
      <c r="B205" s="80"/>
      <c r="C205" s="211">
        <v>44777</v>
      </c>
      <c r="D205" s="212"/>
      <c r="E205" s="361"/>
      <c r="F205" s="361">
        <v>-20</v>
      </c>
      <c r="G205" s="74"/>
      <c r="H205" s="412"/>
      <c r="I205" s="402"/>
    </row>
    <row r="206" spans="2:9" s="390" customFormat="1" ht="18" hidden="1" customHeight="1" x14ac:dyDescent="0.25">
      <c r="B206" s="80"/>
      <c r="C206" s="211">
        <v>44784</v>
      </c>
      <c r="D206" s="212"/>
      <c r="E206" s="361">
        <v>60</v>
      </c>
      <c r="F206" s="361"/>
      <c r="G206" s="74"/>
      <c r="H206" s="412" t="s">
        <v>940</v>
      </c>
      <c r="I206" s="402"/>
    </row>
    <row r="207" spans="2:9" s="390" customFormat="1" ht="18" hidden="1" customHeight="1" x14ac:dyDescent="0.25">
      <c r="B207" s="80"/>
      <c r="C207" s="211">
        <v>44802</v>
      </c>
      <c r="D207" s="212"/>
      <c r="E207" s="361">
        <v>70</v>
      </c>
      <c r="F207" s="361"/>
      <c r="G207" s="74"/>
      <c r="H207" s="412" t="s">
        <v>940</v>
      </c>
      <c r="I207" s="402"/>
    </row>
    <row r="208" spans="2:9" s="390" customFormat="1" ht="18" hidden="1" customHeight="1" x14ac:dyDescent="0.25">
      <c r="B208" s="80"/>
      <c r="C208" s="211">
        <v>44812</v>
      </c>
      <c r="D208" s="212"/>
      <c r="E208" s="361"/>
      <c r="F208" s="361">
        <v>-50</v>
      </c>
      <c r="G208" s="74"/>
      <c r="H208" s="412"/>
      <c r="I208" s="402"/>
    </row>
    <row r="209" spans="2:11" s="390" customFormat="1" ht="18" hidden="1" customHeight="1" x14ac:dyDescent="0.25">
      <c r="B209" s="80"/>
      <c r="C209" s="211">
        <v>44825</v>
      </c>
      <c r="D209" s="212"/>
      <c r="E209" s="361">
        <v>70</v>
      </c>
      <c r="F209" s="361">
        <v>-40</v>
      </c>
      <c r="G209" s="74"/>
      <c r="H209" s="412" t="s">
        <v>940</v>
      </c>
      <c r="I209" s="402"/>
    </row>
    <row r="210" spans="2:11" s="390" customFormat="1" ht="18" hidden="1" customHeight="1" x14ac:dyDescent="0.25">
      <c r="B210" s="80"/>
      <c r="C210" s="211">
        <v>44827</v>
      </c>
      <c r="D210" s="212"/>
      <c r="E210" s="361"/>
      <c r="F210" s="361">
        <v>-70</v>
      </c>
      <c r="G210" s="74"/>
      <c r="H210" s="412"/>
      <c r="I210" s="402"/>
    </row>
    <row r="211" spans="2:11" s="390" customFormat="1" ht="18" hidden="1" customHeight="1" x14ac:dyDescent="0.25">
      <c r="B211" s="80"/>
      <c r="C211" s="211">
        <v>44830</v>
      </c>
      <c r="D211" s="212"/>
      <c r="E211" s="361">
        <v>50</v>
      </c>
      <c r="F211" s="361"/>
      <c r="G211" s="74"/>
      <c r="H211" s="412" t="s">
        <v>939</v>
      </c>
      <c r="I211" s="402"/>
    </row>
    <row r="212" spans="2:11" s="390" customFormat="1" ht="18" hidden="1" customHeight="1" x14ac:dyDescent="0.25">
      <c r="B212" s="80"/>
      <c r="C212" s="211">
        <v>44838</v>
      </c>
      <c r="D212" s="212"/>
      <c r="E212" s="361"/>
      <c r="F212" s="361">
        <v>-20</v>
      </c>
      <c r="G212" s="74"/>
      <c r="H212" s="412"/>
      <c r="I212" s="402"/>
    </row>
    <row r="213" spans="2:11" s="390" customFormat="1" ht="18" hidden="1" customHeight="1" x14ac:dyDescent="0.25">
      <c r="B213" s="80"/>
      <c r="C213" s="211">
        <v>44844</v>
      </c>
      <c r="D213" s="212"/>
      <c r="E213" s="361"/>
      <c r="F213" s="361">
        <v>-20</v>
      </c>
      <c r="G213" s="74"/>
      <c r="H213" s="412"/>
      <c r="I213" s="402"/>
      <c r="J213" s="390" t="s">
        <v>943</v>
      </c>
    </row>
    <row r="214" spans="2:11" s="390" customFormat="1" ht="18" hidden="1" customHeight="1" x14ac:dyDescent="0.25">
      <c r="B214" s="80"/>
      <c r="C214" s="211">
        <v>44859</v>
      </c>
      <c r="D214" s="212"/>
      <c r="E214" s="361">
        <v>285</v>
      </c>
      <c r="F214" s="361">
        <v>-40</v>
      </c>
      <c r="G214" s="74"/>
      <c r="H214" s="412"/>
      <c r="I214" s="402"/>
    </row>
    <row r="215" spans="2:11" s="390" customFormat="1" ht="18" hidden="1" customHeight="1" x14ac:dyDescent="0.25">
      <c r="B215" s="80"/>
      <c r="C215" s="211">
        <v>44861</v>
      </c>
      <c r="D215" s="212"/>
      <c r="E215" s="361">
        <v>46</v>
      </c>
      <c r="F215" s="361">
        <v>-21</v>
      </c>
      <c r="G215" s="74"/>
      <c r="H215" s="412"/>
      <c r="I215" s="402"/>
      <c r="K215" s="390">
        <v>65</v>
      </c>
    </row>
    <row r="216" spans="2:11" s="390" customFormat="1" ht="18" hidden="1" customHeight="1" x14ac:dyDescent="0.25">
      <c r="B216" s="80"/>
      <c r="C216" s="211">
        <v>44879</v>
      </c>
      <c r="D216" s="212"/>
      <c r="E216" s="361">
        <v>175</v>
      </c>
      <c r="F216" s="361">
        <v>-100</v>
      </c>
      <c r="G216" s="74"/>
      <c r="H216" s="412"/>
      <c r="I216" s="402"/>
    </row>
    <row r="217" spans="2:11" s="390" customFormat="1" ht="18" hidden="1" customHeight="1" x14ac:dyDescent="0.25">
      <c r="B217" s="80"/>
      <c r="C217" s="211">
        <v>44898</v>
      </c>
      <c r="D217" s="212"/>
      <c r="E217" s="361"/>
      <c r="F217" s="361">
        <v>-50</v>
      </c>
      <c r="G217" s="74"/>
      <c r="H217" s="412"/>
      <c r="I217" s="402"/>
    </row>
    <row r="218" spans="2:11" s="390" customFormat="1" ht="18" hidden="1" customHeight="1" x14ac:dyDescent="0.25">
      <c r="B218" s="80"/>
      <c r="C218" s="211">
        <v>44904</v>
      </c>
      <c r="D218" s="212"/>
      <c r="E218" s="361">
        <v>70</v>
      </c>
      <c r="F218" s="361">
        <v>-60</v>
      </c>
      <c r="G218" s="74"/>
      <c r="H218" s="412"/>
      <c r="I218" s="402"/>
    </row>
    <row r="219" spans="2:11" s="390" customFormat="1" ht="18" hidden="1" customHeight="1" x14ac:dyDescent="0.25">
      <c r="B219" s="80"/>
      <c r="C219" s="211">
        <v>44931</v>
      </c>
      <c r="D219" s="212"/>
      <c r="E219" s="361"/>
      <c r="F219" s="361">
        <v>-55</v>
      </c>
      <c r="G219" s="74"/>
      <c r="H219" s="412"/>
      <c r="I219" s="402"/>
    </row>
    <row r="220" spans="2:11" s="390" customFormat="1" ht="18" hidden="1" customHeight="1" x14ac:dyDescent="0.25">
      <c r="B220" s="80"/>
      <c r="C220" s="211">
        <v>44956</v>
      </c>
      <c r="D220" s="212"/>
      <c r="E220" s="361"/>
      <c r="F220" s="361">
        <v>-50</v>
      </c>
      <c r="G220" s="74"/>
      <c r="H220" s="412"/>
      <c r="I220" s="402"/>
    </row>
    <row r="221" spans="2:11" s="390" customFormat="1" ht="18" hidden="1" customHeight="1" x14ac:dyDescent="0.25">
      <c r="B221" s="80"/>
      <c r="C221" s="211">
        <v>44980</v>
      </c>
      <c r="D221" s="212"/>
      <c r="E221" s="361"/>
      <c r="F221" s="361">
        <v>-45</v>
      </c>
      <c r="G221" s="74"/>
      <c r="H221" s="412"/>
      <c r="I221" s="402"/>
    </row>
    <row r="222" spans="2:11" s="390" customFormat="1" ht="18" hidden="1" customHeight="1" x14ac:dyDescent="0.25">
      <c r="B222" s="80"/>
      <c r="C222" s="211">
        <v>44986</v>
      </c>
      <c r="D222" s="212"/>
      <c r="E222" s="361">
        <v>150</v>
      </c>
      <c r="F222" s="361">
        <v>-25</v>
      </c>
      <c r="G222" s="74"/>
      <c r="H222" s="412"/>
      <c r="I222" s="402"/>
    </row>
    <row r="223" spans="2:11" s="390" customFormat="1" ht="18" hidden="1" customHeight="1" x14ac:dyDescent="0.25">
      <c r="B223" s="80"/>
      <c r="C223" s="211"/>
      <c r="D223" s="212"/>
      <c r="E223" s="361"/>
      <c r="F223" s="361">
        <v>-130</v>
      </c>
      <c r="G223" s="74"/>
      <c r="H223" s="412"/>
      <c r="I223" s="402"/>
    </row>
    <row r="224" spans="2:11" s="390" customFormat="1" ht="18" hidden="1" customHeight="1" x14ac:dyDescent="0.25">
      <c r="B224" s="80"/>
      <c r="C224" s="211">
        <v>45013</v>
      </c>
      <c r="D224" s="212"/>
      <c r="E224" s="361">
        <v>70</v>
      </c>
      <c r="F224" s="361"/>
      <c r="G224" s="74"/>
      <c r="H224" s="412"/>
      <c r="I224" s="402"/>
    </row>
    <row r="225" spans="2:9" s="390" customFormat="1" ht="18" hidden="1" customHeight="1" x14ac:dyDescent="0.25">
      <c r="B225" s="80"/>
      <c r="C225" s="211">
        <v>45016</v>
      </c>
      <c r="D225" s="212"/>
      <c r="E225" s="361">
        <v>85</v>
      </c>
      <c r="F225" s="361">
        <v>-35</v>
      </c>
      <c r="G225" s="74"/>
      <c r="H225" s="412"/>
      <c r="I225" s="402"/>
    </row>
    <row r="226" spans="2:9" s="390" customFormat="1" ht="18" hidden="1" customHeight="1" x14ac:dyDescent="0.25">
      <c r="B226" s="80"/>
      <c r="C226" s="211">
        <v>45061</v>
      </c>
      <c r="D226" s="212"/>
      <c r="E226" s="361">
        <v>200</v>
      </c>
      <c r="F226" s="361">
        <v>-40</v>
      </c>
      <c r="G226" s="74"/>
      <c r="H226" s="412"/>
      <c r="I226" s="402"/>
    </row>
    <row r="227" spans="2:9" s="390" customFormat="1" ht="18" hidden="1" customHeight="1" x14ac:dyDescent="0.25">
      <c r="B227" s="80"/>
      <c r="C227" s="211">
        <v>45078</v>
      </c>
      <c r="D227" s="212"/>
      <c r="E227" s="361">
        <f>35+110+120</f>
        <v>265</v>
      </c>
      <c r="F227" s="361">
        <v>-50</v>
      </c>
      <c r="G227" s="74"/>
      <c r="H227" s="412"/>
      <c r="I227" s="402"/>
    </row>
    <row r="228" spans="2:9" s="390" customFormat="1" ht="18" hidden="1" customHeight="1" x14ac:dyDescent="0.25">
      <c r="B228" s="80"/>
      <c r="C228" s="211">
        <v>45079</v>
      </c>
      <c r="D228" s="212"/>
      <c r="E228" s="361"/>
      <c r="F228" s="361">
        <v>-30</v>
      </c>
      <c r="G228" s="74"/>
      <c r="H228" s="412"/>
      <c r="I228" s="402"/>
    </row>
    <row r="229" spans="2:9" s="390" customFormat="1" ht="18" hidden="1" customHeight="1" x14ac:dyDescent="0.25">
      <c r="B229" s="80"/>
      <c r="C229" s="211">
        <v>45106</v>
      </c>
      <c r="D229" s="212"/>
      <c r="E229" s="361"/>
      <c r="F229" s="361">
        <v>-50</v>
      </c>
      <c r="G229" s="74"/>
      <c r="H229" s="412"/>
      <c r="I229" s="402"/>
    </row>
    <row r="230" spans="2:9" s="390" customFormat="1" ht="18" hidden="1" customHeight="1" x14ac:dyDescent="0.25">
      <c r="B230" s="80"/>
      <c r="C230" s="211">
        <v>45155</v>
      </c>
      <c r="D230" s="212"/>
      <c r="E230" s="361"/>
      <c r="F230" s="361">
        <v>-100</v>
      </c>
      <c r="G230" s="74"/>
      <c r="H230" s="412"/>
      <c r="I230" s="402"/>
    </row>
    <row r="231" spans="2:9" s="390" customFormat="1" ht="18" hidden="1" customHeight="1" x14ac:dyDescent="0.25">
      <c r="B231" s="80"/>
      <c r="C231" s="211">
        <v>45174</v>
      </c>
      <c r="D231" s="212"/>
      <c r="E231" s="361"/>
      <c r="F231" s="361">
        <v>-55</v>
      </c>
      <c r="G231" s="74"/>
      <c r="H231" s="412"/>
      <c r="I231" s="402"/>
    </row>
    <row r="232" spans="2:9" s="390" customFormat="1" ht="18" hidden="1" customHeight="1" x14ac:dyDescent="0.25">
      <c r="B232" s="80"/>
      <c r="C232" s="211"/>
      <c r="D232" s="212"/>
      <c r="E232" s="361"/>
      <c r="F232" s="361">
        <v>-45</v>
      </c>
      <c r="G232" s="74"/>
      <c r="H232" s="412"/>
      <c r="I232" s="402"/>
    </row>
    <row r="233" spans="2:9" s="390" customFormat="1" ht="18" hidden="1" customHeight="1" x14ac:dyDescent="0.25">
      <c r="B233" s="80"/>
      <c r="C233" s="211">
        <v>45190</v>
      </c>
      <c r="D233" s="212"/>
      <c r="E233" s="361"/>
      <c r="F233" s="361">
        <v>-110</v>
      </c>
      <c r="G233" s="74" t="s">
        <v>1637</v>
      </c>
      <c r="H233" s="412"/>
      <c r="I233" s="402"/>
    </row>
    <row r="234" spans="2:9" s="390" customFormat="1" ht="18" hidden="1" customHeight="1" x14ac:dyDescent="0.25">
      <c r="B234" s="80"/>
      <c r="C234" s="211">
        <v>45229</v>
      </c>
      <c r="D234" s="212"/>
      <c r="E234" s="361">
        <v>75</v>
      </c>
      <c r="F234" s="361">
        <v>-50</v>
      </c>
      <c r="G234" s="74"/>
      <c r="H234" s="412"/>
      <c r="I234" s="402"/>
    </row>
    <row r="235" spans="2:9" s="390" customFormat="1" ht="18" hidden="1" customHeight="1" x14ac:dyDescent="0.25">
      <c r="B235" s="80"/>
      <c r="C235" s="211">
        <v>45264</v>
      </c>
      <c r="D235" s="212"/>
      <c r="E235" s="361"/>
      <c r="F235" s="361">
        <v>-50</v>
      </c>
      <c r="G235" s="74"/>
      <c r="H235" s="412"/>
      <c r="I235" s="402"/>
    </row>
    <row r="236" spans="2:9" s="390" customFormat="1" ht="18" hidden="1" customHeight="1" x14ac:dyDescent="0.25">
      <c r="B236" s="80"/>
      <c r="C236" s="211">
        <v>45281</v>
      </c>
      <c r="D236" s="212"/>
      <c r="E236" s="361"/>
      <c r="F236" s="361">
        <v>-100</v>
      </c>
      <c r="G236" s="74"/>
      <c r="H236" s="412"/>
      <c r="I236" s="402"/>
    </row>
    <row r="237" spans="2:9" s="390" customFormat="1" ht="18" hidden="1" customHeight="1" x14ac:dyDescent="0.25">
      <c r="B237" s="80"/>
      <c r="C237" s="211">
        <v>45334</v>
      </c>
      <c r="D237" s="212"/>
      <c r="E237" s="361">
        <v>140</v>
      </c>
      <c r="F237" s="361">
        <v>-100</v>
      </c>
      <c r="G237" s="74"/>
      <c r="H237" s="412"/>
      <c r="I237" s="402"/>
    </row>
    <row r="238" spans="2:9" s="390" customFormat="1" ht="18" hidden="1" customHeight="1" x14ac:dyDescent="0.25">
      <c r="B238" s="80"/>
      <c r="C238" s="211">
        <v>45358</v>
      </c>
      <c r="D238" s="212"/>
      <c r="E238" s="361"/>
      <c r="F238" s="361">
        <v>-100</v>
      </c>
      <c r="G238" s="74"/>
      <c r="H238" s="412"/>
      <c r="I238" s="402"/>
    </row>
    <row r="239" spans="2:9" s="390" customFormat="1" ht="18" hidden="1" customHeight="1" x14ac:dyDescent="0.25">
      <c r="B239" s="80"/>
      <c r="C239" s="211">
        <v>45391</v>
      </c>
      <c r="D239" s="212"/>
      <c r="E239" s="361"/>
      <c r="F239" s="361">
        <v>-60</v>
      </c>
      <c r="G239" s="74"/>
      <c r="H239" s="412"/>
      <c r="I239" s="402"/>
    </row>
    <row r="240" spans="2:9" s="390" customFormat="1" ht="18" hidden="1" customHeight="1" x14ac:dyDescent="0.25">
      <c r="B240" s="80"/>
      <c r="C240" s="211">
        <v>45427</v>
      </c>
      <c r="D240" s="212"/>
      <c r="E240" s="361"/>
      <c r="F240" s="361">
        <v>-100</v>
      </c>
      <c r="G240" s="74"/>
      <c r="H240" s="412"/>
      <c r="I240" s="402"/>
    </row>
    <row r="241" spans="2:11" s="390" customFormat="1" ht="18" hidden="1" customHeight="1" thickBot="1" x14ac:dyDescent="0.3">
      <c r="B241" s="80"/>
      <c r="C241" s="211"/>
      <c r="D241" s="212"/>
      <c r="E241" s="361"/>
      <c r="F241" s="361">
        <v>-10</v>
      </c>
      <c r="G241" s="74" t="s">
        <v>2599</v>
      </c>
      <c r="H241" s="412"/>
      <c r="I241" s="402"/>
    </row>
    <row r="242" spans="2:11" ht="18" hidden="1" customHeight="1" thickBot="1" x14ac:dyDescent="0.3">
      <c r="B242" s="80"/>
      <c r="C242" s="69"/>
      <c r="D242" s="212"/>
      <c r="E242" s="780">
        <f>SUM(E201:E238)</f>
        <v>1971</v>
      </c>
      <c r="F242" s="748">
        <f>SUM(F201:F241)</f>
        <v>-1971</v>
      </c>
      <c r="G242" s="74"/>
      <c r="H242" s="412"/>
      <c r="I242" s="402">
        <f>+E242+F242</f>
        <v>0</v>
      </c>
      <c r="K242" s="59">
        <v>-40</v>
      </c>
    </row>
    <row r="243" spans="2:11" s="390" customFormat="1" ht="18" customHeight="1" x14ac:dyDescent="0.25">
      <c r="B243" s="387"/>
      <c r="C243" s="391"/>
      <c r="D243" s="392"/>
      <c r="E243" s="157"/>
      <c r="F243" s="163"/>
      <c r="G243" s="388"/>
      <c r="H243" s="409"/>
      <c r="I243" s="402"/>
    </row>
    <row r="244" spans="2:11" s="390" customFormat="1" ht="18" customHeight="1" x14ac:dyDescent="0.25">
      <c r="B244" s="387"/>
      <c r="C244" s="391"/>
      <c r="D244" s="392"/>
      <c r="E244" s="157"/>
      <c r="F244" s="163"/>
      <c r="G244" s="388"/>
      <c r="H244" s="409"/>
      <c r="I244" s="402"/>
    </row>
    <row r="245" spans="2:11" s="390" customFormat="1" ht="18" customHeight="1" x14ac:dyDescent="0.25">
      <c r="B245" s="387" t="s">
        <v>645</v>
      </c>
      <c r="C245" s="391">
        <v>44799</v>
      </c>
      <c r="D245" s="392"/>
      <c r="E245" s="157">
        <v>200</v>
      </c>
      <c r="F245" s="163">
        <v>-20</v>
      </c>
      <c r="G245" s="388"/>
      <c r="H245" s="409"/>
      <c r="I245" s="402"/>
    </row>
    <row r="246" spans="2:11" s="390" customFormat="1" ht="18" customHeight="1" x14ac:dyDescent="0.25">
      <c r="B246" s="387"/>
      <c r="C246" s="391">
        <v>44812</v>
      </c>
      <c r="D246" s="392"/>
      <c r="E246" s="157"/>
      <c r="F246" s="163">
        <v>-50</v>
      </c>
      <c r="G246" s="388"/>
      <c r="H246" s="409"/>
      <c r="I246" s="402"/>
    </row>
    <row r="247" spans="2:11" s="390" customFormat="1" ht="18" customHeight="1" x14ac:dyDescent="0.25">
      <c r="B247" s="387"/>
      <c r="C247" s="391">
        <v>44840</v>
      </c>
      <c r="D247" s="392"/>
      <c r="E247" s="157">
        <v>55</v>
      </c>
      <c r="F247" s="163">
        <v>-70</v>
      </c>
      <c r="G247" s="388"/>
      <c r="H247" s="409"/>
      <c r="I247" s="402"/>
    </row>
    <row r="248" spans="2:11" s="390" customFormat="1" ht="18" hidden="1" customHeight="1" x14ac:dyDescent="0.25">
      <c r="B248" s="387"/>
      <c r="C248" s="391">
        <v>44869</v>
      </c>
      <c r="D248" s="392"/>
      <c r="E248" s="157">
        <v>40</v>
      </c>
      <c r="F248" s="163">
        <v>-60</v>
      </c>
      <c r="G248" s="388"/>
      <c r="H248" s="409"/>
      <c r="I248" s="402"/>
    </row>
    <row r="249" spans="2:11" s="390" customFormat="1" ht="18" hidden="1" customHeight="1" x14ac:dyDescent="0.25">
      <c r="B249" s="387"/>
      <c r="C249" s="391">
        <v>44898</v>
      </c>
      <c r="D249" s="392"/>
      <c r="E249" s="157">
        <v>7</v>
      </c>
      <c r="F249" s="163">
        <v>-70</v>
      </c>
      <c r="G249" s="388"/>
      <c r="H249" s="409"/>
      <c r="I249" s="402"/>
    </row>
    <row r="250" spans="2:11" s="390" customFormat="1" ht="18" hidden="1" customHeight="1" x14ac:dyDescent="0.25">
      <c r="B250" s="387"/>
      <c r="C250" s="391">
        <v>44938</v>
      </c>
      <c r="D250" s="392"/>
      <c r="E250" s="157">
        <v>150</v>
      </c>
      <c r="F250" s="163">
        <v>-50</v>
      </c>
      <c r="G250" s="388"/>
      <c r="H250" s="409"/>
      <c r="I250" s="402"/>
    </row>
    <row r="251" spans="2:11" s="390" customFormat="1" ht="18" hidden="1" customHeight="1" x14ac:dyDescent="0.25">
      <c r="B251" s="387"/>
      <c r="C251" s="391">
        <v>44968</v>
      </c>
      <c r="D251" s="392"/>
      <c r="E251" s="157">
        <v>235</v>
      </c>
      <c r="F251" s="163">
        <v>-60</v>
      </c>
      <c r="G251" s="388"/>
      <c r="H251" s="409"/>
      <c r="I251" s="402"/>
    </row>
    <row r="252" spans="2:11" s="390" customFormat="1" ht="18" hidden="1" customHeight="1" x14ac:dyDescent="0.25">
      <c r="B252" s="387"/>
      <c r="C252" s="391">
        <v>44993</v>
      </c>
      <c r="D252" s="392"/>
      <c r="E252" s="157">
        <v>55</v>
      </c>
      <c r="F252" s="163">
        <v>-80</v>
      </c>
      <c r="G252" s="388"/>
      <c r="H252" s="409"/>
      <c r="I252" s="402"/>
    </row>
    <row r="253" spans="2:11" s="390" customFormat="1" ht="18" hidden="1" customHeight="1" x14ac:dyDescent="0.25">
      <c r="B253" s="387"/>
      <c r="C253" s="391">
        <v>45023</v>
      </c>
      <c r="D253" s="392"/>
      <c r="E253" s="157">
        <v>100</v>
      </c>
      <c r="F253" s="163">
        <v>-70</v>
      </c>
      <c r="G253" s="388"/>
      <c r="H253" s="409"/>
      <c r="I253" s="402"/>
    </row>
    <row r="254" spans="2:11" s="390" customFormat="1" ht="18" hidden="1" customHeight="1" x14ac:dyDescent="0.25">
      <c r="B254" s="387"/>
      <c r="C254" s="391">
        <v>45052</v>
      </c>
      <c r="D254" s="392"/>
      <c r="E254" s="157"/>
      <c r="F254" s="163">
        <v>-80</v>
      </c>
      <c r="G254" s="388"/>
      <c r="H254" s="409"/>
      <c r="I254" s="402"/>
    </row>
    <row r="255" spans="2:11" s="390" customFormat="1" ht="18" hidden="1" customHeight="1" x14ac:dyDescent="0.25">
      <c r="B255" s="387"/>
      <c r="C255" s="391">
        <v>45078</v>
      </c>
      <c r="D255" s="392"/>
      <c r="E255" s="157">
        <f>30+35+50+110+85</f>
        <v>310</v>
      </c>
      <c r="F255" s="163">
        <v>-80</v>
      </c>
      <c r="G255" s="388"/>
      <c r="H255" s="409"/>
      <c r="I255" s="402"/>
      <c r="J255" s="390" t="s">
        <v>1370</v>
      </c>
    </row>
    <row r="256" spans="2:11" s="390" customFormat="1" ht="18" hidden="1" customHeight="1" x14ac:dyDescent="0.25">
      <c r="B256" s="387"/>
      <c r="C256" s="391">
        <v>45085</v>
      </c>
      <c r="D256" s="392"/>
      <c r="E256" s="157">
        <v>100</v>
      </c>
      <c r="F256" s="163"/>
      <c r="G256" s="388"/>
      <c r="H256" s="409"/>
      <c r="I256" s="402"/>
    </row>
    <row r="257" spans="2:9" s="390" customFormat="1" ht="18" hidden="1" customHeight="1" x14ac:dyDescent="0.25">
      <c r="B257" s="387"/>
      <c r="C257" s="391">
        <v>45113</v>
      </c>
      <c r="D257" s="392"/>
      <c r="E257" s="157"/>
      <c r="F257" s="163">
        <v>-90</v>
      </c>
      <c r="G257" s="388"/>
      <c r="H257" s="409"/>
      <c r="I257" s="402"/>
    </row>
    <row r="258" spans="2:9" s="390" customFormat="1" ht="18" hidden="1" customHeight="1" x14ac:dyDescent="0.25">
      <c r="B258" s="387"/>
      <c r="C258" s="391">
        <v>45145</v>
      </c>
      <c r="D258" s="392"/>
      <c r="E258" s="157"/>
      <c r="F258" s="163">
        <v>-110</v>
      </c>
      <c r="G258" s="388"/>
      <c r="H258" s="409"/>
      <c r="I258" s="402"/>
    </row>
    <row r="259" spans="2:9" s="390" customFormat="1" ht="18" hidden="1" customHeight="1" x14ac:dyDescent="0.25">
      <c r="B259" s="387"/>
      <c r="C259" s="391">
        <v>45176</v>
      </c>
      <c r="D259" s="392"/>
      <c r="E259" s="157">
        <v>25</v>
      </c>
      <c r="F259" s="163">
        <v>-70</v>
      </c>
      <c r="G259" s="388" t="s">
        <v>1575</v>
      </c>
      <c r="H259" s="409"/>
      <c r="I259" s="402"/>
    </row>
    <row r="260" spans="2:9" s="390" customFormat="1" ht="18" hidden="1" customHeight="1" x14ac:dyDescent="0.25">
      <c r="B260" s="387"/>
      <c r="C260" s="142">
        <v>45208</v>
      </c>
      <c r="D260" s="143"/>
      <c r="E260" s="158">
        <v>35</v>
      </c>
      <c r="F260" s="163"/>
      <c r="G260" s="388" t="s">
        <v>1576</v>
      </c>
      <c r="H260" s="409"/>
      <c r="I260" s="402"/>
    </row>
    <row r="261" spans="2:9" s="390" customFormat="1" ht="18" hidden="1" customHeight="1" x14ac:dyDescent="0.25">
      <c r="B261" s="387"/>
      <c r="C261" s="391">
        <v>45237</v>
      </c>
      <c r="D261" s="392"/>
      <c r="E261" s="157"/>
      <c r="F261" s="163">
        <v>-70</v>
      </c>
      <c r="G261" s="388"/>
      <c r="H261" s="409"/>
      <c r="I261" s="402"/>
    </row>
    <row r="262" spans="2:9" s="390" customFormat="1" ht="18" hidden="1" customHeight="1" x14ac:dyDescent="0.25">
      <c r="B262" s="387"/>
      <c r="C262" s="391">
        <v>45245</v>
      </c>
      <c r="D262" s="392"/>
      <c r="E262" s="157">
        <v>55</v>
      </c>
      <c r="F262" s="163"/>
      <c r="G262" s="388"/>
      <c r="H262" s="409"/>
      <c r="I262" s="402"/>
    </row>
    <row r="263" spans="2:9" s="390" customFormat="1" ht="18" customHeight="1" x14ac:dyDescent="0.25">
      <c r="B263" s="387"/>
      <c r="C263" s="391">
        <v>45283</v>
      </c>
      <c r="D263" s="392"/>
      <c r="E263" s="157"/>
      <c r="F263" s="163">
        <v>-70</v>
      </c>
      <c r="G263" s="388"/>
      <c r="H263" s="409"/>
      <c r="I263" s="402"/>
    </row>
    <row r="264" spans="2:9" s="390" customFormat="1" ht="18" customHeight="1" x14ac:dyDescent="0.25">
      <c r="B264" s="387"/>
      <c r="C264" s="391">
        <v>45311</v>
      </c>
      <c r="D264" s="392"/>
      <c r="E264" s="157"/>
      <c r="F264" s="163">
        <v>-60</v>
      </c>
      <c r="G264" s="388"/>
      <c r="H264" s="409"/>
      <c r="I264" s="402"/>
    </row>
    <row r="265" spans="2:9" s="390" customFormat="1" ht="18" customHeight="1" x14ac:dyDescent="0.25">
      <c r="B265" s="387"/>
      <c r="C265" s="391">
        <v>45394</v>
      </c>
      <c r="D265" s="392"/>
      <c r="E265" s="157"/>
      <c r="F265" s="163">
        <v>-100</v>
      </c>
      <c r="G265" s="388"/>
      <c r="H265" s="409"/>
      <c r="I265" s="402"/>
    </row>
    <row r="266" spans="2:9" s="390" customFormat="1" ht="18" customHeight="1" thickBot="1" x14ac:dyDescent="0.3">
      <c r="B266" s="387"/>
      <c r="C266" s="391">
        <v>45435</v>
      </c>
      <c r="D266" s="392"/>
      <c r="E266" s="157"/>
      <c r="F266" s="163">
        <v>-100</v>
      </c>
      <c r="G266" s="388"/>
      <c r="H266" s="409"/>
      <c r="I266" s="402"/>
    </row>
    <row r="267" spans="2:9" s="390" customFormat="1" ht="18" customHeight="1" thickBot="1" x14ac:dyDescent="0.3">
      <c r="B267" s="387"/>
      <c r="C267" s="391"/>
      <c r="D267" s="392"/>
      <c r="E267" s="129">
        <f>SUM(E245:E263)</f>
        <v>1367</v>
      </c>
      <c r="F267" s="240">
        <f>SUM(F245:F266)</f>
        <v>-1360</v>
      </c>
      <c r="G267" s="388"/>
      <c r="H267" s="409"/>
      <c r="I267" s="402">
        <f>+E267+F267</f>
        <v>7</v>
      </c>
    </row>
    <row r="268" spans="2:9" s="390" customFormat="1" ht="18" customHeight="1" x14ac:dyDescent="0.25">
      <c r="B268" s="387"/>
      <c r="C268" s="391"/>
      <c r="D268" s="392"/>
      <c r="E268" s="157"/>
      <c r="F268" s="163"/>
      <c r="G268" s="388"/>
      <c r="H268" s="409"/>
      <c r="I268" s="402"/>
    </row>
    <row r="269" spans="2:9" s="390" customFormat="1" ht="18" customHeight="1" x14ac:dyDescent="0.25">
      <c r="B269" s="387"/>
      <c r="C269" s="391"/>
      <c r="D269" s="392"/>
      <c r="E269" s="157"/>
      <c r="F269" s="163"/>
      <c r="G269" s="388"/>
      <c r="H269" s="409"/>
      <c r="I269" s="402"/>
    </row>
    <row r="270" spans="2:9" s="390" customFormat="1" ht="18" hidden="1" customHeight="1" x14ac:dyDescent="0.25">
      <c r="B270" s="80" t="s">
        <v>568</v>
      </c>
      <c r="C270" s="211">
        <v>44891</v>
      </c>
      <c r="D270" s="212"/>
      <c r="E270" s="779">
        <v>140</v>
      </c>
      <c r="F270" s="361">
        <v>-60</v>
      </c>
      <c r="G270" s="74">
        <v>-60</v>
      </c>
      <c r="H270" s="412"/>
      <c r="I270" s="402"/>
    </row>
    <row r="271" spans="2:9" s="390" customFormat="1" ht="18" hidden="1" customHeight="1" x14ac:dyDescent="0.25">
      <c r="B271" s="80"/>
      <c r="C271" s="211">
        <v>45262</v>
      </c>
      <c r="D271" s="212"/>
      <c r="E271" s="779">
        <v>35</v>
      </c>
      <c r="F271" s="361">
        <v>-40</v>
      </c>
      <c r="G271" s="74">
        <v>-40</v>
      </c>
      <c r="H271" s="412"/>
      <c r="I271" s="402"/>
    </row>
    <row r="272" spans="2:9" s="390" customFormat="1" ht="18" hidden="1" customHeight="1" x14ac:dyDescent="0.25">
      <c r="B272" s="80"/>
      <c r="C272" s="211">
        <v>44901</v>
      </c>
      <c r="D272" s="212"/>
      <c r="E272" s="779">
        <v>150</v>
      </c>
      <c r="F272" s="361">
        <v>-100</v>
      </c>
      <c r="G272" s="74">
        <v>-100</v>
      </c>
      <c r="H272" s="412"/>
      <c r="I272" s="402"/>
    </row>
    <row r="273" spans="2:9" s="390" customFormat="1" ht="18" hidden="1" customHeight="1" x14ac:dyDescent="0.25">
      <c r="B273" s="80"/>
      <c r="C273" s="211">
        <v>44909</v>
      </c>
      <c r="D273" s="212"/>
      <c r="E273" s="779">
        <v>70</v>
      </c>
      <c r="F273" s="361">
        <v>-90</v>
      </c>
      <c r="G273" s="74"/>
      <c r="H273" s="412"/>
      <c r="I273" s="402"/>
    </row>
    <row r="274" spans="2:9" s="390" customFormat="1" ht="18" hidden="1" customHeight="1" x14ac:dyDescent="0.25">
      <c r="B274" s="80"/>
      <c r="C274" s="211">
        <v>44915</v>
      </c>
      <c r="D274" s="212"/>
      <c r="E274" s="779">
        <v>35</v>
      </c>
      <c r="F274" s="361">
        <v>-50</v>
      </c>
      <c r="G274" s="74">
        <v>-50</v>
      </c>
      <c r="H274" s="412"/>
      <c r="I274" s="402"/>
    </row>
    <row r="275" spans="2:9" s="390" customFormat="1" ht="18" hidden="1" customHeight="1" x14ac:dyDescent="0.25">
      <c r="B275" s="80"/>
      <c r="C275" s="211">
        <v>44919</v>
      </c>
      <c r="D275" s="212"/>
      <c r="E275" s="779"/>
      <c r="F275" s="361">
        <v>-50</v>
      </c>
      <c r="G275" s="74"/>
      <c r="H275" s="412"/>
      <c r="I275" s="402"/>
    </row>
    <row r="276" spans="2:9" s="390" customFormat="1" ht="18" hidden="1" customHeight="1" x14ac:dyDescent="0.25">
      <c r="B276" s="80"/>
      <c r="C276" s="211">
        <v>44944</v>
      </c>
      <c r="D276" s="212"/>
      <c r="E276" s="779"/>
      <c r="F276" s="361">
        <v>-35</v>
      </c>
      <c r="G276" s="74"/>
      <c r="H276" s="412"/>
      <c r="I276" s="402"/>
    </row>
    <row r="277" spans="2:9" s="390" customFormat="1" ht="18" hidden="1" customHeight="1" x14ac:dyDescent="0.25">
      <c r="B277" s="80"/>
      <c r="C277" s="211">
        <v>44977</v>
      </c>
      <c r="D277" s="212"/>
      <c r="E277" s="779">
        <f>165-10</f>
        <v>155</v>
      </c>
      <c r="F277" s="361">
        <v>-40</v>
      </c>
      <c r="G277" s="74"/>
      <c r="H277" s="412"/>
      <c r="I277" s="402"/>
    </row>
    <row r="278" spans="2:9" s="390" customFormat="1" ht="18" hidden="1" customHeight="1" x14ac:dyDescent="0.25">
      <c r="B278" s="80"/>
      <c r="C278" s="211">
        <v>45023</v>
      </c>
      <c r="D278" s="212"/>
      <c r="E278" s="779">
        <v>55</v>
      </c>
      <c r="F278" s="361">
        <f>-115-5</f>
        <v>-120</v>
      </c>
      <c r="G278" s="74" t="s">
        <v>1255</v>
      </c>
      <c r="H278" s="412"/>
      <c r="I278" s="402"/>
    </row>
    <row r="279" spans="2:9" s="390" customFormat="1" ht="18" hidden="1" customHeight="1" x14ac:dyDescent="0.25">
      <c r="B279" s="80"/>
      <c r="C279" s="211">
        <v>45028</v>
      </c>
      <c r="D279" s="212"/>
      <c r="E279" s="779">
        <v>65</v>
      </c>
      <c r="F279" s="361"/>
      <c r="G279" s="74"/>
      <c r="H279" s="412"/>
      <c r="I279" s="402"/>
    </row>
    <row r="280" spans="2:9" s="390" customFormat="1" ht="18" hidden="1" customHeight="1" x14ac:dyDescent="0.25">
      <c r="B280" s="80"/>
      <c r="C280" s="211">
        <v>45031</v>
      </c>
      <c r="D280" s="212"/>
      <c r="E280" s="779"/>
      <c r="F280" s="361">
        <v>-50</v>
      </c>
      <c r="G280" s="74"/>
      <c r="H280" s="412"/>
      <c r="I280" s="402"/>
    </row>
    <row r="281" spans="2:9" s="390" customFormat="1" ht="18" hidden="1" customHeight="1" x14ac:dyDescent="0.25">
      <c r="B281" s="80"/>
      <c r="C281" s="211">
        <v>45037</v>
      </c>
      <c r="D281" s="212"/>
      <c r="E281" s="779">
        <v>125</v>
      </c>
      <c r="F281" s="361"/>
      <c r="G281" s="74"/>
      <c r="H281" s="412"/>
      <c r="I281" s="402"/>
    </row>
    <row r="282" spans="2:9" s="390" customFormat="1" ht="18" hidden="1" customHeight="1" x14ac:dyDescent="0.25">
      <c r="B282" s="80"/>
      <c r="C282" s="211">
        <v>45051</v>
      </c>
      <c r="D282" s="212"/>
      <c r="E282" s="779"/>
      <c r="F282" s="361">
        <v>-150</v>
      </c>
      <c r="G282" s="74"/>
      <c r="H282" s="412"/>
      <c r="I282" s="402"/>
    </row>
    <row r="283" spans="2:9" s="390" customFormat="1" ht="18" hidden="1" customHeight="1" x14ac:dyDescent="0.25">
      <c r="B283" s="80" t="s">
        <v>1225</v>
      </c>
      <c r="C283" s="793">
        <v>45057</v>
      </c>
      <c r="D283" s="794"/>
      <c r="E283" s="795">
        <v>45</v>
      </c>
      <c r="F283" s="796">
        <v>-45</v>
      </c>
      <c r="G283" s="797" t="s">
        <v>1359</v>
      </c>
      <c r="H283" s="412"/>
      <c r="I283" s="402"/>
    </row>
    <row r="284" spans="2:9" s="390" customFormat="1" ht="18" hidden="1" customHeight="1" x14ac:dyDescent="0.25">
      <c r="B284" s="80"/>
      <c r="C284" s="211">
        <v>45075</v>
      </c>
      <c r="D284" s="212"/>
      <c r="E284" s="779">
        <v>180</v>
      </c>
      <c r="F284" s="361"/>
      <c r="G284" s="74"/>
      <c r="H284" s="412"/>
      <c r="I284" s="402"/>
    </row>
    <row r="285" spans="2:9" s="390" customFormat="1" ht="18" hidden="1" customHeight="1" x14ac:dyDescent="0.25">
      <c r="B285" s="80"/>
      <c r="C285" s="211">
        <v>45076</v>
      </c>
      <c r="D285" s="212"/>
      <c r="E285" s="779"/>
      <c r="F285" s="361">
        <v>-100</v>
      </c>
      <c r="G285" s="74"/>
      <c r="H285" s="412"/>
      <c r="I285" s="402"/>
    </row>
    <row r="286" spans="2:9" s="390" customFormat="1" ht="18" hidden="1" customHeight="1" x14ac:dyDescent="0.25">
      <c r="B286" s="80"/>
      <c r="C286" s="211">
        <v>45131</v>
      </c>
      <c r="D286" s="212"/>
      <c r="E286" s="779">
        <f>65+25</f>
        <v>90</v>
      </c>
      <c r="F286" s="361">
        <v>-100</v>
      </c>
      <c r="G286" s="74"/>
      <c r="H286" s="412"/>
      <c r="I286" s="402"/>
    </row>
    <row r="287" spans="2:9" s="390" customFormat="1" ht="18" hidden="1" customHeight="1" x14ac:dyDescent="0.25">
      <c r="B287" s="80"/>
      <c r="C287" s="211">
        <v>45157</v>
      </c>
      <c r="D287" s="212"/>
      <c r="E287" s="779">
        <f>35+25</f>
        <v>60</v>
      </c>
      <c r="F287" s="361">
        <v>-70</v>
      </c>
      <c r="G287" s="74"/>
      <c r="H287" s="412"/>
      <c r="I287" s="402"/>
    </row>
    <row r="288" spans="2:9" s="390" customFormat="1" ht="18" hidden="1" customHeight="1" x14ac:dyDescent="0.25">
      <c r="B288" s="80"/>
      <c r="C288" s="211">
        <v>45178</v>
      </c>
      <c r="D288" s="212"/>
      <c r="E288" s="779"/>
      <c r="F288" s="361">
        <v>-50</v>
      </c>
      <c r="G288" s="74"/>
      <c r="H288" s="412"/>
      <c r="I288" s="402"/>
    </row>
    <row r="289" spans="2:10" s="390" customFormat="1" ht="18" hidden="1" customHeight="1" x14ac:dyDescent="0.25">
      <c r="B289" s="80"/>
      <c r="C289" s="211">
        <v>45217</v>
      </c>
      <c r="D289" s="212"/>
      <c r="E289" s="779">
        <v>90</v>
      </c>
      <c r="F289" s="361"/>
      <c r="G289" s="74"/>
      <c r="H289" s="412"/>
      <c r="I289" s="402"/>
    </row>
    <row r="290" spans="2:10" s="390" customFormat="1" ht="18" hidden="1" customHeight="1" x14ac:dyDescent="0.25">
      <c r="B290" s="80"/>
      <c r="C290" s="211">
        <v>45234</v>
      </c>
      <c r="D290" s="212"/>
      <c r="E290" s="779"/>
      <c r="F290" s="361">
        <v>-50</v>
      </c>
      <c r="G290" s="74"/>
      <c r="H290" s="412"/>
      <c r="I290" s="402"/>
    </row>
    <row r="291" spans="2:10" s="390" customFormat="1" ht="18" hidden="1" customHeight="1" x14ac:dyDescent="0.25">
      <c r="B291" s="80"/>
      <c r="C291" s="211">
        <v>45262</v>
      </c>
      <c r="D291" s="212"/>
      <c r="E291" s="779"/>
      <c r="F291" s="361">
        <v>-50</v>
      </c>
      <c r="G291" s="74"/>
      <c r="H291" s="412"/>
      <c r="I291" s="402"/>
    </row>
    <row r="292" spans="2:10" s="390" customFormat="1" ht="18" hidden="1" customHeight="1" thickBot="1" x14ac:dyDescent="0.3">
      <c r="B292" s="80"/>
      <c r="C292" s="211">
        <v>45347</v>
      </c>
      <c r="D292" s="212"/>
      <c r="E292" s="779"/>
      <c r="F292" s="361">
        <v>-50</v>
      </c>
      <c r="G292" s="74"/>
      <c r="H292" s="412"/>
      <c r="I292" s="402"/>
    </row>
    <row r="293" spans="2:10" s="390" customFormat="1" ht="18" hidden="1" customHeight="1" thickBot="1" x14ac:dyDescent="0.3">
      <c r="B293" s="80"/>
      <c r="C293" s="211"/>
      <c r="D293" s="212"/>
      <c r="E293" s="780">
        <f>SUM(E270:E292)</f>
        <v>1295</v>
      </c>
      <c r="F293" s="748">
        <f>SUM(F270:F292)</f>
        <v>-1300</v>
      </c>
      <c r="G293" s="74"/>
      <c r="H293" s="412"/>
      <c r="I293" s="402">
        <f>+E293+F293</f>
        <v>-5</v>
      </c>
    </row>
    <row r="294" spans="2:10" s="390" customFormat="1" ht="18" customHeight="1" x14ac:dyDescent="0.25">
      <c r="B294" s="387"/>
      <c r="C294" s="391"/>
      <c r="D294" s="392"/>
      <c r="E294" s="157"/>
      <c r="F294" s="163"/>
      <c r="G294" s="388"/>
      <c r="H294" s="409"/>
      <c r="I294" s="402"/>
    </row>
    <row r="295" spans="2:10" s="390" customFormat="1" ht="18" hidden="1" customHeight="1" x14ac:dyDescent="0.25">
      <c r="B295" s="778" t="s">
        <v>996</v>
      </c>
      <c r="C295" s="211">
        <v>45068</v>
      </c>
      <c r="D295" s="212"/>
      <c r="E295" s="779">
        <v>920</v>
      </c>
      <c r="F295" s="779">
        <v>-10</v>
      </c>
      <c r="G295" s="74"/>
      <c r="H295" s="412"/>
      <c r="I295" s="402"/>
      <c r="J295" s="390" t="s">
        <v>1358</v>
      </c>
    </row>
    <row r="296" spans="2:10" s="390" customFormat="1" ht="18" hidden="1" customHeight="1" x14ac:dyDescent="0.25">
      <c r="B296" s="80"/>
      <c r="C296" s="211"/>
      <c r="D296" s="212"/>
      <c r="E296" s="779">
        <v>514</v>
      </c>
      <c r="F296" s="779"/>
      <c r="G296" s="74"/>
      <c r="H296" s="412"/>
      <c r="I296" s="402"/>
    </row>
    <row r="297" spans="2:10" s="390" customFormat="1" ht="18" hidden="1" customHeight="1" x14ac:dyDescent="0.25">
      <c r="B297" s="80"/>
      <c r="C297" s="211" t="s">
        <v>151</v>
      </c>
      <c r="D297" s="212"/>
      <c r="E297" s="779"/>
      <c r="F297" s="779">
        <v>-400</v>
      </c>
      <c r="G297" s="74"/>
      <c r="H297" s="412"/>
      <c r="I297" s="402"/>
    </row>
    <row r="298" spans="2:10" s="390" customFormat="1" ht="18" hidden="1" customHeight="1" x14ac:dyDescent="0.25">
      <c r="B298" s="80"/>
      <c r="C298" s="211">
        <v>45131</v>
      </c>
      <c r="D298" s="212"/>
      <c r="E298" s="779"/>
      <c r="F298" s="779">
        <v>-300</v>
      </c>
      <c r="G298" s="74"/>
      <c r="H298" s="412"/>
      <c r="I298" s="402"/>
    </row>
    <row r="299" spans="2:10" s="390" customFormat="1" ht="18" hidden="1" customHeight="1" x14ac:dyDescent="0.25">
      <c r="B299" s="80"/>
      <c r="C299" s="211">
        <v>45253</v>
      </c>
      <c r="D299" s="212"/>
      <c r="E299" s="779"/>
      <c r="F299" s="779">
        <v>-300</v>
      </c>
      <c r="G299" s="74"/>
      <c r="H299" s="412"/>
      <c r="I299" s="402"/>
    </row>
    <row r="300" spans="2:10" s="390" customFormat="1" ht="18" hidden="1" customHeight="1" x14ac:dyDescent="0.25">
      <c r="B300" s="80"/>
      <c r="C300" s="211">
        <v>45276</v>
      </c>
      <c r="D300" s="212"/>
      <c r="E300" s="779"/>
      <c r="F300" s="779">
        <v>-225</v>
      </c>
      <c r="G300" s="74"/>
      <c r="H300" s="412"/>
      <c r="I300" s="402"/>
    </row>
    <row r="301" spans="2:10" s="390" customFormat="1" ht="18" hidden="1" customHeight="1" thickBot="1" x14ac:dyDescent="0.3">
      <c r="B301" s="80"/>
      <c r="C301" s="211">
        <v>45633</v>
      </c>
      <c r="D301" s="212"/>
      <c r="E301" s="779"/>
      <c r="F301" s="779">
        <v>-200</v>
      </c>
      <c r="G301" s="74"/>
      <c r="H301" s="412"/>
      <c r="I301" s="402"/>
    </row>
    <row r="302" spans="2:10" s="390" customFormat="1" ht="18" hidden="1" customHeight="1" thickBot="1" x14ac:dyDescent="0.3">
      <c r="B302" s="80"/>
      <c r="C302" s="211"/>
      <c r="D302" s="212"/>
      <c r="E302" s="780">
        <f>SUM(E295:E298)</f>
        <v>1434</v>
      </c>
      <c r="F302" s="780">
        <f>SUM(F295:F301)</f>
        <v>-1435</v>
      </c>
      <c r="G302" s="74"/>
      <c r="H302" s="412"/>
      <c r="I302" s="402">
        <f>+E302+F302</f>
        <v>-1</v>
      </c>
    </row>
    <row r="303" spans="2:10" s="390" customFormat="1" ht="18" hidden="1" customHeight="1" x14ac:dyDescent="0.25">
      <c r="B303" s="387"/>
      <c r="C303" s="391"/>
      <c r="D303" s="392"/>
      <c r="E303" s="157"/>
      <c r="F303" s="157"/>
      <c r="G303" s="388"/>
      <c r="H303" s="409"/>
      <c r="I303" s="402"/>
    </row>
    <row r="304" spans="2:10" s="390" customFormat="1" ht="18" customHeight="1" x14ac:dyDescent="0.25">
      <c r="B304" s="387" t="s">
        <v>1374</v>
      </c>
      <c r="C304" s="391">
        <v>45089</v>
      </c>
      <c r="D304" s="392"/>
      <c r="E304" s="157">
        <v>300</v>
      </c>
      <c r="F304" s="157">
        <v>0</v>
      </c>
      <c r="G304" s="388"/>
      <c r="H304" s="409"/>
      <c r="I304" s="402"/>
    </row>
    <row r="305" spans="2:9" s="390" customFormat="1" ht="18" customHeight="1" x14ac:dyDescent="0.25">
      <c r="B305" s="387"/>
      <c r="C305" s="391">
        <v>45109</v>
      </c>
      <c r="D305" s="392"/>
      <c r="E305" s="157">
        <v>-5</v>
      </c>
      <c r="F305" s="157">
        <v>-130</v>
      </c>
      <c r="G305" s="388"/>
      <c r="H305" s="409"/>
      <c r="I305" s="402"/>
    </row>
    <row r="306" spans="2:9" s="390" customFormat="1" ht="18" customHeight="1" x14ac:dyDescent="0.25">
      <c r="B306" s="387"/>
      <c r="C306" s="391">
        <v>45139</v>
      </c>
      <c r="D306" s="392"/>
      <c r="E306" s="157"/>
      <c r="F306" s="157">
        <v>-65</v>
      </c>
      <c r="G306" s="388"/>
      <c r="H306" s="409"/>
      <c r="I306" s="402"/>
    </row>
    <row r="307" spans="2:9" s="390" customFormat="1" ht="18" customHeight="1" x14ac:dyDescent="0.25">
      <c r="B307" s="387"/>
      <c r="C307" s="391">
        <v>45162</v>
      </c>
      <c r="D307" s="392"/>
      <c r="E307" s="157">
        <v>160</v>
      </c>
      <c r="F307" s="157">
        <v>-50</v>
      </c>
      <c r="G307" s="388"/>
      <c r="H307" s="409"/>
      <c r="I307" s="402"/>
    </row>
    <row r="308" spans="2:9" s="390" customFormat="1" ht="18" customHeight="1" x14ac:dyDescent="0.25">
      <c r="B308" s="387"/>
      <c r="C308" s="391">
        <v>45170</v>
      </c>
      <c r="D308" s="392"/>
      <c r="E308" s="157">
        <f>20+35</f>
        <v>55</v>
      </c>
      <c r="F308" s="157">
        <v>-70</v>
      </c>
      <c r="G308" s="388"/>
      <c r="H308" s="409"/>
      <c r="I308" s="402"/>
    </row>
    <row r="309" spans="2:9" s="390" customFormat="1" ht="18" customHeight="1" x14ac:dyDescent="0.25">
      <c r="B309" s="387"/>
      <c r="C309" s="391">
        <v>45232</v>
      </c>
      <c r="D309" s="392"/>
      <c r="E309" s="157"/>
      <c r="F309" s="157">
        <v>-100</v>
      </c>
      <c r="G309" s="388"/>
      <c r="H309" s="409"/>
      <c r="I309" s="402"/>
    </row>
    <row r="310" spans="2:9" s="390" customFormat="1" ht="18" customHeight="1" x14ac:dyDescent="0.25">
      <c r="B310" s="387"/>
      <c r="C310" s="391">
        <v>45274</v>
      </c>
      <c r="D310" s="392"/>
      <c r="E310" s="157"/>
      <c r="F310" s="157">
        <v>-60</v>
      </c>
      <c r="G310" s="388"/>
      <c r="H310" s="409"/>
      <c r="I310" s="402"/>
    </row>
    <row r="311" spans="2:9" s="390" customFormat="1" ht="18" customHeight="1" thickBot="1" x14ac:dyDescent="0.3">
      <c r="B311" s="387"/>
      <c r="C311" s="391">
        <v>45314</v>
      </c>
      <c r="D311" s="392"/>
      <c r="E311" s="157">
        <v>35</v>
      </c>
      <c r="F311" s="157">
        <v>-60</v>
      </c>
      <c r="G311" s="388"/>
      <c r="H311" s="409"/>
      <c r="I311" s="402"/>
    </row>
    <row r="312" spans="2:9" s="390" customFormat="1" ht="18" customHeight="1" thickBot="1" x14ac:dyDescent="0.3">
      <c r="B312" s="387"/>
      <c r="C312" s="391"/>
      <c r="D312" s="392"/>
      <c r="E312" s="129">
        <f>SUM(E304:E308)</f>
        <v>510</v>
      </c>
      <c r="F312" s="129">
        <f>SUM(F304:F311)</f>
        <v>-535</v>
      </c>
      <c r="G312" s="388"/>
      <c r="H312" s="409"/>
      <c r="I312" s="402">
        <f>+E312+F312</f>
        <v>-25</v>
      </c>
    </row>
    <row r="313" spans="2:9" s="390" customFormat="1" ht="18" hidden="1" customHeight="1" x14ac:dyDescent="0.25">
      <c r="B313" s="387"/>
      <c r="C313" s="391"/>
      <c r="D313" s="392"/>
      <c r="E313" s="157"/>
      <c r="F313" s="157"/>
      <c r="G313" s="388"/>
      <c r="H313" s="409"/>
      <c r="I313" s="402"/>
    </row>
    <row r="314" spans="2:9" s="390" customFormat="1" ht="18" hidden="1" customHeight="1" x14ac:dyDescent="0.25">
      <c r="B314" s="387"/>
      <c r="C314" s="391"/>
      <c r="D314" s="392"/>
      <c r="E314" s="157"/>
      <c r="F314" s="157"/>
      <c r="G314" s="388"/>
      <c r="H314" s="409"/>
      <c r="I314" s="402"/>
    </row>
    <row r="315" spans="2:9" s="390" customFormat="1" ht="18" hidden="1" customHeight="1" x14ac:dyDescent="0.25">
      <c r="B315" s="80" t="s">
        <v>1450</v>
      </c>
      <c r="C315" s="211">
        <v>45104</v>
      </c>
      <c r="D315" s="212"/>
      <c r="E315" s="779">
        <v>310</v>
      </c>
      <c r="F315" s="779">
        <v>-100</v>
      </c>
      <c r="G315" s="74"/>
      <c r="H315" s="412"/>
      <c r="I315" s="402"/>
    </row>
    <row r="316" spans="2:9" s="390" customFormat="1" ht="18" hidden="1" customHeight="1" x14ac:dyDescent="0.25">
      <c r="B316" s="80"/>
      <c r="C316" s="211">
        <v>45125</v>
      </c>
      <c r="D316" s="212"/>
      <c r="E316" s="779">
        <v>125</v>
      </c>
      <c r="F316" s="779">
        <v>-100</v>
      </c>
      <c r="G316" s="74"/>
      <c r="H316" s="412"/>
      <c r="I316" s="402"/>
    </row>
    <row r="317" spans="2:9" s="390" customFormat="1" ht="18" hidden="1" customHeight="1" x14ac:dyDescent="0.25">
      <c r="B317" s="80"/>
      <c r="C317" s="211">
        <v>45199</v>
      </c>
      <c r="D317" s="212"/>
      <c r="E317" s="779"/>
      <c r="F317" s="779">
        <v>-100</v>
      </c>
      <c r="G317" s="74"/>
      <c r="H317" s="412"/>
      <c r="I317" s="402"/>
    </row>
    <row r="318" spans="2:9" s="390" customFormat="1" ht="18" hidden="1" customHeight="1" x14ac:dyDescent="0.25">
      <c r="B318" s="80"/>
      <c r="C318" s="211">
        <v>45377</v>
      </c>
      <c r="D318" s="212"/>
      <c r="E318" s="779"/>
      <c r="F318" s="779">
        <v>-50</v>
      </c>
      <c r="G318" s="74"/>
      <c r="H318" s="412"/>
      <c r="I318" s="402"/>
    </row>
    <row r="319" spans="2:9" s="390" customFormat="1" ht="18" hidden="1" customHeight="1" thickBot="1" x14ac:dyDescent="0.3">
      <c r="B319" s="80"/>
      <c r="C319" s="211">
        <v>45454</v>
      </c>
      <c r="D319" s="212"/>
      <c r="E319" s="779"/>
      <c r="F319" s="779">
        <v>-85</v>
      </c>
      <c r="G319" s="74"/>
      <c r="H319" s="412"/>
      <c r="I319" s="402"/>
    </row>
    <row r="320" spans="2:9" s="390" customFormat="1" ht="18" hidden="1" customHeight="1" thickBot="1" x14ac:dyDescent="0.3">
      <c r="B320" s="80"/>
      <c r="C320" s="211"/>
      <c r="D320" s="212"/>
      <c r="E320" s="780">
        <f>SUM(E315:E317)</f>
        <v>435</v>
      </c>
      <c r="F320" s="780">
        <f>SUM(F315:F319)</f>
        <v>-435</v>
      </c>
      <c r="G320" s="74"/>
      <c r="H320" s="412"/>
      <c r="I320" s="402">
        <f>+E320+F320</f>
        <v>0</v>
      </c>
    </row>
    <row r="321" spans="2:12" s="390" customFormat="1" ht="18" hidden="1" customHeight="1" x14ac:dyDescent="0.25">
      <c r="B321" s="387"/>
      <c r="C321" s="391"/>
      <c r="D321" s="392"/>
      <c r="E321" s="157"/>
      <c r="F321" s="157"/>
      <c r="G321" s="388"/>
      <c r="H321" s="409"/>
      <c r="I321" s="402"/>
    </row>
    <row r="322" spans="2:12" s="390" customFormat="1" ht="18" hidden="1" customHeight="1" x14ac:dyDescent="0.25">
      <c r="B322" s="387"/>
      <c r="C322" s="391"/>
      <c r="D322" s="392"/>
      <c r="E322" s="157"/>
      <c r="F322" s="157"/>
      <c r="G322" s="388"/>
      <c r="H322" s="409"/>
      <c r="I322" s="402"/>
    </row>
    <row r="323" spans="2:12" s="390" customFormat="1" ht="18" hidden="1" customHeight="1" x14ac:dyDescent="0.25">
      <c r="B323" s="387" t="s">
        <v>1453</v>
      </c>
      <c r="C323" s="391">
        <v>45120</v>
      </c>
      <c r="D323" s="392"/>
      <c r="E323" s="157">
        <v>125</v>
      </c>
      <c r="F323" s="157">
        <v>0</v>
      </c>
      <c r="G323" s="388"/>
      <c r="H323" s="409"/>
      <c r="I323" s="402"/>
    </row>
    <row r="324" spans="2:12" s="390" customFormat="1" ht="18" hidden="1" customHeight="1" x14ac:dyDescent="0.25">
      <c r="B324" s="387"/>
      <c r="C324" s="391">
        <v>45136</v>
      </c>
      <c r="D324" s="392"/>
      <c r="E324" s="157">
        <f>125+125</f>
        <v>250</v>
      </c>
      <c r="F324" s="157"/>
      <c r="G324" s="388"/>
      <c r="H324" s="409"/>
      <c r="I324" s="402"/>
    </row>
    <row r="325" spans="2:12" s="390" customFormat="1" ht="18" hidden="1" customHeight="1" x14ac:dyDescent="0.25">
      <c r="B325" s="387"/>
      <c r="C325" s="391">
        <v>45149</v>
      </c>
      <c r="D325" s="392"/>
      <c r="E325" s="157"/>
      <c r="F325" s="157">
        <v>-100</v>
      </c>
      <c r="G325" s="388"/>
      <c r="H325" s="409"/>
      <c r="I325" s="402"/>
    </row>
    <row r="326" spans="2:12" s="390" customFormat="1" ht="18" hidden="1" customHeight="1" x14ac:dyDescent="0.25">
      <c r="B326" s="387"/>
      <c r="C326" s="391">
        <v>45187</v>
      </c>
      <c r="D326" s="392"/>
      <c r="E326" s="157"/>
      <c r="F326" s="157">
        <v>-100</v>
      </c>
      <c r="G326" s="388"/>
      <c r="H326" s="409"/>
      <c r="I326" s="402"/>
    </row>
    <row r="327" spans="2:12" s="390" customFormat="1" ht="18" hidden="1" customHeight="1" x14ac:dyDescent="0.25">
      <c r="B327" s="387"/>
      <c r="C327" s="391">
        <v>45222</v>
      </c>
      <c r="D327" s="392"/>
      <c r="E327" s="157"/>
      <c r="F327" s="157">
        <v>-100</v>
      </c>
      <c r="G327" s="388"/>
      <c r="H327" s="409"/>
      <c r="I327" s="402"/>
    </row>
    <row r="328" spans="2:12" s="390" customFormat="1" ht="18" hidden="1" customHeight="1" thickBot="1" x14ac:dyDescent="0.3">
      <c r="B328" s="387"/>
      <c r="C328" s="391" t="s">
        <v>87</v>
      </c>
      <c r="D328" s="392"/>
      <c r="E328" s="157"/>
      <c r="F328" s="157">
        <v>-75</v>
      </c>
      <c r="G328" s="388"/>
      <c r="H328" s="409"/>
      <c r="I328" s="402"/>
    </row>
    <row r="329" spans="2:12" s="390" customFormat="1" ht="18" hidden="1" customHeight="1" thickBot="1" x14ac:dyDescent="0.3">
      <c r="B329" s="387"/>
      <c r="C329" s="391"/>
      <c r="D329" s="392"/>
      <c r="E329" s="129">
        <f>SUM(E323:E324)</f>
        <v>375</v>
      </c>
      <c r="F329" s="129">
        <f>SUM(F323:F328)</f>
        <v>-375</v>
      </c>
      <c r="G329" s="388"/>
      <c r="H329" s="409"/>
      <c r="I329" s="402">
        <f>+E329+F329</f>
        <v>0</v>
      </c>
    </row>
    <row r="330" spans="2:12" s="390" customFormat="1" ht="18" hidden="1" customHeight="1" x14ac:dyDescent="0.25">
      <c r="B330" s="387"/>
      <c r="C330" s="391"/>
      <c r="D330" s="392"/>
      <c r="E330" s="157"/>
      <c r="F330" s="157"/>
      <c r="G330" s="388"/>
      <c r="H330" s="409"/>
      <c r="I330" s="402"/>
    </row>
    <row r="331" spans="2:12" s="390" customFormat="1" ht="18" hidden="1" customHeight="1" x14ac:dyDescent="0.25">
      <c r="B331" s="387"/>
      <c r="D331" s="392"/>
      <c r="G331" s="388"/>
      <c r="H331" s="409"/>
      <c r="I331" s="402"/>
      <c r="K331" s="390" t="s">
        <v>1577</v>
      </c>
      <c r="L331" s="30">
        <f>75*5</f>
        <v>375</v>
      </c>
    </row>
    <row r="332" spans="2:12" s="390" customFormat="1" ht="18" hidden="1" customHeight="1" x14ac:dyDescent="0.25">
      <c r="B332" s="80" t="s">
        <v>1347</v>
      </c>
      <c r="C332" s="211">
        <v>45204</v>
      </c>
      <c r="D332" s="212"/>
      <c r="E332" s="69">
        <v>200</v>
      </c>
      <c r="F332" s="69">
        <v>0</v>
      </c>
      <c r="G332" s="74"/>
      <c r="H332" s="412"/>
      <c r="I332" s="402"/>
      <c r="K332" s="390" t="s">
        <v>1148</v>
      </c>
      <c r="L332" s="30">
        <f>120*8</f>
        <v>960</v>
      </c>
    </row>
    <row r="333" spans="2:12" s="390" customFormat="1" ht="18" hidden="1" customHeight="1" thickBot="1" x14ac:dyDescent="0.3">
      <c r="B333" s="80"/>
      <c r="C333" s="211">
        <v>45223</v>
      </c>
      <c r="D333" s="212"/>
      <c r="E333" s="69">
        <v>110</v>
      </c>
      <c r="F333" s="69"/>
      <c r="G333" s="74"/>
      <c r="H333" s="412"/>
      <c r="I333" s="402"/>
      <c r="K333" s="390" t="s">
        <v>57</v>
      </c>
      <c r="L333" s="30">
        <v>230</v>
      </c>
    </row>
    <row r="334" spans="2:12" s="390" customFormat="1" ht="18" hidden="1" customHeight="1" thickBot="1" x14ac:dyDescent="0.3">
      <c r="B334" s="80"/>
      <c r="C334" s="211">
        <v>45240</v>
      </c>
      <c r="D334" s="212"/>
      <c r="E334" s="69"/>
      <c r="F334" s="69">
        <v>-200</v>
      </c>
      <c r="G334" s="74"/>
      <c r="H334" s="412"/>
      <c r="I334" s="402"/>
      <c r="L334" s="130">
        <f>SUM(L331:L333)</f>
        <v>1565</v>
      </c>
    </row>
    <row r="335" spans="2:12" s="390" customFormat="1" ht="18" hidden="1" customHeight="1" thickBot="1" x14ac:dyDescent="0.3">
      <c r="B335" s="80"/>
      <c r="C335" s="211">
        <v>45306</v>
      </c>
      <c r="D335" s="212"/>
      <c r="E335" s="69"/>
      <c r="F335" s="69">
        <v>-110</v>
      </c>
      <c r="G335" s="74"/>
      <c r="H335" s="412"/>
      <c r="I335" s="402"/>
      <c r="L335" s="253"/>
    </row>
    <row r="336" spans="2:12" s="390" customFormat="1" ht="18" hidden="1" customHeight="1" thickBot="1" x14ac:dyDescent="0.3">
      <c r="B336" s="80"/>
      <c r="C336" s="69"/>
      <c r="D336" s="212"/>
      <c r="E336" s="748">
        <f>SUM(E332:E334)</f>
        <v>310</v>
      </c>
      <c r="F336" s="748">
        <f>SUM(F332:F335)</f>
        <v>-310</v>
      </c>
      <c r="G336" s="74"/>
      <c r="H336" s="412"/>
      <c r="I336" s="402">
        <f>+E336+F336</f>
        <v>0</v>
      </c>
    </row>
    <row r="337" spans="2:9" s="390" customFormat="1" ht="18" hidden="1" customHeight="1" x14ac:dyDescent="0.25">
      <c r="B337" s="387"/>
      <c r="D337" s="392"/>
      <c r="E337" s="163"/>
      <c r="F337" s="163"/>
      <c r="G337" s="388"/>
      <c r="H337" s="409"/>
      <c r="I337" s="402"/>
    </row>
    <row r="338" spans="2:9" s="390" customFormat="1" ht="18" hidden="1" customHeight="1" x14ac:dyDescent="0.25">
      <c r="B338" s="387"/>
      <c r="D338" s="392"/>
      <c r="E338" s="163"/>
      <c r="F338" s="163"/>
      <c r="G338" s="388"/>
      <c r="H338" s="409"/>
      <c r="I338" s="402"/>
    </row>
    <row r="339" spans="2:9" s="390" customFormat="1" ht="18" hidden="1" customHeight="1" x14ac:dyDescent="0.25">
      <c r="B339" s="80" t="s">
        <v>1586</v>
      </c>
      <c r="C339" s="211">
        <v>45210</v>
      </c>
      <c r="D339" s="212"/>
      <c r="E339" s="361">
        <v>110</v>
      </c>
      <c r="F339" s="361">
        <v>0</v>
      </c>
      <c r="G339" s="74"/>
      <c r="H339" s="412"/>
      <c r="I339" s="402"/>
    </row>
    <row r="340" spans="2:9" s="390" customFormat="1" ht="18" hidden="1" customHeight="1" x14ac:dyDescent="0.25">
      <c r="B340" s="80"/>
      <c r="C340" s="211">
        <v>45229</v>
      </c>
      <c r="D340" s="212"/>
      <c r="E340" s="361">
        <v>110</v>
      </c>
      <c r="F340" s="361"/>
      <c r="G340" s="74"/>
      <c r="H340" s="412"/>
      <c r="I340" s="402"/>
    </row>
    <row r="341" spans="2:9" s="390" customFormat="1" ht="18" hidden="1" customHeight="1" x14ac:dyDescent="0.25">
      <c r="B341" s="80"/>
      <c r="C341" s="211">
        <v>45237</v>
      </c>
      <c r="D341" s="212"/>
      <c r="E341" s="361"/>
      <c r="F341" s="361">
        <v>-110</v>
      </c>
      <c r="G341" s="74"/>
      <c r="H341" s="412"/>
      <c r="I341" s="402"/>
    </row>
    <row r="342" spans="2:9" s="390" customFormat="1" ht="18" hidden="1" customHeight="1" x14ac:dyDescent="0.25">
      <c r="B342" s="80"/>
      <c r="C342" s="211" t="s">
        <v>87</v>
      </c>
      <c r="D342" s="212"/>
      <c r="E342" s="361">
        <v>125</v>
      </c>
      <c r="F342" s="361"/>
      <c r="G342" s="74"/>
      <c r="H342" s="412"/>
      <c r="I342" s="402"/>
    </row>
    <row r="343" spans="2:9" s="390" customFormat="1" ht="18" hidden="1" customHeight="1" x14ac:dyDescent="0.25">
      <c r="B343" s="80"/>
      <c r="C343" s="211">
        <v>45276</v>
      </c>
      <c r="D343" s="212"/>
      <c r="E343" s="361"/>
      <c r="F343" s="361">
        <v>-110</v>
      </c>
      <c r="G343" s="74"/>
      <c r="H343" s="412"/>
      <c r="I343" s="402"/>
    </row>
    <row r="344" spans="2:9" s="390" customFormat="1" ht="18" hidden="1" customHeight="1" thickBot="1" x14ac:dyDescent="0.3">
      <c r="B344" s="80"/>
      <c r="C344" s="211">
        <v>45296</v>
      </c>
      <c r="D344" s="212"/>
      <c r="E344" s="361"/>
      <c r="F344" s="361">
        <v>-125</v>
      </c>
      <c r="G344" s="74"/>
      <c r="H344" s="412"/>
      <c r="I344" s="402"/>
    </row>
    <row r="345" spans="2:9" s="390" customFormat="1" ht="18" hidden="1" customHeight="1" thickBot="1" x14ac:dyDescent="0.3">
      <c r="B345" s="80"/>
      <c r="C345" s="69"/>
      <c r="D345" s="212"/>
      <c r="E345" s="748">
        <f>SUM(E339:E344)</f>
        <v>345</v>
      </c>
      <c r="F345" s="748">
        <f>SUM(F339:F344)</f>
        <v>-345</v>
      </c>
      <c r="G345" s="74"/>
      <c r="H345" s="412"/>
      <c r="I345" s="402">
        <f>+E345+F345</f>
        <v>0</v>
      </c>
    </row>
    <row r="346" spans="2:9" s="390" customFormat="1" ht="18" hidden="1" customHeight="1" x14ac:dyDescent="0.25">
      <c r="B346" s="387"/>
      <c r="D346" s="392"/>
      <c r="E346" s="163"/>
      <c r="F346" s="163"/>
      <c r="G346" s="388"/>
      <c r="H346" s="409"/>
      <c r="I346" s="402"/>
    </row>
    <row r="347" spans="2:9" s="390" customFormat="1" ht="18" hidden="1" customHeight="1" x14ac:dyDescent="0.25">
      <c r="B347" s="387" t="s">
        <v>1995</v>
      </c>
      <c r="C347" s="391"/>
      <c r="D347" s="392"/>
      <c r="G347" s="388"/>
      <c r="H347" s="409"/>
      <c r="I347" s="402"/>
    </row>
    <row r="348" spans="2:9" s="390" customFormat="1" ht="18" hidden="1" customHeight="1" x14ac:dyDescent="0.25">
      <c r="B348" s="80" t="s">
        <v>1100</v>
      </c>
      <c r="C348" s="211">
        <v>45218</v>
      </c>
      <c r="D348" s="212"/>
      <c r="E348" s="69">
        <v>180</v>
      </c>
      <c r="F348" s="69">
        <v>0</v>
      </c>
      <c r="G348" s="74"/>
      <c r="H348" s="412"/>
      <c r="I348" s="402"/>
    </row>
    <row r="349" spans="2:9" s="390" customFormat="1" ht="18" hidden="1" customHeight="1" x14ac:dyDescent="0.25">
      <c r="B349" s="80"/>
      <c r="C349" s="211">
        <v>45247</v>
      </c>
      <c r="D349" s="212"/>
      <c r="E349" s="69">
        <v>60</v>
      </c>
      <c r="F349" s="69">
        <v>-68</v>
      </c>
      <c r="G349" s="74"/>
      <c r="H349" s="412"/>
      <c r="I349" s="402"/>
    </row>
    <row r="350" spans="2:9" s="390" customFormat="1" ht="18" hidden="1" customHeight="1" x14ac:dyDescent="0.25">
      <c r="B350" s="80"/>
      <c r="C350" s="211">
        <v>45295</v>
      </c>
      <c r="D350" s="212"/>
      <c r="E350" s="69"/>
      <c r="F350" s="69">
        <v>-72</v>
      </c>
      <c r="G350" s="74"/>
      <c r="H350" s="412"/>
      <c r="I350" s="402"/>
    </row>
    <row r="351" spans="2:9" s="390" customFormat="1" ht="18" hidden="1" customHeight="1" thickBot="1" x14ac:dyDescent="0.3">
      <c r="B351" s="80"/>
      <c r="C351" s="211">
        <v>45331</v>
      </c>
      <c r="D351" s="212"/>
      <c r="E351" s="69"/>
      <c r="F351" s="69">
        <v>-100</v>
      </c>
      <c r="G351" s="74"/>
      <c r="H351" s="412"/>
      <c r="I351" s="402"/>
    </row>
    <row r="352" spans="2:9" s="390" customFormat="1" ht="18" hidden="1" customHeight="1" thickBot="1" x14ac:dyDescent="0.3">
      <c r="B352" s="80"/>
      <c r="C352" s="211"/>
      <c r="D352" s="212"/>
      <c r="E352" s="780">
        <f>SUM(E348:E350)</f>
        <v>240</v>
      </c>
      <c r="F352" s="780">
        <f>SUM(F348:F351)</f>
        <v>-240</v>
      </c>
      <c r="G352" s="74"/>
      <c r="H352" s="412"/>
      <c r="I352" s="402">
        <f>+E352+F352</f>
        <v>0</v>
      </c>
    </row>
    <row r="353" spans="2:9" s="390" customFormat="1" ht="18" hidden="1" customHeight="1" x14ac:dyDescent="0.25">
      <c r="B353" s="387"/>
      <c r="C353" s="391"/>
      <c r="D353" s="392"/>
      <c r="E353" s="157"/>
      <c r="F353" s="157"/>
      <c r="G353" s="388"/>
      <c r="H353" s="409"/>
      <c r="I353" s="402"/>
    </row>
    <row r="354" spans="2:9" s="390" customFormat="1" ht="18" hidden="1" customHeight="1" x14ac:dyDescent="0.25">
      <c r="B354" s="80" t="s">
        <v>732</v>
      </c>
      <c r="C354" s="211">
        <v>45225</v>
      </c>
      <c r="D354" s="212"/>
      <c r="E354" s="779">
        <v>400</v>
      </c>
      <c r="F354" s="779">
        <v>-5</v>
      </c>
      <c r="G354" s="74"/>
      <c r="H354" s="412"/>
      <c r="I354" s="402"/>
    </row>
    <row r="355" spans="2:9" s="390" customFormat="1" ht="18" hidden="1" customHeight="1" x14ac:dyDescent="0.25">
      <c r="B355" s="80"/>
      <c r="C355" s="211">
        <v>45232</v>
      </c>
      <c r="D355" s="212"/>
      <c r="E355" s="779"/>
      <c r="F355" s="779">
        <v>-120</v>
      </c>
      <c r="G355" s="74"/>
      <c r="H355" s="412"/>
      <c r="I355" s="402"/>
    </row>
    <row r="356" spans="2:9" s="390" customFormat="1" ht="18" hidden="1" customHeight="1" x14ac:dyDescent="0.25">
      <c r="B356" s="80"/>
      <c r="C356" s="211">
        <v>45265</v>
      </c>
      <c r="D356" s="212"/>
      <c r="E356" s="779">
        <v>125</v>
      </c>
      <c r="F356" s="779">
        <v>-200</v>
      </c>
      <c r="G356" s="74"/>
      <c r="H356" s="412"/>
      <c r="I356" s="402"/>
    </row>
    <row r="357" spans="2:9" s="390" customFormat="1" ht="18" hidden="1" customHeight="1" x14ac:dyDescent="0.25">
      <c r="B357" s="80"/>
      <c r="C357" s="211">
        <v>45341</v>
      </c>
      <c r="D357" s="212"/>
      <c r="E357" s="779"/>
      <c r="F357" s="779">
        <v>-160</v>
      </c>
      <c r="G357" s="74"/>
      <c r="H357" s="412"/>
      <c r="I357" s="402"/>
    </row>
    <row r="358" spans="2:9" s="390" customFormat="1" ht="18" hidden="1" customHeight="1" thickBot="1" x14ac:dyDescent="0.3">
      <c r="B358" s="80"/>
      <c r="C358" s="211">
        <v>45453</v>
      </c>
      <c r="D358" s="212"/>
      <c r="E358" s="779"/>
      <c r="F358" s="779">
        <v>-40</v>
      </c>
      <c r="G358" s="74"/>
      <c r="H358" s="412"/>
      <c r="I358" s="402"/>
    </row>
    <row r="359" spans="2:9" s="390" customFormat="1" ht="18" hidden="1" customHeight="1" thickBot="1" x14ac:dyDescent="0.3">
      <c r="B359" s="80"/>
      <c r="C359" s="211"/>
      <c r="D359" s="212"/>
      <c r="E359" s="780">
        <f>SUM(E354:E357)</f>
        <v>525</v>
      </c>
      <c r="F359" s="780">
        <f>SUM(F354:F358)</f>
        <v>-525</v>
      </c>
      <c r="G359" s="74"/>
      <c r="H359" s="412"/>
      <c r="I359" s="402">
        <f>+E359+F359</f>
        <v>0</v>
      </c>
    </row>
    <row r="360" spans="2:9" s="390" customFormat="1" ht="18" hidden="1" customHeight="1" x14ac:dyDescent="0.25">
      <c r="B360" s="387"/>
      <c r="C360" s="391"/>
      <c r="D360" s="392"/>
      <c r="E360" s="157"/>
      <c r="F360" s="157"/>
      <c r="G360" s="388"/>
      <c r="H360" s="409"/>
      <c r="I360" s="402"/>
    </row>
    <row r="361" spans="2:9" s="390" customFormat="1" ht="18" hidden="1" customHeight="1" x14ac:dyDescent="0.25">
      <c r="B361" s="80" t="s">
        <v>1634</v>
      </c>
      <c r="C361" s="211">
        <v>45226</v>
      </c>
      <c r="D361" s="212"/>
      <c r="E361" s="779">
        <v>25</v>
      </c>
      <c r="F361" s="779">
        <v>0</v>
      </c>
      <c r="G361" s="74"/>
      <c r="H361" s="412"/>
      <c r="I361" s="402"/>
    </row>
    <row r="362" spans="2:9" s="390" customFormat="1" ht="18" hidden="1" customHeight="1" x14ac:dyDescent="0.25">
      <c r="B362" s="80" t="s">
        <v>2903</v>
      </c>
      <c r="C362" s="211">
        <v>45467</v>
      </c>
      <c r="D362" s="212"/>
      <c r="E362" s="779">
        <v>110</v>
      </c>
      <c r="F362" s="779">
        <v>-50</v>
      </c>
      <c r="G362" s="74"/>
      <c r="H362" s="412"/>
      <c r="I362" s="402"/>
    </row>
    <row r="363" spans="2:9" s="390" customFormat="1" ht="18" hidden="1" customHeight="1" x14ac:dyDescent="0.25">
      <c r="B363" s="80"/>
      <c r="C363" s="211">
        <v>45482</v>
      </c>
      <c r="D363" s="212"/>
      <c r="E363" s="779"/>
      <c r="F363" s="779">
        <v>-60</v>
      </c>
      <c r="G363" s="74"/>
      <c r="H363" s="412"/>
      <c r="I363" s="402"/>
    </row>
    <row r="364" spans="2:9" s="390" customFormat="1" ht="18" hidden="1" customHeight="1" thickBot="1" x14ac:dyDescent="0.3">
      <c r="B364" s="80"/>
      <c r="C364" s="211">
        <v>45484</v>
      </c>
      <c r="D364" s="212"/>
      <c r="E364" s="779"/>
      <c r="F364" s="779">
        <v>-25</v>
      </c>
      <c r="G364" s="74"/>
      <c r="H364" s="412"/>
      <c r="I364" s="402"/>
    </row>
    <row r="365" spans="2:9" s="390" customFormat="1" ht="18" hidden="1" customHeight="1" thickBot="1" x14ac:dyDescent="0.3">
      <c r="B365" s="80"/>
      <c r="C365" s="211"/>
      <c r="D365" s="212"/>
      <c r="E365" s="780">
        <f>SUM(E361:E362)</f>
        <v>135</v>
      </c>
      <c r="F365" s="780">
        <f>SUM(F361:F364)</f>
        <v>-135</v>
      </c>
      <c r="G365" s="74"/>
      <c r="H365" s="412"/>
      <c r="I365" s="402">
        <f>+E365+F365</f>
        <v>0</v>
      </c>
    </row>
    <row r="366" spans="2:9" s="390" customFormat="1" ht="18" hidden="1" customHeight="1" x14ac:dyDescent="0.25">
      <c r="B366" s="80"/>
      <c r="C366" s="211"/>
      <c r="D366" s="212"/>
      <c r="E366" s="779"/>
      <c r="F366" s="779"/>
      <c r="G366" s="74"/>
      <c r="H366" s="412"/>
      <c r="I366" s="402"/>
    </row>
    <row r="367" spans="2:9" s="390" customFormat="1" ht="18" hidden="1" customHeight="1" x14ac:dyDescent="0.25">
      <c r="B367" s="80" t="s">
        <v>1635</v>
      </c>
      <c r="C367" s="211">
        <v>45227</v>
      </c>
      <c r="D367" s="212"/>
      <c r="E367" s="779">
        <v>285</v>
      </c>
      <c r="F367" s="779">
        <v>0</v>
      </c>
      <c r="G367" s="74"/>
      <c r="H367" s="412"/>
      <c r="I367" s="402"/>
    </row>
    <row r="368" spans="2:9" s="390" customFormat="1" ht="18" hidden="1" customHeight="1" x14ac:dyDescent="0.25">
      <c r="B368" s="80"/>
      <c r="C368" s="211">
        <v>45251</v>
      </c>
      <c r="D368" s="212"/>
      <c r="E368" s="69"/>
      <c r="F368" s="69">
        <v>-250</v>
      </c>
      <c r="G368" s="74"/>
      <c r="H368" s="412"/>
      <c r="I368" s="402"/>
    </row>
    <row r="369" spans="2:9" s="390" customFormat="1" ht="18" hidden="1" customHeight="1" thickBot="1" x14ac:dyDescent="0.3">
      <c r="B369" s="80"/>
      <c r="C369" s="211">
        <v>45360</v>
      </c>
      <c r="D369" s="212"/>
      <c r="E369" s="69"/>
      <c r="F369" s="69">
        <v>-35</v>
      </c>
      <c r="G369" s="74" t="s">
        <v>2181</v>
      </c>
      <c r="H369" s="412"/>
      <c r="I369" s="402"/>
    </row>
    <row r="370" spans="2:9" s="390" customFormat="1" ht="18" hidden="1" customHeight="1" thickBot="1" x14ac:dyDescent="0.3">
      <c r="B370" s="80"/>
      <c r="C370" s="211"/>
      <c r="D370" s="212"/>
      <c r="E370" s="780">
        <f>SUM(E367:E368)</f>
        <v>285</v>
      </c>
      <c r="F370" s="780">
        <f>SUM(F367:F368)</f>
        <v>-250</v>
      </c>
      <c r="G370" s="74"/>
      <c r="H370" s="412"/>
      <c r="I370" s="402">
        <f>+E370+F370</f>
        <v>35</v>
      </c>
    </row>
    <row r="371" spans="2:9" s="390" customFormat="1" ht="18" customHeight="1" x14ac:dyDescent="0.25">
      <c r="B371" s="387"/>
      <c r="D371" s="392"/>
      <c r="G371" s="388"/>
      <c r="H371" s="409"/>
      <c r="I371" s="402"/>
    </row>
    <row r="372" spans="2:9" s="390" customFormat="1" ht="18" hidden="1" customHeight="1" x14ac:dyDescent="0.25">
      <c r="B372" s="80" t="s">
        <v>941</v>
      </c>
      <c r="C372" s="69" t="s">
        <v>1636</v>
      </c>
      <c r="D372" s="69"/>
      <c r="E372" s="69">
        <v>5</v>
      </c>
      <c r="F372" s="69">
        <v>0</v>
      </c>
      <c r="G372" s="74"/>
      <c r="H372" s="412"/>
      <c r="I372" s="402"/>
    </row>
    <row r="373" spans="2:9" s="390" customFormat="1" ht="18" hidden="1" customHeight="1" x14ac:dyDescent="0.25">
      <c r="B373" s="80"/>
      <c r="C373" s="211">
        <v>45229</v>
      </c>
      <c r="D373" s="212"/>
      <c r="E373" s="69">
        <v>455</v>
      </c>
      <c r="F373" s="69"/>
      <c r="G373" s="74"/>
      <c r="H373" s="412"/>
      <c r="I373" s="402"/>
    </row>
    <row r="374" spans="2:9" s="390" customFormat="1" ht="18" hidden="1" customHeight="1" x14ac:dyDescent="0.25">
      <c r="B374" s="80"/>
      <c r="C374" s="211">
        <v>45267</v>
      </c>
      <c r="D374" s="212"/>
      <c r="E374" s="69"/>
      <c r="F374" s="69">
        <v>-140</v>
      </c>
      <c r="G374" s="74"/>
      <c r="H374" s="412"/>
      <c r="I374" s="402"/>
    </row>
    <row r="375" spans="2:9" s="390" customFormat="1" ht="18" hidden="1" customHeight="1" x14ac:dyDescent="0.25">
      <c r="B375" s="80"/>
      <c r="C375" s="211">
        <v>45649</v>
      </c>
      <c r="D375" s="212"/>
      <c r="E375" s="69"/>
      <c r="F375" s="69">
        <v>-200</v>
      </c>
      <c r="G375" s="74"/>
      <c r="H375" s="412"/>
      <c r="I375" s="402"/>
    </row>
    <row r="376" spans="2:9" s="390" customFormat="1" ht="18" hidden="1" customHeight="1" thickBot="1" x14ac:dyDescent="0.3">
      <c r="B376" s="80"/>
      <c r="C376" s="211">
        <v>45364</v>
      </c>
      <c r="D376" s="212"/>
      <c r="E376" s="69"/>
      <c r="F376" s="69">
        <v>-150</v>
      </c>
      <c r="G376" s="74"/>
      <c r="H376" s="412"/>
      <c r="I376" s="402"/>
    </row>
    <row r="377" spans="2:9" s="390" customFormat="1" ht="18" hidden="1" customHeight="1" thickBot="1" x14ac:dyDescent="0.3">
      <c r="B377" s="80"/>
      <c r="C377" s="69"/>
      <c r="D377" s="212"/>
      <c r="E377" s="780">
        <f>SUM(E372:E375)</f>
        <v>460</v>
      </c>
      <c r="F377" s="780">
        <f>SUM(F372:F376)</f>
        <v>-490</v>
      </c>
      <c r="G377" s="74"/>
      <c r="H377" s="412"/>
      <c r="I377" s="402">
        <f>+E377+F377</f>
        <v>-30</v>
      </c>
    </row>
    <row r="378" spans="2:9" s="390" customFormat="1" ht="18" hidden="1" customHeight="1" x14ac:dyDescent="0.25">
      <c r="B378" s="387"/>
      <c r="D378" s="392"/>
      <c r="G378" s="388"/>
      <c r="H378" s="409"/>
      <c r="I378" s="402"/>
    </row>
    <row r="379" spans="2:9" s="390" customFormat="1" ht="18" hidden="1" customHeight="1" x14ac:dyDescent="0.25">
      <c r="B379" s="80" t="s">
        <v>1638</v>
      </c>
      <c r="C379" s="69"/>
      <c r="D379" s="212"/>
      <c r="E379" s="69"/>
      <c r="F379" s="69"/>
      <c r="G379" s="74"/>
      <c r="H379" s="412"/>
      <c r="I379" s="402"/>
    </row>
    <row r="380" spans="2:9" s="390" customFormat="1" ht="18" hidden="1" customHeight="1" x14ac:dyDescent="0.25">
      <c r="B380" s="80" t="s">
        <v>1639</v>
      </c>
      <c r="C380" s="211">
        <v>45232</v>
      </c>
      <c r="D380" s="212"/>
      <c r="E380" s="69">
        <v>135</v>
      </c>
      <c r="F380" s="69">
        <v>0</v>
      </c>
      <c r="G380" s="74"/>
      <c r="H380" s="412"/>
      <c r="I380" s="402"/>
    </row>
    <row r="381" spans="2:9" s="390" customFormat="1" ht="18" hidden="1" customHeight="1" x14ac:dyDescent="0.25">
      <c r="B381" s="80"/>
      <c r="C381" s="211">
        <v>45310</v>
      </c>
      <c r="D381" s="212"/>
      <c r="E381" s="69"/>
      <c r="F381" s="69">
        <v>-120</v>
      </c>
      <c r="G381" s="74"/>
      <c r="H381" s="412"/>
      <c r="I381" s="402"/>
    </row>
    <row r="382" spans="2:9" s="390" customFormat="1" ht="18" hidden="1" customHeight="1" thickBot="1" x14ac:dyDescent="0.3">
      <c r="B382" s="80"/>
      <c r="C382" s="211">
        <v>45466</v>
      </c>
      <c r="D382" s="212"/>
      <c r="E382" s="69"/>
      <c r="F382" s="69">
        <v>-15</v>
      </c>
      <c r="G382" s="74"/>
      <c r="H382" s="412"/>
      <c r="I382" s="402"/>
    </row>
    <row r="383" spans="2:9" s="390" customFormat="1" ht="18" hidden="1" customHeight="1" thickBot="1" x14ac:dyDescent="0.3">
      <c r="B383" s="80"/>
      <c r="C383" s="69"/>
      <c r="D383" s="212"/>
      <c r="E383" s="748">
        <f>SUM(E380:E381)</f>
        <v>135</v>
      </c>
      <c r="F383" s="748">
        <f>SUM(F380:F382)</f>
        <v>-135</v>
      </c>
      <c r="G383" s="74"/>
      <c r="H383" s="412"/>
      <c r="I383" s="402">
        <f>+E383+F383</f>
        <v>0</v>
      </c>
    </row>
    <row r="384" spans="2:9" s="390" customFormat="1" ht="18" hidden="1" customHeight="1" x14ac:dyDescent="0.25">
      <c r="B384" s="387"/>
      <c r="D384" s="392"/>
      <c r="G384" s="388"/>
      <c r="H384" s="409"/>
      <c r="I384" s="402"/>
    </row>
    <row r="385" spans="2:9" s="390" customFormat="1" ht="18" hidden="1" customHeight="1" x14ac:dyDescent="0.25">
      <c r="B385" s="80"/>
      <c r="C385" s="211"/>
      <c r="D385" s="212"/>
      <c r="E385" s="69"/>
      <c r="F385" s="69"/>
      <c r="G385" s="74"/>
      <c r="H385" s="412"/>
      <c r="I385" s="402"/>
    </row>
    <row r="386" spans="2:9" s="390" customFormat="1" ht="18" hidden="1" customHeight="1" x14ac:dyDescent="0.25">
      <c r="B386" s="80" t="s">
        <v>1099</v>
      </c>
      <c r="C386" s="211">
        <v>45252</v>
      </c>
      <c r="D386" s="212"/>
      <c r="E386" s="69">
        <v>55</v>
      </c>
      <c r="F386" s="69">
        <v>0</v>
      </c>
      <c r="G386" s="74"/>
      <c r="H386" s="412"/>
      <c r="I386" s="402"/>
    </row>
    <row r="387" spans="2:9" s="390" customFormat="1" ht="18" hidden="1" customHeight="1" x14ac:dyDescent="0.25">
      <c r="B387" s="80"/>
      <c r="C387" s="211">
        <v>45288</v>
      </c>
      <c r="D387" s="212"/>
      <c r="E387" s="69">
        <v>15</v>
      </c>
      <c r="F387" s="69">
        <v>-50</v>
      </c>
      <c r="G387" s="74"/>
      <c r="H387" s="412"/>
      <c r="I387" s="402"/>
    </row>
    <row r="388" spans="2:9" s="390" customFormat="1" ht="18" hidden="1" customHeight="1" thickBot="1" x14ac:dyDescent="0.3">
      <c r="B388" s="80"/>
      <c r="C388" s="211">
        <v>45318</v>
      </c>
      <c r="D388" s="212"/>
      <c r="E388" s="69"/>
      <c r="F388" s="69">
        <v>-20</v>
      </c>
      <c r="G388" s="74"/>
      <c r="H388" s="412"/>
      <c r="I388" s="402"/>
    </row>
    <row r="389" spans="2:9" s="390" customFormat="1" ht="18" hidden="1" customHeight="1" thickBot="1" x14ac:dyDescent="0.3">
      <c r="B389" s="80"/>
      <c r="C389" s="211"/>
      <c r="D389" s="212"/>
      <c r="E389" s="748">
        <f>SUM(E386:E387)</f>
        <v>70</v>
      </c>
      <c r="F389" s="748">
        <f>SUM(F386:F388)</f>
        <v>-70</v>
      </c>
      <c r="G389" s="74"/>
      <c r="H389" s="412"/>
      <c r="I389" s="402">
        <f>+E389+F389</f>
        <v>0</v>
      </c>
    </row>
    <row r="390" spans="2:9" s="390" customFormat="1" ht="18" hidden="1" customHeight="1" x14ac:dyDescent="0.25">
      <c r="B390" s="387"/>
      <c r="C390" s="391"/>
      <c r="D390" s="392"/>
      <c r="G390" s="388"/>
      <c r="H390" s="409"/>
      <c r="I390" s="402"/>
    </row>
    <row r="391" spans="2:9" s="390" customFormat="1" ht="18" hidden="1" customHeight="1" x14ac:dyDescent="0.25">
      <c r="B391" s="80" t="s">
        <v>810</v>
      </c>
      <c r="C391" s="211">
        <v>45261</v>
      </c>
      <c r="D391" s="212"/>
      <c r="E391" s="69">
        <f>90+90</f>
        <v>180</v>
      </c>
      <c r="F391" s="69">
        <v>-5</v>
      </c>
      <c r="G391" s="74" t="s">
        <v>1740</v>
      </c>
      <c r="H391" s="412"/>
      <c r="I391" s="402"/>
    </row>
    <row r="392" spans="2:9" s="390" customFormat="1" ht="18" hidden="1" customHeight="1" x14ac:dyDescent="0.25">
      <c r="B392" s="80"/>
      <c r="C392" s="211"/>
      <c r="D392" s="212"/>
      <c r="E392" s="69">
        <v>55</v>
      </c>
      <c r="F392" s="69">
        <v>-20</v>
      </c>
      <c r="G392" s="74" t="s">
        <v>1741</v>
      </c>
      <c r="H392" s="412"/>
      <c r="I392" s="402"/>
    </row>
    <row r="393" spans="2:9" s="390" customFormat="1" ht="18" hidden="1" customHeight="1" x14ac:dyDescent="0.25">
      <c r="B393" s="80"/>
      <c r="C393" s="211"/>
      <c r="D393" s="212"/>
      <c r="E393" s="69">
        <v>200</v>
      </c>
      <c r="F393" s="69">
        <v>-200</v>
      </c>
      <c r="G393" s="74"/>
      <c r="H393" s="412"/>
      <c r="I393" s="402"/>
    </row>
    <row r="394" spans="2:9" s="390" customFormat="1" ht="18" hidden="1" customHeight="1" x14ac:dyDescent="0.25">
      <c r="B394" s="80"/>
      <c r="C394" s="211">
        <v>45275</v>
      </c>
      <c r="D394" s="212"/>
      <c r="E394" s="69">
        <v>180</v>
      </c>
      <c r="F394" s="69"/>
      <c r="G394" s="74"/>
      <c r="H394" s="412"/>
      <c r="I394" s="402"/>
    </row>
    <row r="395" spans="2:9" s="390" customFormat="1" ht="18" hidden="1" customHeight="1" x14ac:dyDescent="0.25">
      <c r="B395" s="80"/>
      <c r="C395" s="211">
        <v>45307</v>
      </c>
      <c r="D395" s="212"/>
      <c r="E395" s="69"/>
      <c r="F395" s="69">
        <v>-200</v>
      </c>
      <c r="G395" s="74"/>
      <c r="H395" s="412"/>
      <c r="I395" s="402"/>
    </row>
    <row r="396" spans="2:9" s="390" customFormat="1" ht="18" hidden="1" customHeight="1" x14ac:dyDescent="0.25">
      <c r="B396" s="80"/>
      <c r="C396" s="211">
        <v>45324</v>
      </c>
      <c r="D396" s="212"/>
      <c r="E396" s="69"/>
      <c r="F396" s="69">
        <v>-100</v>
      </c>
      <c r="G396" s="74"/>
      <c r="H396" s="412"/>
      <c r="I396" s="402"/>
    </row>
    <row r="397" spans="2:9" s="390" customFormat="1" ht="18" hidden="1" customHeight="1" thickBot="1" x14ac:dyDescent="0.3">
      <c r="B397" s="80"/>
      <c r="C397" s="211">
        <v>45363</v>
      </c>
      <c r="D397" s="212"/>
      <c r="E397" s="69"/>
      <c r="F397" s="69">
        <v>-90</v>
      </c>
      <c r="G397" s="74"/>
      <c r="H397" s="412"/>
      <c r="I397" s="402"/>
    </row>
    <row r="398" spans="2:9" s="390" customFormat="1" ht="18" hidden="1" customHeight="1" thickBot="1" x14ac:dyDescent="0.3">
      <c r="B398" s="80"/>
      <c r="C398" s="211"/>
      <c r="D398" s="212"/>
      <c r="E398" s="748">
        <f>SUM(E391:E395)</f>
        <v>615</v>
      </c>
      <c r="F398" s="748">
        <f>SUM(F391:F397)</f>
        <v>-615</v>
      </c>
      <c r="G398" s="74"/>
      <c r="H398" s="412"/>
      <c r="I398" s="402">
        <f>+E398+F398</f>
        <v>0</v>
      </c>
    </row>
    <row r="399" spans="2:9" s="390" customFormat="1" ht="18" hidden="1" customHeight="1" x14ac:dyDescent="0.25">
      <c r="B399" s="387"/>
      <c r="C399" s="391"/>
      <c r="D399" s="392"/>
      <c r="E399" s="163"/>
      <c r="G399" s="388"/>
      <c r="H399" s="409"/>
      <c r="I399" s="402"/>
    </row>
    <row r="400" spans="2:9" s="390" customFormat="1" ht="18" hidden="1" customHeight="1" x14ac:dyDescent="0.25">
      <c r="B400" s="778" t="s">
        <v>1747</v>
      </c>
      <c r="C400" s="211">
        <v>45262</v>
      </c>
      <c r="D400" s="212"/>
      <c r="E400" s="361">
        <v>150</v>
      </c>
      <c r="F400" s="69">
        <v>0</v>
      </c>
      <c r="G400" s="74"/>
      <c r="H400" s="412"/>
      <c r="I400" s="402"/>
    </row>
    <row r="401" spans="2:11" s="390" customFormat="1" ht="18" hidden="1" customHeight="1" thickBot="1" x14ac:dyDescent="0.3">
      <c r="B401" s="80"/>
      <c r="C401" s="211">
        <v>45357</v>
      </c>
      <c r="D401" s="212"/>
      <c r="E401" s="361"/>
      <c r="F401" s="69">
        <v>-150</v>
      </c>
      <c r="G401" s="74"/>
      <c r="H401" s="412"/>
      <c r="I401" s="402"/>
    </row>
    <row r="402" spans="2:11" s="390" customFormat="1" ht="18" hidden="1" customHeight="1" thickBot="1" x14ac:dyDescent="0.3">
      <c r="B402" s="80"/>
      <c r="C402" s="211"/>
      <c r="D402" s="212"/>
      <c r="E402" s="780">
        <f>SUM(E400:E401)</f>
        <v>150</v>
      </c>
      <c r="F402" s="780">
        <f>SUM(F400:F401)</f>
        <v>-150</v>
      </c>
      <c r="G402" s="74"/>
      <c r="H402" s="412"/>
      <c r="I402" s="402">
        <f>+E402+F402</f>
        <v>0</v>
      </c>
    </row>
    <row r="403" spans="2:11" s="390" customFormat="1" ht="18" hidden="1" customHeight="1" x14ac:dyDescent="0.25">
      <c r="B403" s="387"/>
      <c r="C403" s="391"/>
      <c r="D403" s="392"/>
      <c r="E403" s="157"/>
      <c r="F403" s="157"/>
      <c r="G403" s="388"/>
      <c r="H403" s="409"/>
      <c r="I403" s="402"/>
    </row>
    <row r="404" spans="2:11" s="390" customFormat="1" ht="18" hidden="1" customHeight="1" x14ac:dyDescent="0.25">
      <c r="B404" s="80" t="s">
        <v>396</v>
      </c>
      <c r="C404" s="211">
        <v>45280</v>
      </c>
      <c r="D404" s="212"/>
      <c r="E404" s="779">
        <v>150</v>
      </c>
      <c r="F404" s="779">
        <v>0</v>
      </c>
      <c r="G404" s="74"/>
      <c r="H404" s="412"/>
      <c r="I404" s="402"/>
    </row>
    <row r="405" spans="2:11" s="390" customFormat="1" ht="18" hidden="1" customHeight="1" x14ac:dyDescent="0.25">
      <c r="B405" s="80"/>
      <c r="C405" s="211"/>
      <c r="D405" s="212"/>
      <c r="E405" s="779">
        <v>125</v>
      </c>
      <c r="F405" s="779"/>
      <c r="G405" s="74"/>
      <c r="H405" s="412"/>
      <c r="I405" s="402"/>
    </row>
    <row r="406" spans="2:11" s="390" customFormat="1" ht="18" hidden="1" customHeight="1" x14ac:dyDescent="0.25">
      <c r="B406" s="80"/>
      <c r="C406" s="211">
        <v>45324</v>
      </c>
      <c r="D406" s="212"/>
      <c r="E406" s="779"/>
      <c r="F406" s="779">
        <v>-200</v>
      </c>
      <c r="G406" s="74"/>
      <c r="H406" s="412"/>
      <c r="I406" s="402"/>
    </row>
    <row r="407" spans="2:11" s="390" customFormat="1" ht="18" hidden="1" customHeight="1" x14ac:dyDescent="0.25">
      <c r="B407" s="80"/>
      <c r="C407" s="211">
        <v>45336</v>
      </c>
      <c r="D407" s="212"/>
      <c r="E407" s="779">
        <v>175</v>
      </c>
      <c r="F407" s="779"/>
      <c r="G407" s="74"/>
      <c r="H407" s="412"/>
      <c r="I407" s="402"/>
    </row>
    <row r="408" spans="2:11" s="390" customFormat="1" ht="18" hidden="1" customHeight="1" thickBot="1" x14ac:dyDescent="0.3">
      <c r="B408" s="80"/>
      <c r="C408" s="211">
        <v>45379</v>
      </c>
      <c r="D408" s="212"/>
      <c r="E408" s="779"/>
      <c r="F408" s="779">
        <v>-250</v>
      </c>
      <c r="G408" s="74"/>
      <c r="H408" s="412"/>
      <c r="I408" s="402"/>
    </row>
    <row r="409" spans="2:11" s="390" customFormat="1" ht="18" hidden="1" customHeight="1" thickBot="1" x14ac:dyDescent="0.3">
      <c r="B409" s="80"/>
      <c r="C409" s="211"/>
      <c r="D409" s="212"/>
      <c r="E409" s="748">
        <f>SUM(E404:E408)</f>
        <v>450</v>
      </c>
      <c r="F409" s="748">
        <f>SUM(F404:F408)</f>
        <v>-450</v>
      </c>
      <c r="G409" s="74"/>
      <c r="H409" s="412"/>
      <c r="I409" s="402">
        <f>+E409+F409</f>
        <v>0</v>
      </c>
    </row>
    <row r="410" spans="2:11" s="390" customFormat="1" ht="18" hidden="1" customHeight="1" x14ac:dyDescent="0.25">
      <c r="B410" s="80"/>
      <c r="C410" s="211"/>
      <c r="D410" s="212"/>
      <c r="E410" s="361"/>
      <c r="F410" s="361"/>
      <c r="G410" s="74"/>
      <c r="H410" s="412"/>
      <c r="I410" s="402"/>
    </row>
    <row r="411" spans="2:11" s="390" customFormat="1" ht="18" hidden="1" customHeight="1" x14ac:dyDescent="0.25">
      <c r="B411" s="80" t="s">
        <v>1775</v>
      </c>
      <c r="C411" s="211">
        <v>45289</v>
      </c>
      <c r="D411" s="212"/>
      <c r="E411" s="361">
        <v>20</v>
      </c>
      <c r="F411" s="361">
        <v>-5</v>
      </c>
      <c r="G411" s="74"/>
      <c r="H411" s="412"/>
      <c r="I411" s="402"/>
    </row>
    <row r="412" spans="2:11" s="390" customFormat="1" ht="18" hidden="1" customHeight="1" x14ac:dyDescent="0.25">
      <c r="B412" s="80"/>
      <c r="C412" s="211"/>
      <c r="D412" s="212"/>
      <c r="E412" s="361">
        <f>25+30</f>
        <v>55</v>
      </c>
      <c r="F412" s="361">
        <v>-40</v>
      </c>
      <c r="G412" s="412"/>
      <c r="H412" s="412"/>
      <c r="I412" s="402"/>
      <c r="K412" s="390" t="s">
        <v>1876</v>
      </c>
    </row>
    <row r="413" spans="2:11" s="390" customFormat="1" ht="18" hidden="1" customHeight="1" thickBot="1" x14ac:dyDescent="0.3">
      <c r="B413" s="80"/>
      <c r="C413" s="211"/>
      <c r="D413" s="212"/>
      <c r="E413" s="361"/>
      <c r="F413" s="361">
        <v>-30</v>
      </c>
      <c r="G413" s="74"/>
      <c r="H413" s="412"/>
      <c r="I413" s="402"/>
    </row>
    <row r="414" spans="2:11" s="390" customFormat="1" ht="18" hidden="1" customHeight="1" thickBot="1" x14ac:dyDescent="0.3">
      <c r="B414" s="80"/>
      <c r="C414" s="211"/>
      <c r="D414" s="212"/>
      <c r="E414" s="780">
        <f>SUM(E411:E413)</f>
        <v>75</v>
      </c>
      <c r="F414" s="780">
        <f>SUM(F411:F413)</f>
        <v>-75</v>
      </c>
      <c r="G414" s="74"/>
      <c r="H414" s="412"/>
      <c r="I414" s="402">
        <f>+E414+F414</f>
        <v>0</v>
      </c>
    </row>
    <row r="415" spans="2:11" s="390" customFormat="1" ht="18" hidden="1" customHeight="1" x14ac:dyDescent="0.25">
      <c r="B415" s="387"/>
      <c r="C415" s="391"/>
      <c r="D415" s="392"/>
      <c r="E415" s="163"/>
      <c r="F415" s="163"/>
      <c r="G415" s="388"/>
      <c r="H415" s="409"/>
      <c r="I415" s="402"/>
    </row>
    <row r="416" spans="2:11" s="390" customFormat="1" ht="18" customHeight="1" x14ac:dyDescent="0.25">
      <c r="B416" s="387" t="s">
        <v>644</v>
      </c>
      <c r="C416" s="391">
        <v>45300</v>
      </c>
      <c r="D416" s="392"/>
      <c r="E416" s="163">
        <f>55+55</f>
        <v>110</v>
      </c>
      <c r="F416" s="163">
        <v>0</v>
      </c>
      <c r="G416" s="388"/>
      <c r="H416" s="409"/>
      <c r="I416" s="402"/>
    </row>
    <row r="417" spans="2:9" s="390" customFormat="1" ht="18" customHeight="1" x14ac:dyDescent="0.25">
      <c r="B417" s="387"/>
      <c r="C417" s="391">
        <v>45325</v>
      </c>
      <c r="D417" s="392"/>
      <c r="E417" s="163"/>
      <c r="F417" s="163">
        <v>-50</v>
      </c>
      <c r="G417" s="388"/>
      <c r="H417" s="409"/>
      <c r="I417" s="402"/>
    </row>
    <row r="418" spans="2:9" s="390" customFormat="1" ht="18" customHeight="1" x14ac:dyDescent="0.25">
      <c r="B418" s="387" t="s">
        <v>2201</v>
      </c>
      <c r="C418" s="391"/>
      <c r="D418" s="392"/>
      <c r="E418" s="163"/>
      <c r="F418" s="163">
        <v>-50</v>
      </c>
      <c r="G418" s="388"/>
      <c r="H418" s="409"/>
      <c r="I418" s="402"/>
    </row>
    <row r="419" spans="2:9" s="390" customFormat="1" ht="18" customHeight="1" x14ac:dyDescent="0.25">
      <c r="B419" s="387"/>
      <c r="C419" s="391">
        <v>45437</v>
      </c>
      <c r="D419" s="392"/>
      <c r="E419" s="163">
        <v>135</v>
      </c>
      <c r="F419" s="163"/>
      <c r="G419" s="388"/>
      <c r="H419" s="409"/>
      <c r="I419" s="402"/>
    </row>
    <row r="420" spans="2:9" s="390" customFormat="1" ht="18" customHeight="1" thickBot="1" x14ac:dyDescent="0.3">
      <c r="B420" s="387" t="s">
        <v>2201</v>
      </c>
      <c r="C420" s="391">
        <v>45468</v>
      </c>
      <c r="D420" s="392"/>
      <c r="E420" s="163"/>
      <c r="F420" s="163">
        <v>-50</v>
      </c>
      <c r="G420" s="388"/>
      <c r="H420" s="409"/>
      <c r="I420" s="402"/>
    </row>
    <row r="421" spans="2:9" s="390" customFormat="1" ht="18" customHeight="1" thickBot="1" x14ac:dyDescent="0.3">
      <c r="B421" s="387"/>
      <c r="C421" s="391"/>
      <c r="D421" s="392"/>
      <c r="E421" s="735">
        <f>SUM(E416:E420)</f>
        <v>245</v>
      </c>
      <c r="F421" s="735">
        <f>SUM(F416:F420)</f>
        <v>-150</v>
      </c>
      <c r="G421" s="388"/>
      <c r="H421" s="409"/>
      <c r="I421" s="402">
        <f>+E421+F421</f>
        <v>95</v>
      </c>
    </row>
    <row r="422" spans="2:9" s="390" customFormat="1" ht="18" customHeight="1" x14ac:dyDescent="0.25">
      <c r="B422" s="387"/>
      <c r="C422" s="391"/>
      <c r="D422" s="392"/>
      <c r="E422" s="163"/>
      <c r="F422" s="163"/>
      <c r="G422" s="388"/>
      <c r="H422" s="409"/>
      <c r="I422" s="402"/>
    </row>
    <row r="423" spans="2:9" s="390" customFormat="1" ht="18" customHeight="1" x14ac:dyDescent="0.25">
      <c r="B423" s="387" t="s">
        <v>1908</v>
      </c>
      <c r="C423" s="391">
        <v>45316</v>
      </c>
      <c r="D423" s="392"/>
      <c r="E423" s="163">
        <v>155</v>
      </c>
      <c r="F423" s="163">
        <v>0</v>
      </c>
      <c r="G423" s="388"/>
      <c r="H423" s="409"/>
      <c r="I423" s="402"/>
    </row>
    <row r="424" spans="2:9" s="390" customFormat="1" ht="18" customHeight="1" x14ac:dyDescent="0.25">
      <c r="B424" s="387"/>
      <c r="C424" s="391">
        <v>45341</v>
      </c>
      <c r="D424" s="392"/>
      <c r="E424" s="163"/>
      <c r="F424" s="163">
        <v>-50</v>
      </c>
      <c r="G424" s="388"/>
      <c r="H424" s="409"/>
      <c r="I424" s="402"/>
    </row>
    <row r="425" spans="2:9" s="390" customFormat="1" ht="18" customHeight="1" x14ac:dyDescent="0.25">
      <c r="B425" s="387"/>
      <c r="C425" s="391">
        <v>45379</v>
      </c>
      <c r="D425" s="392"/>
      <c r="E425" s="163">
        <v>300</v>
      </c>
      <c r="F425" s="163">
        <v>-50</v>
      </c>
      <c r="G425" s="388"/>
      <c r="H425" s="409"/>
      <c r="I425" s="402"/>
    </row>
    <row r="426" spans="2:9" s="390" customFormat="1" ht="18" customHeight="1" x14ac:dyDescent="0.25">
      <c r="B426" s="387"/>
      <c r="C426" s="391"/>
      <c r="D426" s="392"/>
      <c r="E426" s="163">
        <v>25</v>
      </c>
      <c r="F426" s="163"/>
      <c r="G426" s="388"/>
      <c r="H426" s="409" t="s">
        <v>2449</v>
      </c>
      <c r="I426" s="402"/>
    </row>
    <row r="427" spans="2:9" s="390" customFormat="1" ht="18" customHeight="1" x14ac:dyDescent="0.25">
      <c r="B427" s="387"/>
      <c r="C427" s="391">
        <v>45419</v>
      </c>
      <c r="D427" s="392"/>
      <c r="E427" s="163"/>
      <c r="F427" s="163">
        <v>-100</v>
      </c>
      <c r="G427" s="388"/>
      <c r="H427" s="409"/>
      <c r="I427" s="402"/>
    </row>
    <row r="428" spans="2:9" s="390" customFormat="1" ht="18" customHeight="1" x14ac:dyDescent="0.25">
      <c r="B428" s="387"/>
      <c r="C428" s="391">
        <v>45447</v>
      </c>
      <c r="D428" s="392"/>
      <c r="E428" s="163">
        <v>155</v>
      </c>
      <c r="F428" s="163">
        <v>-100</v>
      </c>
      <c r="G428" s="388"/>
      <c r="H428" s="409"/>
      <c r="I428" s="402"/>
    </row>
    <row r="429" spans="2:9" s="390" customFormat="1" ht="18" customHeight="1" thickBot="1" x14ac:dyDescent="0.3">
      <c r="B429" s="387"/>
      <c r="C429" s="391">
        <v>45484</v>
      </c>
      <c r="D429" s="392"/>
      <c r="E429" s="163"/>
      <c r="F429" s="163">
        <v>-100</v>
      </c>
      <c r="G429" s="388"/>
      <c r="H429" s="409"/>
      <c r="I429" s="402"/>
    </row>
    <row r="430" spans="2:9" s="390" customFormat="1" ht="18" customHeight="1" thickBot="1" x14ac:dyDescent="0.3">
      <c r="B430" s="387"/>
      <c r="C430" s="391"/>
      <c r="D430" s="392"/>
      <c r="E430" s="735">
        <f>SUM(E423:E429)</f>
        <v>635</v>
      </c>
      <c r="F430" s="735">
        <f>SUM(F423:F429)</f>
        <v>-400</v>
      </c>
      <c r="G430" s="388"/>
      <c r="H430" s="409"/>
      <c r="I430" s="402">
        <f>+E430+F430</f>
        <v>235</v>
      </c>
    </row>
    <row r="431" spans="2:9" s="390" customFormat="1" ht="18" customHeight="1" x14ac:dyDescent="0.25">
      <c r="B431" s="387"/>
      <c r="C431" s="391"/>
      <c r="D431" s="392"/>
      <c r="E431" s="163"/>
      <c r="F431" s="163"/>
      <c r="G431" s="388"/>
      <c r="H431" s="409"/>
      <c r="I431" s="402"/>
    </row>
    <row r="432" spans="2:9" s="390" customFormat="1" ht="18" hidden="1" customHeight="1" x14ac:dyDescent="0.25">
      <c r="B432" s="80" t="s">
        <v>2025</v>
      </c>
      <c r="C432" s="211">
        <v>45337</v>
      </c>
      <c r="D432" s="212"/>
      <c r="E432" s="361">
        <v>125</v>
      </c>
      <c r="F432" s="361">
        <v>-100</v>
      </c>
      <c r="G432" s="74"/>
      <c r="H432" s="412"/>
      <c r="I432" s="402"/>
    </row>
    <row r="433" spans="2:9" s="390" customFormat="1" ht="18" hidden="1" customHeight="1" thickBot="1" x14ac:dyDescent="0.3">
      <c r="B433" s="80"/>
      <c r="C433" s="211">
        <v>45344</v>
      </c>
      <c r="D433" s="212"/>
      <c r="E433" s="361"/>
      <c r="F433" s="361">
        <v>-25</v>
      </c>
      <c r="G433" s="74"/>
      <c r="H433" s="412"/>
      <c r="I433" s="402"/>
    </row>
    <row r="434" spans="2:9" s="390" customFormat="1" ht="18" hidden="1" customHeight="1" thickBot="1" x14ac:dyDescent="0.3">
      <c r="B434" s="80"/>
      <c r="C434" s="211"/>
      <c r="D434" s="212"/>
      <c r="E434" s="790">
        <f>SUM(E432:E433)</f>
        <v>125</v>
      </c>
      <c r="F434" s="791">
        <f>SUM(F432:F433)</f>
        <v>-125</v>
      </c>
      <c r="G434" s="74"/>
      <c r="H434" s="412"/>
      <c r="I434" s="402">
        <f>+E434+F434</f>
        <v>0</v>
      </c>
    </row>
    <row r="435" spans="2:9" s="390" customFormat="1" ht="18" customHeight="1" x14ac:dyDescent="0.25">
      <c r="B435" s="387" t="s">
        <v>2037</v>
      </c>
      <c r="C435" s="391">
        <v>45342</v>
      </c>
      <c r="D435" s="392"/>
      <c r="E435" s="163">
        <v>185</v>
      </c>
      <c r="F435" s="163">
        <v>0</v>
      </c>
      <c r="G435" s="388"/>
      <c r="H435" s="409"/>
      <c r="I435" s="402"/>
    </row>
    <row r="436" spans="2:9" s="390" customFormat="1" ht="18" customHeight="1" x14ac:dyDescent="0.25">
      <c r="B436" s="387"/>
      <c r="C436" s="391">
        <v>45359</v>
      </c>
      <c r="D436" s="392"/>
      <c r="E436" s="163"/>
      <c r="F436" s="163">
        <v>-100</v>
      </c>
      <c r="G436" s="388"/>
      <c r="H436" s="409"/>
      <c r="I436" s="402"/>
    </row>
    <row r="437" spans="2:9" s="390" customFormat="1" ht="18" customHeight="1" x14ac:dyDescent="0.25">
      <c r="B437" s="387"/>
      <c r="C437" s="391">
        <v>45421</v>
      </c>
      <c r="D437" s="392"/>
      <c r="E437" s="163"/>
      <c r="F437" s="163">
        <v>-50</v>
      </c>
      <c r="G437" s="388"/>
      <c r="H437" s="409"/>
      <c r="I437" s="402"/>
    </row>
    <row r="438" spans="2:9" s="390" customFormat="1" ht="18" customHeight="1" x14ac:dyDescent="0.25">
      <c r="B438" s="387"/>
      <c r="C438" s="391">
        <v>45449</v>
      </c>
      <c r="D438" s="392"/>
      <c r="E438" s="163">
        <v>55</v>
      </c>
      <c r="F438" s="163">
        <v>-35</v>
      </c>
      <c r="G438" s="388"/>
      <c r="H438" s="409"/>
      <c r="I438" s="402"/>
    </row>
    <row r="439" spans="2:9" s="390" customFormat="1" ht="18" customHeight="1" thickBot="1" x14ac:dyDescent="0.3">
      <c r="B439" s="387"/>
      <c r="C439" s="391"/>
      <c r="D439" s="392"/>
      <c r="E439" s="163"/>
      <c r="F439" s="163"/>
      <c r="G439" s="388"/>
      <c r="H439" s="409"/>
      <c r="I439" s="402"/>
    </row>
    <row r="440" spans="2:9" s="390" customFormat="1" ht="18" customHeight="1" thickBot="1" x14ac:dyDescent="0.3">
      <c r="B440" s="387"/>
      <c r="C440" s="391"/>
      <c r="D440" s="392"/>
      <c r="E440" s="240">
        <f>SUM(E435:E439)</f>
        <v>240</v>
      </c>
      <c r="F440" s="240">
        <f>SUM(F435:F438)</f>
        <v>-185</v>
      </c>
      <c r="G440" s="388"/>
      <c r="H440" s="409"/>
      <c r="I440" s="402">
        <f>+E440+F440</f>
        <v>55</v>
      </c>
    </row>
    <row r="441" spans="2:9" s="390" customFormat="1" ht="18" customHeight="1" x14ac:dyDescent="0.25">
      <c r="B441" s="387"/>
      <c r="C441" s="391"/>
      <c r="D441" s="392"/>
      <c r="E441" s="163"/>
      <c r="F441" s="163"/>
      <c r="G441" s="388"/>
      <c r="H441" s="409"/>
      <c r="I441" s="402"/>
    </row>
    <row r="442" spans="2:9" s="390" customFormat="1" ht="18" hidden="1" customHeight="1" x14ac:dyDescent="0.25">
      <c r="B442" s="80" t="s">
        <v>2061</v>
      </c>
      <c r="C442" s="211">
        <v>45349</v>
      </c>
      <c r="D442" s="212"/>
      <c r="E442" s="361">
        <v>125</v>
      </c>
      <c r="F442" s="361">
        <v>0</v>
      </c>
      <c r="G442" s="74"/>
      <c r="H442" s="412"/>
      <c r="I442" s="402"/>
    </row>
    <row r="443" spans="2:9" s="390" customFormat="1" ht="18" hidden="1" customHeight="1" x14ac:dyDescent="0.25">
      <c r="B443" s="80"/>
      <c r="C443" s="211">
        <v>45351</v>
      </c>
      <c r="D443" s="212"/>
      <c r="E443" s="361"/>
      <c r="F443" s="361">
        <v>-20</v>
      </c>
      <c r="G443" s="74"/>
      <c r="H443" s="412"/>
      <c r="I443" s="402"/>
    </row>
    <row r="444" spans="2:9" s="390" customFormat="1" ht="18" hidden="1" customHeight="1" x14ac:dyDescent="0.25">
      <c r="B444" s="80"/>
      <c r="C444" s="211">
        <v>45352</v>
      </c>
      <c r="D444" s="212"/>
      <c r="E444" s="361"/>
      <c r="F444" s="361">
        <v>-20</v>
      </c>
      <c r="G444" s="74"/>
      <c r="H444" s="412"/>
      <c r="I444" s="402"/>
    </row>
    <row r="445" spans="2:9" s="390" customFormat="1" ht="18" hidden="1" customHeight="1" x14ac:dyDescent="0.25">
      <c r="B445" s="80"/>
      <c r="C445" s="211">
        <v>45358</v>
      </c>
      <c r="D445" s="212"/>
      <c r="E445" s="361"/>
      <c r="F445" s="361">
        <v>-20</v>
      </c>
      <c r="G445" s="74"/>
      <c r="H445" s="412"/>
      <c r="I445" s="402"/>
    </row>
    <row r="446" spans="2:9" s="390" customFormat="1" ht="18" hidden="1" customHeight="1" x14ac:dyDescent="0.25">
      <c r="B446" s="80"/>
      <c r="C446" s="211">
        <v>45366</v>
      </c>
      <c r="D446" s="212"/>
      <c r="E446" s="361"/>
      <c r="F446" s="361">
        <v>-20</v>
      </c>
      <c r="G446" s="74"/>
      <c r="H446" s="412"/>
      <c r="I446" s="402"/>
    </row>
    <row r="447" spans="2:9" s="390" customFormat="1" ht="18" hidden="1" customHeight="1" x14ac:dyDescent="0.25">
      <c r="B447" s="80"/>
      <c r="C447" s="211">
        <v>45374</v>
      </c>
      <c r="D447" s="212"/>
      <c r="E447" s="361"/>
      <c r="F447" s="361">
        <v>-20</v>
      </c>
      <c r="G447" s="74"/>
      <c r="H447" s="412"/>
      <c r="I447" s="402"/>
    </row>
    <row r="448" spans="2:9" s="390" customFormat="1" ht="18" hidden="1" customHeight="1" thickBot="1" x14ac:dyDescent="0.3">
      <c r="B448" s="80"/>
      <c r="C448" s="211">
        <v>45378</v>
      </c>
      <c r="D448" s="212"/>
      <c r="E448" s="361"/>
      <c r="F448" s="361">
        <v>-20</v>
      </c>
      <c r="G448" s="74"/>
      <c r="H448" s="412"/>
      <c r="I448" s="402"/>
    </row>
    <row r="449" spans="2:9" s="390" customFormat="1" ht="18" hidden="1" customHeight="1" thickBot="1" x14ac:dyDescent="0.3">
      <c r="B449" s="80"/>
      <c r="C449" s="211"/>
      <c r="D449" s="212"/>
      <c r="E449" s="790">
        <f>SUM(E442:E448)</f>
        <v>125</v>
      </c>
      <c r="F449" s="791">
        <f>SUM(F442:F448)</f>
        <v>-120</v>
      </c>
      <c r="G449" s="74"/>
      <c r="H449" s="412"/>
      <c r="I449" s="402">
        <f>+E449+F449</f>
        <v>5</v>
      </c>
    </row>
    <row r="450" spans="2:9" s="390" customFormat="1" ht="18" hidden="1" customHeight="1" x14ac:dyDescent="0.25">
      <c r="B450" s="387"/>
      <c r="C450" s="391"/>
      <c r="D450" s="392"/>
      <c r="E450" s="163"/>
      <c r="F450" s="163"/>
      <c r="G450" s="388"/>
      <c r="H450" s="409"/>
      <c r="I450" s="402"/>
    </row>
    <row r="451" spans="2:9" s="390" customFormat="1" ht="18" hidden="1" customHeight="1" x14ac:dyDescent="0.25">
      <c r="B451" s="80" t="s">
        <v>2068</v>
      </c>
      <c r="C451" s="211">
        <v>45351</v>
      </c>
      <c r="D451" s="212"/>
      <c r="E451" s="361">
        <v>140</v>
      </c>
      <c r="F451" s="361">
        <v>-60</v>
      </c>
      <c r="G451" s="74"/>
      <c r="H451" s="412"/>
      <c r="I451" s="402"/>
    </row>
    <row r="452" spans="2:9" s="390" customFormat="1" ht="18" hidden="1" customHeight="1" thickBot="1" x14ac:dyDescent="0.3">
      <c r="B452" s="80"/>
      <c r="C452" s="211">
        <v>45399</v>
      </c>
      <c r="D452" s="212"/>
      <c r="E452" s="361"/>
      <c r="F452" s="361">
        <v>-80</v>
      </c>
      <c r="G452" s="74"/>
      <c r="H452" s="412"/>
      <c r="I452" s="402"/>
    </row>
    <row r="453" spans="2:9" s="390" customFormat="1" ht="18" hidden="1" customHeight="1" thickBot="1" x14ac:dyDescent="0.3">
      <c r="B453" s="80"/>
      <c r="C453" s="211"/>
      <c r="D453" s="212"/>
      <c r="E453" s="790">
        <f>SUM(E451:E452)</f>
        <v>140</v>
      </c>
      <c r="F453" s="791">
        <f>SUM(F451:F452)</f>
        <v>-140</v>
      </c>
      <c r="G453" s="74"/>
      <c r="H453" s="412"/>
      <c r="I453" s="402">
        <f>+E453+F453</f>
        <v>0</v>
      </c>
    </row>
    <row r="454" spans="2:9" s="390" customFormat="1" ht="18" customHeight="1" x14ac:dyDescent="0.25">
      <c r="B454" s="387"/>
      <c r="C454" s="391"/>
      <c r="D454" s="392"/>
      <c r="E454" s="163"/>
      <c r="F454" s="163"/>
      <c r="G454" s="388"/>
      <c r="H454" s="409"/>
      <c r="I454" s="402"/>
    </row>
    <row r="455" spans="2:9" s="390" customFormat="1" ht="18" customHeight="1" x14ac:dyDescent="0.25">
      <c r="B455" s="387" t="s">
        <v>1100</v>
      </c>
      <c r="C455" s="391">
        <v>45359</v>
      </c>
      <c r="D455" s="392"/>
      <c r="E455" s="163">
        <v>350</v>
      </c>
      <c r="F455" s="163"/>
      <c r="G455" s="388"/>
      <c r="H455" s="409"/>
      <c r="I455" s="402"/>
    </row>
    <row r="456" spans="2:9" s="390" customFormat="1" ht="18" customHeight="1" x14ac:dyDescent="0.25">
      <c r="B456" s="387"/>
      <c r="C456" s="391">
        <v>45393</v>
      </c>
      <c r="D456" s="392"/>
      <c r="E456" s="163">
        <v>75</v>
      </c>
      <c r="F456" s="163">
        <v>-145</v>
      </c>
      <c r="G456" s="388"/>
      <c r="H456" s="409"/>
      <c r="I456" s="402"/>
    </row>
    <row r="457" spans="2:9" s="390" customFormat="1" ht="18" customHeight="1" x14ac:dyDescent="0.25">
      <c r="B457" s="387"/>
      <c r="C457" s="391">
        <v>45408</v>
      </c>
      <c r="D457" s="392"/>
      <c r="E457" s="163">
        <v>125</v>
      </c>
      <c r="F457" s="163">
        <v>-100</v>
      </c>
      <c r="G457" s="388"/>
      <c r="H457" s="409"/>
      <c r="I457" s="402"/>
    </row>
    <row r="458" spans="2:9" s="390" customFormat="1" ht="18" customHeight="1" x14ac:dyDescent="0.25">
      <c r="B458" s="387"/>
      <c r="C458" s="391">
        <v>45443</v>
      </c>
      <c r="D458" s="392"/>
      <c r="E458" s="163"/>
      <c r="F458" s="163">
        <v>-150</v>
      </c>
      <c r="G458" s="388"/>
      <c r="H458" s="409"/>
      <c r="I458" s="402"/>
    </row>
    <row r="459" spans="2:9" s="390" customFormat="1" ht="18" customHeight="1" x14ac:dyDescent="0.25">
      <c r="B459" s="387"/>
      <c r="C459" s="391">
        <v>45469</v>
      </c>
      <c r="D459" s="392"/>
      <c r="E459" s="163">
        <v>110</v>
      </c>
      <c r="F459" s="163"/>
      <c r="G459" s="388"/>
      <c r="H459" s="409"/>
      <c r="I459" s="402"/>
    </row>
    <row r="460" spans="2:9" s="390" customFormat="1" ht="18" customHeight="1" thickBot="1" x14ac:dyDescent="0.3">
      <c r="B460" s="387"/>
      <c r="C460" s="391"/>
      <c r="D460" s="392"/>
      <c r="E460" s="163"/>
      <c r="F460" s="163"/>
      <c r="G460" s="388"/>
      <c r="H460" s="409"/>
      <c r="I460" s="402"/>
    </row>
    <row r="461" spans="2:9" s="390" customFormat="1" ht="18" customHeight="1" thickBot="1" x14ac:dyDescent="0.3">
      <c r="B461" s="387"/>
      <c r="C461" s="391"/>
      <c r="D461" s="392"/>
      <c r="E461" s="735">
        <f>SUM(E455:E459)</f>
        <v>660</v>
      </c>
      <c r="F461" s="736">
        <f>SUM(F455:F458)</f>
        <v>-395</v>
      </c>
      <c r="G461" s="388"/>
      <c r="H461" s="409"/>
      <c r="I461" s="402">
        <f>+E461+F461</f>
        <v>265</v>
      </c>
    </row>
    <row r="462" spans="2:9" s="390" customFormat="1" ht="18" customHeight="1" x14ac:dyDescent="0.25">
      <c r="B462" s="387"/>
      <c r="C462" s="391"/>
      <c r="D462" s="392"/>
      <c r="E462" s="163"/>
      <c r="F462" s="163"/>
      <c r="G462" s="388"/>
      <c r="H462" s="409"/>
      <c r="I462" s="402"/>
    </row>
    <row r="463" spans="2:9" s="390" customFormat="1" ht="18" hidden="1" customHeight="1" x14ac:dyDescent="0.25">
      <c r="B463" s="80" t="s">
        <v>2180</v>
      </c>
      <c r="C463" s="211" t="s">
        <v>2182</v>
      </c>
      <c r="D463" s="212"/>
      <c r="E463" s="361">
        <v>35</v>
      </c>
      <c r="F463" s="361">
        <v>0</v>
      </c>
      <c r="G463" s="74"/>
      <c r="H463" s="412"/>
      <c r="I463" s="402"/>
    </row>
    <row r="464" spans="2:9" s="390" customFormat="1" ht="18" hidden="1" customHeight="1" x14ac:dyDescent="0.25">
      <c r="B464" s="80"/>
      <c r="C464" s="211"/>
      <c r="D464" s="212"/>
      <c r="E464" s="361">
        <v>180</v>
      </c>
      <c r="F464" s="361"/>
      <c r="G464" s="74"/>
      <c r="H464" s="412"/>
      <c r="I464" s="402"/>
    </row>
    <row r="465" spans="2:9" s="390" customFormat="1" ht="18" hidden="1" customHeight="1" thickBot="1" x14ac:dyDescent="0.3">
      <c r="B465" s="80"/>
      <c r="C465" s="211">
        <v>45390</v>
      </c>
      <c r="D465" s="212"/>
      <c r="E465" s="361"/>
      <c r="F465" s="361">
        <v>-215</v>
      </c>
      <c r="G465" s="74"/>
      <c r="H465" s="412"/>
      <c r="I465" s="402"/>
    </row>
    <row r="466" spans="2:9" s="390" customFormat="1" ht="18" hidden="1" customHeight="1" thickBot="1" x14ac:dyDescent="0.3">
      <c r="B466" s="80"/>
      <c r="C466" s="211"/>
      <c r="D466" s="212"/>
      <c r="E466" s="790">
        <f>SUM(E463:E465)</f>
        <v>215</v>
      </c>
      <c r="F466" s="791">
        <f>SUM(F463:F465)</f>
        <v>-215</v>
      </c>
      <c r="G466" s="74"/>
      <c r="H466" s="412"/>
      <c r="I466" s="402">
        <f>+E466+F466</f>
        <v>0</v>
      </c>
    </row>
    <row r="467" spans="2:9" s="390" customFormat="1" ht="18" customHeight="1" x14ac:dyDescent="0.25">
      <c r="B467" s="387"/>
      <c r="C467" s="391"/>
      <c r="D467" s="392"/>
      <c r="E467" s="163"/>
      <c r="F467" s="163"/>
      <c r="G467" s="388"/>
      <c r="H467" s="409"/>
      <c r="I467" s="402"/>
    </row>
    <row r="468" spans="2:9" s="390" customFormat="1" ht="18" customHeight="1" x14ac:dyDescent="0.25">
      <c r="B468" s="387" t="s">
        <v>2214</v>
      </c>
      <c r="C468" s="391">
        <v>45374</v>
      </c>
      <c r="D468" s="392"/>
      <c r="E468" s="163">
        <v>240</v>
      </c>
      <c r="F468" s="163">
        <v>0</v>
      </c>
      <c r="G468" s="388"/>
      <c r="H468" s="409"/>
      <c r="I468" s="402"/>
    </row>
    <row r="469" spans="2:9" s="390" customFormat="1" ht="18" customHeight="1" x14ac:dyDescent="0.25">
      <c r="B469" s="387"/>
      <c r="C469" s="391">
        <v>45416</v>
      </c>
      <c r="D469" s="392"/>
      <c r="E469" s="163"/>
      <c r="F469" s="163">
        <v>-100</v>
      </c>
      <c r="G469" s="388"/>
      <c r="H469" s="409"/>
      <c r="I469" s="402"/>
    </row>
    <row r="470" spans="2:9" s="390" customFormat="1" ht="18" customHeight="1" x14ac:dyDescent="0.25">
      <c r="B470" s="387"/>
      <c r="C470" s="391">
        <v>45463</v>
      </c>
      <c r="D470" s="392"/>
      <c r="E470" s="163"/>
      <c r="F470" s="163">
        <v>-100</v>
      </c>
      <c r="G470" s="388"/>
      <c r="H470" s="409"/>
      <c r="I470" s="402"/>
    </row>
    <row r="471" spans="2:9" s="390" customFormat="1" ht="18" customHeight="1" thickBot="1" x14ac:dyDescent="0.3">
      <c r="B471" s="387"/>
      <c r="C471" s="391"/>
      <c r="D471" s="392"/>
      <c r="E471" s="163"/>
      <c r="F471" s="163"/>
      <c r="G471" s="388"/>
      <c r="H471" s="409"/>
      <c r="I471" s="402"/>
    </row>
    <row r="472" spans="2:9" s="390" customFormat="1" ht="18" customHeight="1" thickBot="1" x14ac:dyDescent="0.3">
      <c r="B472" s="387"/>
      <c r="C472" s="391"/>
      <c r="D472" s="392"/>
      <c r="E472" s="735">
        <f>SUM(E468:E469)</f>
        <v>240</v>
      </c>
      <c r="F472" s="736">
        <f>SUM(F468:F470)</f>
        <v>-200</v>
      </c>
      <c r="G472" s="388"/>
      <c r="H472" s="409"/>
      <c r="I472" s="402">
        <f>+E472+F472</f>
        <v>40</v>
      </c>
    </row>
    <row r="473" spans="2:9" s="390" customFormat="1" ht="18" customHeight="1" x14ac:dyDescent="0.25">
      <c r="B473" s="387"/>
      <c r="C473" s="391"/>
      <c r="D473" s="392"/>
      <c r="E473" s="163"/>
      <c r="F473" s="163"/>
      <c r="G473" s="388"/>
      <c r="H473" s="409"/>
      <c r="I473" s="402"/>
    </row>
    <row r="474" spans="2:9" s="390" customFormat="1" ht="18" customHeight="1" x14ac:dyDescent="0.25">
      <c r="B474" s="387" t="s">
        <v>2267</v>
      </c>
      <c r="C474" s="391">
        <v>45380</v>
      </c>
      <c r="D474" s="392"/>
      <c r="E474" s="163">
        <v>110</v>
      </c>
      <c r="F474" s="163">
        <v>0</v>
      </c>
      <c r="G474" s="388"/>
      <c r="H474" s="409"/>
      <c r="I474" s="402"/>
    </row>
    <row r="475" spans="2:9" s="390" customFormat="1" ht="18" customHeight="1" x14ac:dyDescent="0.25">
      <c r="B475" s="387"/>
      <c r="C475" s="391">
        <v>45399</v>
      </c>
      <c r="D475" s="392"/>
      <c r="E475" s="163"/>
      <c r="F475" s="163">
        <v>-100</v>
      </c>
      <c r="G475" s="388"/>
      <c r="H475" s="409"/>
      <c r="I475" s="402"/>
    </row>
    <row r="476" spans="2:9" s="390" customFormat="1" ht="18" customHeight="1" x14ac:dyDescent="0.25">
      <c r="B476" s="387"/>
      <c r="C476" s="391">
        <v>45411</v>
      </c>
      <c r="D476" s="392"/>
      <c r="E476" s="163">
        <v>35</v>
      </c>
      <c r="F476" s="163"/>
      <c r="G476" s="388"/>
      <c r="H476" s="409"/>
      <c r="I476" s="402"/>
    </row>
    <row r="477" spans="2:9" s="390" customFormat="1" ht="18" customHeight="1" x14ac:dyDescent="0.25">
      <c r="B477" s="387"/>
      <c r="C477" s="391">
        <v>45421</v>
      </c>
      <c r="D477" s="392"/>
      <c r="E477" s="163">
        <v>45</v>
      </c>
      <c r="F477" s="163"/>
      <c r="G477" s="388"/>
      <c r="H477" s="409"/>
      <c r="I477" s="402"/>
    </row>
    <row r="478" spans="2:9" s="390" customFormat="1" ht="18" customHeight="1" x14ac:dyDescent="0.25">
      <c r="B478" s="387"/>
      <c r="C478" s="391"/>
      <c r="D478" s="392"/>
      <c r="E478" s="163">
        <v>200</v>
      </c>
      <c r="F478" s="163"/>
      <c r="G478" s="388"/>
      <c r="H478" s="409"/>
      <c r="I478" s="402"/>
    </row>
    <row r="479" spans="2:9" s="390" customFormat="1" ht="18" customHeight="1" x14ac:dyDescent="0.25">
      <c r="B479" s="387"/>
      <c r="C479" s="391">
        <v>45442</v>
      </c>
      <c r="D479" s="392"/>
      <c r="E479" s="163"/>
      <c r="F479" s="163">
        <v>-100</v>
      </c>
      <c r="G479" s="388"/>
      <c r="H479" s="409"/>
      <c r="I479" s="402"/>
    </row>
    <row r="480" spans="2:9" s="390" customFormat="1" ht="18" customHeight="1" x14ac:dyDescent="0.25">
      <c r="B480" s="387"/>
      <c r="C480" s="391">
        <v>45491</v>
      </c>
      <c r="D480" s="392"/>
      <c r="E480" s="163"/>
      <c r="F480" s="163">
        <v>-100</v>
      </c>
      <c r="G480" s="388"/>
      <c r="H480" s="409"/>
      <c r="I480" s="402"/>
    </row>
    <row r="481" spans="2:9" s="390" customFormat="1" ht="18" customHeight="1" thickBot="1" x14ac:dyDescent="0.3">
      <c r="B481" s="387"/>
      <c r="C481" s="391"/>
      <c r="D481" s="392"/>
      <c r="E481" s="163"/>
      <c r="F481" s="163"/>
      <c r="G481" s="388"/>
      <c r="H481" s="409"/>
      <c r="I481" s="402"/>
    </row>
    <row r="482" spans="2:9" s="390" customFormat="1" ht="18" customHeight="1" thickBot="1" x14ac:dyDescent="0.3">
      <c r="B482" s="387"/>
      <c r="C482" s="391"/>
      <c r="D482" s="392"/>
      <c r="E482" s="735">
        <f>SUM(E474:E478)</f>
        <v>390</v>
      </c>
      <c r="F482" s="736">
        <f>SUM(F474:F481)</f>
        <v>-300</v>
      </c>
      <c r="G482" s="388"/>
      <c r="H482" s="409"/>
      <c r="I482" s="402">
        <f>+E482+F482</f>
        <v>90</v>
      </c>
    </row>
    <row r="483" spans="2:9" s="390" customFormat="1" ht="18" hidden="1" customHeight="1" x14ac:dyDescent="0.25">
      <c r="B483" s="387" t="s">
        <v>2695</v>
      </c>
      <c r="C483" s="391"/>
      <c r="D483" s="392"/>
      <c r="E483" s="163"/>
      <c r="F483" s="163"/>
      <c r="G483" s="388"/>
      <c r="H483" s="409"/>
      <c r="I483" s="402"/>
    </row>
    <row r="484" spans="2:9" s="390" customFormat="1" ht="18" hidden="1" customHeight="1" x14ac:dyDescent="0.25">
      <c r="B484" s="80" t="s">
        <v>2311</v>
      </c>
      <c r="C484" s="211">
        <v>45385</v>
      </c>
      <c r="D484" s="212"/>
      <c r="E484" s="361">
        <v>185</v>
      </c>
      <c r="F484" s="361">
        <v>-150</v>
      </c>
      <c r="G484" s="74"/>
      <c r="H484" s="412"/>
      <c r="I484" s="402"/>
    </row>
    <row r="485" spans="2:9" s="390" customFormat="1" ht="18" hidden="1" customHeight="1" thickBot="1" x14ac:dyDescent="0.3">
      <c r="B485" s="80"/>
      <c r="C485" s="211">
        <v>45443</v>
      </c>
      <c r="D485" s="212"/>
      <c r="E485" s="361"/>
      <c r="F485" s="361">
        <v>-35</v>
      </c>
      <c r="G485" s="74"/>
      <c r="H485" s="412"/>
      <c r="I485" s="402"/>
    </row>
    <row r="486" spans="2:9" s="390" customFormat="1" ht="18" hidden="1" customHeight="1" thickBot="1" x14ac:dyDescent="0.3">
      <c r="B486" s="80"/>
      <c r="C486" s="211"/>
      <c r="D486" s="212"/>
      <c r="E486" s="790">
        <f t="shared" ref="E486:F486" si="0">SUM(E484:E485)</f>
        <v>185</v>
      </c>
      <c r="F486" s="791">
        <f t="shared" si="0"/>
        <v>-185</v>
      </c>
      <c r="G486" s="74"/>
      <c r="H486" s="412"/>
      <c r="I486" s="402">
        <f>+E486+F486</f>
        <v>0</v>
      </c>
    </row>
    <row r="487" spans="2:9" s="390" customFormat="1" ht="18" customHeight="1" x14ac:dyDescent="0.25">
      <c r="B487" s="387"/>
      <c r="C487" s="391"/>
      <c r="D487" s="392"/>
      <c r="E487" s="163"/>
      <c r="F487" s="163"/>
      <c r="G487" s="388"/>
      <c r="H487" s="409"/>
      <c r="I487" s="402"/>
    </row>
    <row r="488" spans="2:9" s="390" customFormat="1" ht="18" customHeight="1" x14ac:dyDescent="0.25">
      <c r="B488" s="387" t="s">
        <v>2313</v>
      </c>
      <c r="C488" s="391">
        <v>45385</v>
      </c>
      <c r="D488" s="392"/>
      <c r="E488" s="163">
        <f>85+85</f>
        <v>170</v>
      </c>
      <c r="F488" s="163">
        <v>0</v>
      </c>
      <c r="G488" s="388"/>
      <c r="H488" s="409"/>
      <c r="I488" s="402"/>
    </row>
    <row r="489" spans="2:9" s="390" customFormat="1" ht="18" customHeight="1" x14ac:dyDescent="0.25">
      <c r="B489" s="387"/>
      <c r="C489" s="391">
        <v>45422</v>
      </c>
      <c r="D489" s="392"/>
      <c r="E489" s="163"/>
      <c r="F489" s="163">
        <v>-125</v>
      </c>
      <c r="G489" s="388"/>
      <c r="H489" s="409"/>
      <c r="I489" s="402"/>
    </row>
    <row r="490" spans="2:9" s="390" customFormat="1" ht="18" customHeight="1" thickBot="1" x14ac:dyDescent="0.3">
      <c r="B490" s="387"/>
      <c r="C490" s="391">
        <v>45495</v>
      </c>
      <c r="D490" s="392"/>
      <c r="E490" s="163"/>
      <c r="F490" s="163">
        <v>-85</v>
      </c>
      <c r="G490" s="388"/>
      <c r="H490" s="409"/>
      <c r="I490" s="402"/>
    </row>
    <row r="491" spans="2:9" s="390" customFormat="1" ht="18" customHeight="1" thickBot="1" x14ac:dyDescent="0.3">
      <c r="B491" s="387"/>
      <c r="C491" s="391"/>
      <c r="D491" s="392"/>
      <c r="E491" s="735">
        <f>SUM(E488:E490)</f>
        <v>170</v>
      </c>
      <c r="F491" s="735">
        <f>SUM(F488:F490)</f>
        <v>-210</v>
      </c>
      <c r="G491" s="388"/>
      <c r="H491" s="409"/>
      <c r="I491" s="402">
        <f>+E491+F491</f>
        <v>-40</v>
      </c>
    </row>
    <row r="492" spans="2:9" s="390" customFormat="1" ht="18" hidden="1" customHeight="1" x14ac:dyDescent="0.25">
      <c r="B492" s="387"/>
      <c r="C492" s="391"/>
      <c r="D492" s="392"/>
      <c r="E492" s="163"/>
      <c r="F492" s="163"/>
      <c r="G492" s="388"/>
      <c r="H492" s="409"/>
      <c r="I492" s="402"/>
    </row>
    <row r="493" spans="2:9" s="390" customFormat="1" ht="18" hidden="1" customHeight="1" x14ac:dyDescent="0.25">
      <c r="B493" s="80" t="s">
        <v>941</v>
      </c>
      <c r="C493" s="211">
        <v>45385</v>
      </c>
      <c r="D493" s="212"/>
      <c r="E493" s="361">
        <f>110+20</f>
        <v>130</v>
      </c>
      <c r="F493" s="361">
        <v>0</v>
      </c>
      <c r="G493" s="74"/>
      <c r="H493" s="412"/>
      <c r="I493" s="402"/>
    </row>
    <row r="494" spans="2:9" s="390" customFormat="1" ht="18" hidden="1" customHeight="1" x14ac:dyDescent="0.25">
      <c r="B494" s="80"/>
      <c r="C494" s="211">
        <v>45393</v>
      </c>
      <c r="D494" s="212"/>
      <c r="E494" s="361"/>
      <c r="F494" s="361">
        <v>-40</v>
      </c>
      <c r="G494" s="412" t="s">
        <v>2398</v>
      </c>
      <c r="H494" s="412"/>
      <c r="I494" s="402"/>
    </row>
    <row r="495" spans="2:9" s="390" customFormat="1" ht="18" hidden="1" customHeight="1" x14ac:dyDescent="0.25">
      <c r="B495" s="80"/>
      <c r="C495" s="211">
        <v>45432</v>
      </c>
      <c r="D495" s="212"/>
      <c r="E495" s="361">
        <v>200</v>
      </c>
      <c r="F495" s="361">
        <v>-100</v>
      </c>
      <c r="G495" s="74"/>
      <c r="H495" s="412"/>
      <c r="I495" s="402"/>
    </row>
    <row r="496" spans="2:9" s="390" customFormat="1" ht="18" hidden="1" customHeight="1" x14ac:dyDescent="0.25">
      <c r="B496" s="80"/>
      <c r="C496" s="211">
        <v>45450</v>
      </c>
      <c r="D496" s="212"/>
      <c r="E496" s="361"/>
      <c r="F496" s="361">
        <v>-100</v>
      </c>
      <c r="G496" s="74"/>
      <c r="H496" s="412"/>
      <c r="I496" s="402"/>
    </row>
    <row r="497" spans="2:12" s="390" customFormat="1" ht="18" hidden="1" customHeight="1" thickBot="1" x14ac:dyDescent="0.3">
      <c r="B497" s="80"/>
      <c r="C497" s="211">
        <v>45459</v>
      </c>
      <c r="D497" s="212"/>
      <c r="E497" s="361"/>
      <c r="F497" s="361">
        <v>-90</v>
      </c>
      <c r="G497" s="74"/>
      <c r="H497" s="412"/>
      <c r="I497" s="402"/>
    </row>
    <row r="498" spans="2:12" s="390" customFormat="1" ht="18" hidden="1" customHeight="1" thickBot="1" x14ac:dyDescent="0.3">
      <c r="B498" s="80"/>
      <c r="C498" s="211"/>
      <c r="D498" s="212"/>
      <c r="E498" s="790">
        <f>SUM(E493:E495)</f>
        <v>330</v>
      </c>
      <c r="F498" s="790">
        <f>SUM(F493:F497)</f>
        <v>-330</v>
      </c>
      <c r="G498" s="74"/>
      <c r="H498" s="412"/>
      <c r="I498" s="402">
        <f>+E498+F498</f>
        <v>0</v>
      </c>
    </row>
    <row r="499" spans="2:12" s="390" customFormat="1" ht="18" customHeight="1" x14ac:dyDescent="0.25">
      <c r="B499" s="387"/>
      <c r="C499" s="391"/>
      <c r="D499" s="392"/>
      <c r="E499" s="163"/>
      <c r="F499" s="163"/>
      <c r="G499" s="388"/>
      <c r="H499" s="409"/>
      <c r="I499" s="402"/>
    </row>
    <row r="500" spans="2:12" s="390" customFormat="1" ht="18" customHeight="1" x14ac:dyDescent="0.25">
      <c r="B500" s="387" t="s">
        <v>568</v>
      </c>
      <c r="C500" s="391">
        <v>45388</v>
      </c>
      <c r="D500" s="392"/>
      <c r="E500" s="163">
        <v>145</v>
      </c>
      <c r="F500" s="163">
        <v>-50</v>
      </c>
      <c r="G500" s="388"/>
      <c r="H500" s="409"/>
      <c r="I500" s="402"/>
    </row>
    <row r="501" spans="2:12" s="390" customFormat="1" ht="18" customHeight="1" x14ac:dyDescent="0.25">
      <c r="B501" s="387"/>
      <c r="C501" s="391">
        <v>45426</v>
      </c>
      <c r="D501" s="392"/>
      <c r="E501" s="163">
        <v>125</v>
      </c>
      <c r="F501" s="163">
        <v>-100</v>
      </c>
      <c r="G501" s="388"/>
      <c r="H501" s="409"/>
      <c r="I501" s="402"/>
    </row>
    <row r="502" spans="2:12" s="390" customFormat="1" ht="18" customHeight="1" x14ac:dyDescent="0.25">
      <c r="B502" s="387"/>
      <c r="C502" s="391">
        <v>45433</v>
      </c>
      <c r="D502" s="392"/>
      <c r="E502" s="163"/>
      <c r="F502" s="163">
        <v>-100</v>
      </c>
      <c r="G502" s="388"/>
      <c r="H502" s="409"/>
      <c r="I502" s="402"/>
    </row>
    <row r="503" spans="2:12" s="390" customFormat="1" ht="18" customHeight="1" x14ac:dyDescent="0.25">
      <c r="B503" s="387"/>
      <c r="C503" s="391">
        <v>45456</v>
      </c>
      <c r="D503" s="392"/>
      <c r="E503" s="163">
        <v>110</v>
      </c>
      <c r="F503" s="163"/>
      <c r="G503" s="388"/>
      <c r="H503" s="409"/>
      <c r="I503" s="402"/>
    </row>
    <row r="504" spans="2:12" s="390" customFormat="1" ht="18" customHeight="1" thickBot="1" x14ac:dyDescent="0.3">
      <c r="B504" s="387"/>
      <c r="C504" s="391">
        <v>45503</v>
      </c>
      <c r="D504" s="392"/>
      <c r="E504" s="163"/>
      <c r="F504" s="163">
        <v>-100</v>
      </c>
      <c r="G504" s="388"/>
      <c r="H504" s="409"/>
      <c r="I504" s="402"/>
    </row>
    <row r="505" spans="2:12" s="390" customFormat="1" ht="18" customHeight="1" thickBot="1" x14ac:dyDescent="0.3">
      <c r="B505" s="387"/>
      <c r="C505" s="391"/>
      <c r="D505" s="392"/>
      <c r="E505" s="735">
        <f>SUM(E500:E504)</f>
        <v>380</v>
      </c>
      <c r="F505" s="736">
        <f>SUM(F500:F504)</f>
        <v>-350</v>
      </c>
      <c r="G505" s="388"/>
      <c r="H505" s="409"/>
      <c r="I505" s="402">
        <f>+E505+F505</f>
        <v>30</v>
      </c>
    </row>
    <row r="506" spans="2:12" s="390" customFormat="1" ht="18" customHeight="1" x14ac:dyDescent="0.25">
      <c r="B506" s="387"/>
      <c r="C506" s="391"/>
      <c r="D506" s="392"/>
      <c r="E506" s="163"/>
      <c r="F506" s="163"/>
      <c r="G506" s="388"/>
      <c r="H506" s="409"/>
      <c r="I506" s="402"/>
      <c r="L506" s="390">
        <f>4000/14</f>
        <v>285.71428571428572</v>
      </c>
    </row>
    <row r="507" spans="2:12" s="390" customFormat="1" ht="18" customHeight="1" x14ac:dyDescent="0.25">
      <c r="B507" s="387" t="s">
        <v>2412</v>
      </c>
      <c r="C507" s="391">
        <v>45398</v>
      </c>
      <c r="D507" s="392"/>
      <c r="E507" s="163">
        <v>475</v>
      </c>
      <c r="F507" s="163">
        <v>0</v>
      </c>
      <c r="G507" s="388"/>
      <c r="H507" s="409"/>
      <c r="I507" s="402"/>
    </row>
    <row r="508" spans="2:12" s="390" customFormat="1" ht="18" customHeight="1" x14ac:dyDescent="0.25">
      <c r="B508" s="387"/>
      <c r="C508" s="391">
        <v>45449</v>
      </c>
      <c r="D508" s="392"/>
      <c r="E508" s="163">
        <v>50</v>
      </c>
      <c r="F508" s="163">
        <v>-100</v>
      </c>
      <c r="G508" s="388"/>
      <c r="H508" s="409"/>
      <c r="I508" s="402"/>
    </row>
    <row r="509" spans="2:12" s="390" customFormat="1" ht="18" customHeight="1" x14ac:dyDescent="0.25">
      <c r="B509" s="387"/>
      <c r="C509" s="391">
        <v>45496</v>
      </c>
      <c r="D509" s="392"/>
      <c r="E509" s="163">
        <v>65</v>
      </c>
      <c r="F509" s="163">
        <v>-150</v>
      </c>
      <c r="G509" s="388"/>
      <c r="H509" s="409"/>
      <c r="I509" s="402"/>
    </row>
    <row r="510" spans="2:12" s="390" customFormat="1" ht="18" customHeight="1" thickBot="1" x14ac:dyDescent="0.3">
      <c r="B510" s="387"/>
      <c r="C510" s="391"/>
      <c r="D510" s="392"/>
      <c r="E510" s="163"/>
      <c r="F510" s="163"/>
      <c r="G510" s="388"/>
      <c r="H510" s="409"/>
      <c r="I510" s="402"/>
    </row>
    <row r="511" spans="2:12" s="390" customFormat="1" ht="18" customHeight="1" thickBot="1" x14ac:dyDescent="0.3">
      <c r="B511" s="387"/>
      <c r="C511" s="391"/>
      <c r="D511" s="392"/>
      <c r="E511" s="735">
        <f>SUM(E507:E510)</f>
        <v>590</v>
      </c>
      <c r="F511" s="735">
        <f>SUM(F507:F510)</f>
        <v>-250</v>
      </c>
      <c r="G511" s="388"/>
      <c r="H511" s="409"/>
      <c r="I511" s="402">
        <f>+E511+F511</f>
        <v>340</v>
      </c>
    </row>
    <row r="512" spans="2:12" s="390" customFormat="1" ht="18" hidden="1" customHeight="1" x14ac:dyDescent="0.25">
      <c r="B512" s="387"/>
      <c r="C512" s="391"/>
      <c r="D512" s="392"/>
      <c r="E512" s="163"/>
      <c r="F512" s="163"/>
      <c r="G512" s="388"/>
      <c r="H512" s="409"/>
      <c r="I512" s="402"/>
    </row>
    <row r="513" spans="2:9" s="390" customFormat="1" ht="18" hidden="1" customHeight="1" x14ac:dyDescent="0.25">
      <c r="B513" s="80" t="s">
        <v>1347</v>
      </c>
      <c r="C513" s="211">
        <v>45404</v>
      </c>
      <c r="D513" s="212"/>
      <c r="E513" s="361">
        <v>330</v>
      </c>
      <c r="F513" s="361">
        <v>0</v>
      </c>
      <c r="G513" s="74"/>
      <c r="H513" s="412"/>
      <c r="I513" s="402"/>
    </row>
    <row r="514" spans="2:9" s="390" customFormat="1" ht="18" hidden="1" customHeight="1" x14ac:dyDescent="0.25">
      <c r="B514" s="80"/>
      <c r="C514" s="211">
        <v>45430</v>
      </c>
      <c r="D514" s="212"/>
      <c r="E514" s="361">
        <v>90</v>
      </c>
      <c r="F514" s="361">
        <v>-160</v>
      </c>
      <c r="G514" s="74"/>
      <c r="H514" s="412"/>
      <c r="I514" s="402"/>
    </row>
    <row r="515" spans="2:9" s="390" customFormat="1" ht="18" hidden="1" customHeight="1" thickBot="1" x14ac:dyDescent="0.3">
      <c r="B515" s="80"/>
      <c r="C515" s="211">
        <v>45484</v>
      </c>
      <c r="D515" s="212"/>
      <c r="E515" s="361"/>
      <c r="F515" s="361">
        <v>-260</v>
      </c>
      <c r="G515" s="74"/>
      <c r="H515" s="412"/>
      <c r="I515" s="402"/>
    </row>
    <row r="516" spans="2:9" s="390" customFormat="1" ht="18" hidden="1" customHeight="1" thickBot="1" x14ac:dyDescent="0.3">
      <c r="B516" s="80"/>
      <c r="C516" s="211"/>
      <c r="D516" s="212"/>
      <c r="E516" s="790">
        <f>SUM(E513:E515)</f>
        <v>420</v>
      </c>
      <c r="F516" s="791">
        <f>SUM(F513:F515)</f>
        <v>-420</v>
      </c>
      <c r="G516" s="74"/>
      <c r="H516" s="412"/>
      <c r="I516" s="402">
        <f>+E516+F516</f>
        <v>0</v>
      </c>
    </row>
    <row r="517" spans="2:9" s="390" customFormat="1" ht="18" hidden="1" customHeight="1" x14ac:dyDescent="0.25">
      <c r="B517" s="387"/>
      <c r="C517" s="391"/>
      <c r="D517" s="392"/>
      <c r="E517" s="163"/>
      <c r="F517" s="163"/>
      <c r="G517" s="388"/>
      <c r="H517" s="409"/>
      <c r="I517" s="402"/>
    </row>
    <row r="518" spans="2:9" s="390" customFormat="1" ht="18" hidden="1" customHeight="1" x14ac:dyDescent="0.25">
      <c r="B518" s="80" t="s">
        <v>2069</v>
      </c>
      <c r="C518" s="211">
        <v>45404</v>
      </c>
      <c r="D518" s="212"/>
      <c r="E518" s="361">
        <v>150</v>
      </c>
      <c r="F518" s="361">
        <v>0</v>
      </c>
      <c r="G518" s="74"/>
      <c r="H518" s="412"/>
      <c r="I518" s="402"/>
    </row>
    <row r="519" spans="2:9" s="390" customFormat="1" ht="18" hidden="1" customHeight="1" x14ac:dyDescent="0.25">
      <c r="B519" s="80"/>
      <c r="C519" s="211">
        <v>45434</v>
      </c>
      <c r="D519" s="212"/>
      <c r="E519" s="361"/>
      <c r="F519" s="361">
        <v>-70</v>
      </c>
      <c r="G519" s="74"/>
      <c r="H519" s="412"/>
      <c r="I519" s="402"/>
    </row>
    <row r="520" spans="2:9" s="390" customFormat="1" ht="18" hidden="1" customHeight="1" thickBot="1" x14ac:dyDescent="0.3">
      <c r="B520" s="80"/>
      <c r="C520" s="211">
        <v>45456</v>
      </c>
      <c r="D520" s="212"/>
      <c r="E520" s="361">
        <v>100</v>
      </c>
      <c r="F520" s="361"/>
      <c r="G520" s="74"/>
      <c r="H520" s="412"/>
      <c r="I520" s="402"/>
    </row>
    <row r="521" spans="2:9" s="390" customFormat="1" ht="18" hidden="1" customHeight="1" thickBot="1" x14ac:dyDescent="0.3">
      <c r="B521" s="80"/>
      <c r="C521" s="211"/>
      <c r="D521" s="212"/>
      <c r="E521" s="790">
        <f>SUM(E518:E520)</f>
        <v>250</v>
      </c>
      <c r="F521" s="790">
        <f>SUM(F518:F520)</f>
        <v>-70</v>
      </c>
      <c r="G521" s="74"/>
      <c r="H521" s="412"/>
      <c r="I521" s="402">
        <f>+E521+F521</f>
        <v>180</v>
      </c>
    </row>
    <row r="522" spans="2:9" s="390" customFormat="1" ht="18" customHeight="1" x14ac:dyDescent="0.25">
      <c r="B522" s="387"/>
      <c r="C522" s="391"/>
      <c r="D522" s="392"/>
      <c r="E522" s="163"/>
      <c r="F522" s="163"/>
      <c r="G522" s="388"/>
      <c r="H522" s="409"/>
      <c r="I522" s="402"/>
    </row>
    <row r="523" spans="2:9" s="390" customFormat="1" ht="18" customHeight="1" x14ac:dyDescent="0.25">
      <c r="B523" s="387" t="s">
        <v>2494</v>
      </c>
      <c r="C523" s="391" t="s">
        <v>2495</v>
      </c>
      <c r="D523" s="392"/>
      <c r="E523" s="163">
        <v>385</v>
      </c>
      <c r="F523" s="163">
        <v>0</v>
      </c>
      <c r="G523" s="388"/>
      <c r="H523" s="409"/>
      <c r="I523" s="402"/>
    </row>
    <row r="524" spans="2:9" s="390" customFormat="1" ht="18" customHeight="1" x14ac:dyDescent="0.25">
      <c r="B524" s="387"/>
      <c r="C524" s="391">
        <v>45414</v>
      </c>
      <c r="D524" s="392"/>
      <c r="E524" s="163"/>
      <c r="F524" s="163">
        <v>-150</v>
      </c>
      <c r="G524" s="388"/>
      <c r="H524" s="409"/>
      <c r="I524" s="402"/>
    </row>
    <row r="525" spans="2:9" s="390" customFormat="1" ht="18" customHeight="1" x14ac:dyDescent="0.25">
      <c r="B525" s="387"/>
      <c r="C525" s="391">
        <v>45445</v>
      </c>
      <c r="D525" s="392"/>
      <c r="E525" s="163"/>
      <c r="F525" s="163">
        <v>-100</v>
      </c>
      <c r="G525" s="388"/>
      <c r="H525" s="409"/>
      <c r="I525" s="402"/>
    </row>
    <row r="526" spans="2:9" s="390" customFormat="1" ht="18" customHeight="1" x14ac:dyDescent="0.25">
      <c r="B526" s="387"/>
      <c r="C526" s="391">
        <v>45479</v>
      </c>
      <c r="D526" s="392"/>
      <c r="E526" s="163"/>
      <c r="F526" s="163">
        <v>-70</v>
      </c>
      <c r="G526" s="388"/>
      <c r="H526" s="409"/>
      <c r="I526" s="402"/>
    </row>
    <row r="527" spans="2:9" s="390" customFormat="1" ht="18" customHeight="1" thickBot="1" x14ac:dyDescent="0.3">
      <c r="B527" s="387"/>
      <c r="C527" s="391"/>
      <c r="D527" s="392"/>
      <c r="E527" s="163"/>
      <c r="F527" s="163"/>
      <c r="G527" s="388"/>
      <c r="H527" s="409"/>
      <c r="I527" s="402"/>
    </row>
    <row r="528" spans="2:9" s="390" customFormat="1" ht="18" customHeight="1" thickBot="1" x14ac:dyDescent="0.3">
      <c r="B528" s="387"/>
      <c r="C528" s="391"/>
      <c r="D528" s="392"/>
      <c r="E528" s="735">
        <f>SUM(E523:E525)</f>
        <v>385</v>
      </c>
      <c r="F528" s="735">
        <f>SUM(F523:F527)</f>
        <v>-320</v>
      </c>
      <c r="G528" s="388"/>
      <c r="H528" s="409"/>
      <c r="I528" s="402">
        <f>+E528+F528</f>
        <v>65</v>
      </c>
    </row>
    <row r="529" spans="2:9" s="390" customFormat="1" ht="18" hidden="1" customHeight="1" x14ac:dyDescent="0.25">
      <c r="B529" s="387"/>
      <c r="C529" s="391"/>
      <c r="D529" s="392"/>
      <c r="E529" s="163"/>
      <c r="F529" s="163"/>
      <c r="G529" s="388"/>
      <c r="H529" s="409"/>
      <c r="I529" s="402"/>
    </row>
    <row r="530" spans="2:9" s="390" customFormat="1" ht="18" hidden="1" customHeight="1" x14ac:dyDescent="0.25">
      <c r="B530" s="80" t="s">
        <v>2498</v>
      </c>
      <c r="C530" s="211">
        <v>45406</v>
      </c>
      <c r="D530" s="212"/>
      <c r="E530" s="361">
        <v>430</v>
      </c>
      <c r="F530" s="361">
        <v>-270</v>
      </c>
      <c r="G530" s="74"/>
      <c r="H530" s="412"/>
      <c r="I530" s="402"/>
    </row>
    <row r="531" spans="2:9" s="390" customFormat="1" ht="18" hidden="1" customHeight="1" x14ac:dyDescent="0.25">
      <c r="B531" s="80"/>
      <c r="C531" s="211">
        <v>45472</v>
      </c>
      <c r="D531" s="212"/>
      <c r="E531" s="361"/>
      <c r="F531" s="361">
        <v>-160</v>
      </c>
      <c r="G531" s="74"/>
      <c r="H531" s="412"/>
      <c r="I531" s="402"/>
    </row>
    <row r="532" spans="2:9" s="390" customFormat="1" ht="18" hidden="1" customHeight="1" thickBot="1" x14ac:dyDescent="0.3">
      <c r="B532" s="80"/>
      <c r="C532" s="211"/>
      <c r="D532" s="212"/>
      <c r="E532" s="361"/>
      <c r="F532" s="361"/>
      <c r="G532" s="74"/>
      <c r="H532" s="412"/>
      <c r="I532" s="402"/>
    </row>
    <row r="533" spans="2:9" s="390" customFormat="1" ht="18" hidden="1" customHeight="1" thickBot="1" x14ac:dyDescent="0.3">
      <c r="B533" s="80"/>
      <c r="C533" s="211"/>
      <c r="D533" s="212"/>
      <c r="E533" s="790">
        <f>SUM(E530:E532)</f>
        <v>430</v>
      </c>
      <c r="F533" s="791">
        <f>SUM(F530:F532)</f>
        <v>-430</v>
      </c>
      <c r="G533" s="74"/>
      <c r="H533" s="412"/>
      <c r="I533" s="402">
        <f>+E533+F533</f>
        <v>0</v>
      </c>
    </row>
    <row r="534" spans="2:9" s="390" customFormat="1" ht="18" customHeight="1" x14ac:dyDescent="0.25">
      <c r="B534" s="387"/>
      <c r="C534" s="391"/>
      <c r="D534" s="392"/>
      <c r="E534" s="163"/>
      <c r="F534" s="163"/>
      <c r="G534" s="388"/>
      <c r="H534" s="409"/>
      <c r="I534" s="402"/>
    </row>
    <row r="535" spans="2:9" s="390" customFormat="1" ht="18" customHeight="1" x14ac:dyDescent="0.25">
      <c r="B535" s="376" t="s">
        <v>486</v>
      </c>
      <c r="C535" s="391">
        <v>45418</v>
      </c>
      <c r="D535" s="392"/>
      <c r="E535" s="163">
        <v>390</v>
      </c>
      <c r="F535" s="163">
        <v>0</v>
      </c>
      <c r="G535" s="388"/>
      <c r="H535" s="409"/>
      <c r="I535" s="402"/>
    </row>
    <row r="536" spans="2:9" s="390" customFormat="1" ht="18" customHeight="1" x14ac:dyDescent="0.25">
      <c r="B536" s="387"/>
      <c r="C536" s="391">
        <v>45445</v>
      </c>
      <c r="D536" s="392"/>
      <c r="E536" s="163"/>
      <c r="F536" s="163">
        <v>-60</v>
      </c>
      <c r="G536" s="388"/>
      <c r="H536" s="409"/>
      <c r="I536" s="402"/>
    </row>
    <row r="537" spans="2:9" s="390" customFormat="1" ht="18" customHeight="1" x14ac:dyDescent="0.25">
      <c r="B537" s="387"/>
      <c r="C537" s="391">
        <v>45453</v>
      </c>
      <c r="D537" s="392"/>
      <c r="E537" s="163"/>
      <c r="F537" s="163">
        <v>-130</v>
      </c>
      <c r="G537" s="388"/>
      <c r="H537" s="409"/>
      <c r="I537" s="402"/>
    </row>
    <row r="538" spans="2:9" s="390" customFormat="1" ht="18" customHeight="1" x14ac:dyDescent="0.25">
      <c r="B538" s="387"/>
      <c r="C538" s="391">
        <v>45479</v>
      </c>
      <c r="D538" s="392"/>
      <c r="E538" s="163"/>
      <c r="F538" s="163">
        <v>-72</v>
      </c>
      <c r="G538" s="388" t="s">
        <v>2922</v>
      </c>
      <c r="H538" s="409"/>
      <c r="I538" s="402"/>
    </row>
    <row r="539" spans="2:9" s="390" customFormat="1" ht="18" customHeight="1" thickBot="1" x14ac:dyDescent="0.3">
      <c r="B539" s="387"/>
      <c r="C539" s="391"/>
      <c r="D539" s="392"/>
      <c r="E539" s="163"/>
      <c r="F539" s="163"/>
      <c r="G539" s="388"/>
      <c r="H539" s="409"/>
      <c r="I539" s="402"/>
    </row>
    <row r="540" spans="2:9" s="390" customFormat="1" ht="18" customHeight="1" thickBot="1" x14ac:dyDescent="0.3">
      <c r="B540" s="387"/>
      <c r="C540" s="391"/>
      <c r="D540" s="392"/>
      <c r="E540" s="735">
        <f>SUM(E535:E537)</f>
        <v>390</v>
      </c>
      <c r="F540" s="735">
        <f>SUM(F535:F539)</f>
        <v>-262</v>
      </c>
      <c r="G540" s="388"/>
      <c r="H540" s="409"/>
      <c r="I540" s="402">
        <f>+E540+F540</f>
        <v>128</v>
      </c>
    </row>
    <row r="541" spans="2:9" s="390" customFormat="1" ht="18" customHeight="1" x14ac:dyDescent="0.25">
      <c r="B541" s="387"/>
      <c r="C541" s="391"/>
      <c r="D541" s="392"/>
      <c r="E541" s="163"/>
      <c r="F541" s="163"/>
      <c r="G541" s="388"/>
      <c r="H541" s="409"/>
      <c r="I541" s="402"/>
    </row>
    <row r="542" spans="2:9" s="390" customFormat="1" ht="18" hidden="1" customHeight="1" x14ac:dyDescent="0.25">
      <c r="B542" s="80" t="s">
        <v>2712</v>
      </c>
      <c r="C542" s="211">
        <v>45434</v>
      </c>
      <c r="D542" s="212"/>
      <c r="E542" s="361">
        <v>110</v>
      </c>
      <c r="F542" s="361">
        <v>-6</v>
      </c>
      <c r="G542" s="74"/>
      <c r="H542" s="412"/>
      <c r="I542" s="402"/>
    </row>
    <row r="543" spans="2:9" s="390" customFormat="1" ht="18" hidden="1" customHeight="1" x14ac:dyDescent="0.25">
      <c r="B543" s="80"/>
      <c r="C543" s="211">
        <v>45482</v>
      </c>
      <c r="D543" s="212"/>
      <c r="E543" s="361"/>
      <c r="F543" s="361">
        <v>-50</v>
      </c>
      <c r="G543" s="74"/>
      <c r="H543" s="412"/>
      <c r="I543" s="402"/>
    </row>
    <row r="544" spans="2:9" s="390" customFormat="1" ht="18" hidden="1" customHeight="1" thickBot="1" x14ac:dyDescent="0.3">
      <c r="B544" s="80"/>
      <c r="C544" s="211" t="s">
        <v>152</v>
      </c>
      <c r="D544" s="212"/>
      <c r="E544" s="361"/>
      <c r="F544" s="361">
        <v>-54</v>
      </c>
      <c r="G544" s="74"/>
      <c r="H544" s="412"/>
      <c r="I544" s="402"/>
    </row>
    <row r="545" spans="2:9" s="390" customFormat="1" ht="18" hidden="1" customHeight="1" thickBot="1" x14ac:dyDescent="0.3">
      <c r="B545" s="80"/>
      <c r="C545" s="211"/>
      <c r="D545" s="212"/>
      <c r="E545" s="790">
        <f>SUM(E542:E543)</f>
        <v>110</v>
      </c>
      <c r="F545" s="790">
        <f>SUM(F542:F544)</f>
        <v>-110</v>
      </c>
      <c r="G545" s="74"/>
      <c r="H545" s="412"/>
      <c r="I545" s="402">
        <f>+E545+F545</f>
        <v>0</v>
      </c>
    </row>
    <row r="546" spans="2:9" s="390" customFormat="1" ht="18" hidden="1" customHeight="1" x14ac:dyDescent="0.25">
      <c r="B546" s="387"/>
      <c r="C546" s="391"/>
      <c r="D546" s="392"/>
      <c r="E546" s="163"/>
      <c r="F546" s="163"/>
      <c r="G546" s="388"/>
      <c r="H546" s="409"/>
      <c r="I546" s="402"/>
    </row>
    <row r="547" spans="2:9" s="390" customFormat="1" ht="18" hidden="1" customHeight="1" x14ac:dyDescent="0.25">
      <c r="B547" s="80" t="s">
        <v>2713</v>
      </c>
      <c r="C547" s="211">
        <v>45434</v>
      </c>
      <c r="D547" s="212"/>
      <c r="E547" s="361">
        <v>125</v>
      </c>
      <c r="F547" s="361">
        <v>0</v>
      </c>
      <c r="G547" s="74"/>
      <c r="H547" s="412"/>
      <c r="I547" s="402"/>
    </row>
    <row r="548" spans="2:9" s="390" customFormat="1" ht="18" hidden="1" customHeight="1" x14ac:dyDescent="0.25">
      <c r="B548" s="80"/>
      <c r="C548" s="211">
        <v>45451</v>
      </c>
      <c r="D548" s="212"/>
      <c r="E548" s="361"/>
      <c r="F548" s="361">
        <v>-120</v>
      </c>
      <c r="G548" s="74"/>
      <c r="H548" s="412"/>
      <c r="I548" s="402"/>
    </row>
    <row r="549" spans="2:9" s="390" customFormat="1" ht="18" hidden="1" customHeight="1" thickBot="1" x14ac:dyDescent="0.3">
      <c r="B549" s="80"/>
      <c r="C549" s="211"/>
      <c r="D549" s="212"/>
      <c r="E549" s="361"/>
      <c r="F549" s="361">
        <v>-5</v>
      </c>
      <c r="G549" s="74"/>
      <c r="H549" s="412" t="s">
        <v>2921</v>
      </c>
      <c r="I549" s="402"/>
    </row>
    <row r="550" spans="2:9" s="390" customFormat="1" ht="18" hidden="1" customHeight="1" thickBot="1" x14ac:dyDescent="0.3">
      <c r="B550" s="80"/>
      <c r="C550" s="211"/>
      <c r="D550" s="212"/>
      <c r="E550" s="790">
        <f t="shared" ref="E550" si="1">SUM(E547:E548)</f>
        <v>125</v>
      </c>
      <c r="F550" s="791">
        <f>SUM(F547:F549)</f>
        <v>-125</v>
      </c>
      <c r="G550" s="74"/>
      <c r="H550" s="412"/>
      <c r="I550" s="402">
        <f>+E550+F550</f>
        <v>0</v>
      </c>
    </row>
    <row r="551" spans="2:9" s="390" customFormat="1" ht="18" hidden="1" customHeight="1" x14ac:dyDescent="0.25">
      <c r="B551" s="387"/>
      <c r="C551" s="391"/>
      <c r="D551" s="392"/>
      <c r="E551" s="163"/>
      <c r="F551" s="163"/>
      <c r="G551" s="388"/>
      <c r="H551" s="409"/>
      <c r="I551" s="402"/>
    </row>
    <row r="552" spans="2:9" s="390" customFormat="1" ht="18" hidden="1" customHeight="1" x14ac:dyDescent="0.25">
      <c r="B552" s="80" t="s">
        <v>2714</v>
      </c>
      <c r="C552" s="211">
        <v>45435</v>
      </c>
      <c r="D552" s="212"/>
      <c r="E552" s="361">
        <v>180</v>
      </c>
      <c r="F552" s="361">
        <v>0</v>
      </c>
      <c r="G552" s="74"/>
      <c r="H552" s="412"/>
      <c r="I552" s="402"/>
    </row>
    <row r="553" spans="2:9" s="390" customFormat="1" ht="18" hidden="1" customHeight="1" x14ac:dyDescent="0.25">
      <c r="B553" s="80"/>
      <c r="C553" s="211">
        <v>45441</v>
      </c>
      <c r="D553" s="212"/>
      <c r="E553" s="361"/>
      <c r="F553" s="361">
        <v>-100</v>
      </c>
      <c r="G553" s="74"/>
      <c r="H553" s="412"/>
      <c r="I553" s="402"/>
    </row>
    <row r="554" spans="2:9" s="390" customFormat="1" ht="18" hidden="1" customHeight="1" thickBot="1" x14ac:dyDescent="0.3">
      <c r="B554" s="80"/>
      <c r="C554" s="211">
        <v>45477</v>
      </c>
      <c r="D554" s="212"/>
      <c r="E554" s="361"/>
      <c r="F554" s="361">
        <v>-80</v>
      </c>
      <c r="G554" s="74"/>
      <c r="H554" s="412"/>
      <c r="I554" s="402"/>
    </row>
    <row r="555" spans="2:9" s="390" customFormat="1" ht="18" hidden="1" customHeight="1" thickBot="1" x14ac:dyDescent="0.3">
      <c r="B555" s="80"/>
      <c r="C555" s="211"/>
      <c r="D555" s="212"/>
      <c r="E555" s="790">
        <f>SUM(E552:E554)</f>
        <v>180</v>
      </c>
      <c r="F555" s="791">
        <f t="shared" ref="F555" si="2">SUM(F552:F554)</f>
        <v>-180</v>
      </c>
      <c r="G555" s="74"/>
      <c r="H555" s="412"/>
      <c r="I555" s="402">
        <f>+E555+F555</f>
        <v>0</v>
      </c>
    </row>
    <row r="556" spans="2:9" s="390" customFormat="1" ht="18" hidden="1" customHeight="1" x14ac:dyDescent="0.25">
      <c r="B556" s="387"/>
      <c r="C556" s="391"/>
      <c r="D556" s="392"/>
      <c r="E556" s="163"/>
      <c r="F556" s="163"/>
      <c r="G556" s="388"/>
      <c r="H556" s="409"/>
      <c r="I556" s="402"/>
    </row>
    <row r="557" spans="2:9" s="390" customFormat="1" ht="18" customHeight="1" x14ac:dyDescent="0.25">
      <c r="B557" s="387" t="s">
        <v>2719</v>
      </c>
      <c r="C557" s="391">
        <v>45440</v>
      </c>
      <c r="D557" s="392"/>
      <c r="E557" s="163">
        <v>85</v>
      </c>
      <c r="F557" s="163">
        <v>0</v>
      </c>
      <c r="G557" s="388"/>
      <c r="H557" s="409"/>
      <c r="I557" s="402"/>
    </row>
    <row r="558" spans="2:9" s="390" customFormat="1" ht="18" customHeight="1" x14ac:dyDescent="0.25">
      <c r="B558" s="387"/>
      <c r="C558" s="391">
        <v>45455</v>
      </c>
      <c r="D558" s="392"/>
      <c r="E558" s="163"/>
      <c r="F558" s="163">
        <v>-50</v>
      </c>
      <c r="G558" s="388"/>
      <c r="H558" s="409"/>
      <c r="I558" s="402"/>
    </row>
    <row r="559" spans="2:9" s="390" customFormat="1" ht="18" customHeight="1" x14ac:dyDescent="0.25">
      <c r="B559" s="387"/>
      <c r="C559" s="391">
        <v>45465</v>
      </c>
      <c r="D559" s="392"/>
      <c r="E559" s="163">
        <v>45</v>
      </c>
      <c r="F559" s="163">
        <v>-20</v>
      </c>
      <c r="G559" s="388"/>
      <c r="H559" s="409"/>
      <c r="I559" s="402"/>
    </row>
    <row r="560" spans="2:9" s="390" customFormat="1" ht="18" customHeight="1" thickBot="1" x14ac:dyDescent="0.3">
      <c r="B560" s="387"/>
      <c r="C560" s="391">
        <v>45500</v>
      </c>
      <c r="D560" s="392"/>
      <c r="E560" s="163"/>
      <c r="F560" s="163">
        <v>-35</v>
      </c>
      <c r="G560" s="388"/>
      <c r="H560" s="409"/>
      <c r="I560" s="402"/>
    </row>
    <row r="561" spans="2:9" s="390" customFormat="1" ht="18" customHeight="1" thickBot="1" x14ac:dyDescent="0.3">
      <c r="B561" s="387"/>
      <c r="C561" s="391"/>
      <c r="D561" s="392"/>
      <c r="E561" s="735">
        <f>SUM(E557:E559)</f>
        <v>130</v>
      </c>
      <c r="F561" s="736">
        <f>SUM(F557:F560)</f>
        <v>-105</v>
      </c>
      <c r="G561" s="388"/>
      <c r="H561" s="409"/>
      <c r="I561" s="402">
        <f>+E561+F561</f>
        <v>25</v>
      </c>
    </row>
    <row r="562" spans="2:9" s="390" customFormat="1" ht="18" hidden="1" customHeight="1" x14ac:dyDescent="0.25">
      <c r="B562" s="387"/>
      <c r="C562" s="391"/>
      <c r="D562" s="392"/>
      <c r="E562" s="163"/>
      <c r="F562" s="163"/>
      <c r="G562" s="388"/>
      <c r="H562" s="409"/>
      <c r="I562" s="402"/>
    </row>
    <row r="563" spans="2:9" s="390" customFormat="1" ht="18" hidden="1" customHeight="1" x14ac:dyDescent="0.25">
      <c r="B563" s="80" t="s">
        <v>2721</v>
      </c>
      <c r="C563" s="211">
        <v>45443</v>
      </c>
      <c r="D563" s="212"/>
      <c r="E563" s="361">
        <v>90</v>
      </c>
      <c r="F563" s="361">
        <v>0</v>
      </c>
      <c r="G563" s="74"/>
      <c r="H563" s="412"/>
      <c r="I563" s="402"/>
    </row>
    <row r="564" spans="2:9" s="390" customFormat="1" ht="18" hidden="1" customHeight="1" thickBot="1" x14ac:dyDescent="0.3">
      <c r="B564" s="80"/>
      <c r="C564" s="211">
        <v>45467</v>
      </c>
      <c r="D564" s="212"/>
      <c r="E564" s="361"/>
      <c r="F564" s="361">
        <v>-90</v>
      </c>
      <c r="G564" s="74"/>
      <c r="H564" s="412"/>
      <c r="I564" s="402"/>
    </row>
    <row r="565" spans="2:9" s="390" customFormat="1" ht="18" hidden="1" customHeight="1" thickBot="1" x14ac:dyDescent="0.3">
      <c r="B565" s="80"/>
      <c r="C565" s="211"/>
      <c r="D565" s="212"/>
      <c r="E565" s="790">
        <f t="shared" ref="E565:F565" si="3">SUM(E563:E564)</f>
        <v>90</v>
      </c>
      <c r="F565" s="791">
        <f t="shared" si="3"/>
        <v>-90</v>
      </c>
      <c r="G565" s="74"/>
      <c r="H565" s="412"/>
      <c r="I565" s="402">
        <f>+E565+F565</f>
        <v>0</v>
      </c>
    </row>
    <row r="566" spans="2:9" s="390" customFormat="1" ht="18" hidden="1" customHeight="1" x14ac:dyDescent="0.25">
      <c r="B566" s="387"/>
      <c r="C566" s="391"/>
      <c r="D566" s="392"/>
      <c r="E566" s="163"/>
      <c r="F566" s="163"/>
      <c r="G566" s="388"/>
      <c r="H566" s="409"/>
      <c r="I566" s="402"/>
    </row>
    <row r="567" spans="2:9" s="390" customFormat="1" ht="18" hidden="1" customHeight="1" x14ac:dyDescent="0.25">
      <c r="B567" s="80" t="s">
        <v>2598</v>
      </c>
      <c r="C567" s="211"/>
      <c r="D567" s="212"/>
      <c r="E567" s="361">
        <v>185</v>
      </c>
      <c r="F567" s="361">
        <v>0</v>
      </c>
      <c r="G567" s="74"/>
      <c r="H567" s="412"/>
      <c r="I567" s="402"/>
    </row>
    <row r="568" spans="2:9" s="390" customFormat="1" ht="18" hidden="1" customHeight="1" x14ac:dyDescent="0.25">
      <c r="B568" s="80"/>
      <c r="C568" s="211">
        <v>45458</v>
      </c>
      <c r="D568" s="212"/>
      <c r="E568" s="361">
        <v>95</v>
      </c>
      <c r="F568" s="361">
        <v>-180</v>
      </c>
      <c r="G568" s="74"/>
      <c r="H568" s="412"/>
      <c r="I568" s="402"/>
    </row>
    <row r="569" spans="2:9" s="390" customFormat="1" ht="18" hidden="1" customHeight="1" x14ac:dyDescent="0.25">
      <c r="B569" s="80"/>
      <c r="C569" s="211">
        <v>45469</v>
      </c>
      <c r="D569" s="212"/>
      <c r="E569" s="361"/>
      <c r="F569" s="361">
        <v>-90</v>
      </c>
      <c r="G569" s="74"/>
      <c r="H569" s="412"/>
      <c r="I569" s="402"/>
    </row>
    <row r="570" spans="2:9" s="390" customFormat="1" ht="18" hidden="1" customHeight="1" thickBot="1" x14ac:dyDescent="0.3">
      <c r="B570" s="80"/>
      <c r="C570" s="211"/>
      <c r="D570" s="212"/>
      <c r="E570" s="361"/>
      <c r="F570" s="361"/>
      <c r="G570" s="74"/>
      <c r="H570" s="412"/>
      <c r="I570" s="402"/>
    </row>
    <row r="571" spans="2:9" s="390" customFormat="1" ht="18" hidden="1" customHeight="1" thickBot="1" x14ac:dyDescent="0.3">
      <c r="B571" s="80"/>
      <c r="C571" s="211"/>
      <c r="D571" s="212"/>
      <c r="E571" s="790">
        <f t="shared" ref="E571" si="4">SUM(E567:E568)</f>
        <v>280</v>
      </c>
      <c r="F571" s="791">
        <f>SUM(F567:F569)</f>
        <v>-270</v>
      </c>
      <c r="G571" s="74"/>
      <c r="H571" s="412"/>
      <c r="I571" s="402">
        <f>+E571+F571</f>
        <v>10</v>
      </c>
    </row>
    <row r="572" spans="2:9" s="390" customFormat="1" ht="18" hidden="1" customHeight="1" x14ac:dyDescent="0.25">
      <c r="B572" s="387"/>
      <c r="C572" s="391"/>
      <c r="D572" s="392"/>
      <c r="E572" s="163"/>
      <c r="F572" s="163"/>
      <c r="G572" s="388"/>
      <c r="H572" s="409"/>
      <c r="I572" s="402"/>
    </row>
    <row r="573" spans="2:9" s="390" customFormat="1" ht="18" hidden="1" customHeight="1" x14ac:dyDescent="0.25">
      <c r="B573" s="80" t="s">
        <v>810</v>
      </c>
      <c r="C573" s="211">
        <v>45450</v>
      </c>
      <c r="D573" s="212"/>
      <c r="E573" s="361">
        <v>110</v>
      </c>
      <c r="F573" s="361">
        <v>0</v>
      </c>
      <c r="G573" s="74"/>
      <c r="H573" s="412"/>
      <c r="I573" s="402"/>
    </row>
    <row r="574" spans="2:9" s="390" customFormat="1" ht="18" hidden="1" customHeight="1" x14ac:dyDescent="0.25">
      <c r="B574" s="80"/>
      <c r="C574" s="211">
        <v>45455</v>
      </c>
      <c r="D574" s="212"/>
      <c r="E574" s="361"/>
      <c r="F574" s="361">
        <v>-50</v>
      </c>
      <c r="G574" s="74"/>
      <c r="H574" s="412"/>
      <c r="I574" s="402"/>
    </row>
    <row r="575" spans="2:9" s="390" customFormat="1" ht="18" hidden="1" customHeight="1" thickBot="1" x14ac:dyDescent="0.3">
      <c r="B575" s="80"/>
      <c r="C575" s="211">
        <v>45451</v>
      </c>
      <c r="D575" s="212"/>
      <c r="E575" s="361"/>
      <c r="F575" s="361">
        <v>-60</v>
      </c>
      <c r="G575" s="74"/>
      <c r="H575" s="412"/>
      <c r="I575" s="402"/>
    </row>
    <row r="576" spans="2:9" s="390" customFormat="1" ht="18" hidden="1" customHeight="1" thickBot="1" x14ac:dyDescent="0.3">
      <c r="B576" s="80"/>
      <c r="C576" s="211"/>
      <c r="D576" s="212"/>
      <c r="E576" s="790">
        <f t="shared" ref="E576" si="5">SUM(E573:E575)</f>
        <v>110</v>
      </c>
      <c r="F576" s="791">
        <f>SUM(F573:F575)</f>
        <v>-110</v>
      </c>
      <c r="G576" s="74"/>
      <c r="H576" s="412"/>
      <c r="I576" s="402">
        <f>+E576+F576</f>
        <v>0</v>
      </c>
    </row>
    <row r="577" spans="2:9" s="390" customFormat="1" ht="18" hidden="1" customHeight="1" x14ac:dyDescent="0.25">
      <c r="B577" s="387"/>
      <c r="C577" s="391"/>
      <c r="D577" s="392"/>
      <c r="E577" s="163"/>
      <c r="F577" s="163"/>
      <c r="G577" s="388"/>
      <c r="H577" s="409"/>
      <c r="I577" s="402"/>
    </row>
    <row r="578" spans="2:9" s="390" customFormat="1" ht="18" hidden="1" customHeight="1" x14ac:dyDescent="0.25">
      <c r="B578" s="80" t="s">
        <v>996</v>
      </c>
      <c r="C578" s="211">
        <v>45451</v>
      </c>
      <c r="D578" s="212"/>
      <c r="E578" s="361">
        <v>185</v>
      </c>
      <c r="F578" s="361">
        <v>-100</v>
      </c>
      <c r="G578" s="74"/>
      <c r="H578" s="412"/>
      <c r="I578" s="402"/>
    </row>
    <row r="579" spans="2:9" s="390" customFormat="1" ht="18" hidden="1" customHeight="1" thickBot="1" x14ac:dyDescent="0.3">
      <c r="B579" s="80"/>
      <c r="C579" s="211">
        <v>45485</v>
      </c>
      <c r="D579" s="212"/>
      <c r="E579" s="361"/>
      <c r="F579" s="361">
        <v>-85</v>
      </c>
      <c r="G579" s="74"/>
      <c r="H579" s="412"/>
      <c r="I579" s="402"/>
    </row>
    <row r="580" spans="2:9" s="390" customFormat="1" ht="18" hidden="1" customHeight="1" thickBot="1" x14ac:dyDescent="0.3">
      <c r="B580" s="80"/>
      <c r="C580" s="211"/>
      <c r="D580" s="212"/>
      <c r="E580" s="790">
        <f t="shared" ref="E580:F580" si="6">SUM(E578:E579)</f>
        <v>185</v>
      </c>
      <c r="F580" s="791">
        <f t="shared" si="6"/>
        <v>-185</v>
      </c>
      <c r="G580" s="74"/>
      <c r="H580" s="412"/>
      <c r="I580" s="402">
        <f>+E580+F580</f>
        <v>0</v>
      </c>
    </row>
    <row r="581" spans="2:9" s="390" customFormat="1" ht="18" hidden="1" customHeight="1" x14ac:dyDescent="0.25">
      <c r="B581" s="387"/>
      <c r="C581" s="391"/>
      <c r="D581" s="392"/>
      <c r="E581" s="163"/>
      <c r="F581" s="163"/>
      <c r="G581" s="388"/>
      <c r="H581" s="409"/>
      <c r="I581" s="402"/>
    </row>
    <row r="582" spans="2:9" s="390" customFormat="1" ht="18" hidden="1" customHeight="1" x14ac:dyDescent="0.25">
      <c r="B582" s="80" t="s">
        <v>732</v>
      </c>
      <c r="C582" s="211">
        <v>45453</v>
      </c>
      <c r="D582" s="212"/>
      <c r="E582" s="361">
        <v>110</v>
      </c>
      <c r="F582" s="361">
        <v>-40</v>
      </c>
      <c r="G582" s="74"/>
      <c r="H582" s="412"/>
      <c r="I582" s="402"/>
    </row>
    <row r="583" spans="2:9" s="390" customFormat="1" ht="18" hidden="1" customHeight="1" thickBot="1" x14ac:dyDescent="0.3">
      <c r="B583" s="80"/>
      <c r="C583" s="211">
        <v>45469</v>
      </c>
      <c r="D583" s="212"/>
      <c r="E583" s="361"/>
      <c r="F583" s="361">
        <v>-70</v>
      </c>
      <c r="G583" s="74"/>
      <c r="H583" s="412"/>
      <c r="I583" s="402"/>
    </row>
    <row r="584" spans="2:9" s="390" customFormat="1" ht="18" hidden="1" customHeight="1" thickBot="1" x14ac:dyDescent="0.3">
      <c r="B584" s="80"/>
      <c r="C584" s="211"/>
      <c r="D584" s="212"/>
      <c r="E584" s="790">
        <f t="shared" ref="E584:F584" si="7">SUM(E582:E583)</f>
        <v>110</v>
      </c>
      <c r="F584" s="791">
        <f t="shared" si="7"/>
        <v>-110</v>
      </c>
      <c r="G584" s="74"/>
      <c r="H584" s="412"/>
      <c r="I584" s="402">
        <f>+E584+F584</f>
        <v>0</v>
      </c>
    </row>
    <row r="585" spans="2:9" s="390" customFormat="1" ht="18" customHeight="1" x14ac:dyDescent="0.25">
      <c r="B585" s="387"/>
      <c r="C585" s="391"/>
      <c r="D585" s="392"/>
      <c r="E585" s="163"/>
      <c r="F585" s="163"/>
      <c r="G585" s="388"/>
      <c r="H585" s="409"/>
      <c r="I585" s="402"/>
    </row>
    <row r="586" spans="2:9" s="390" customFormat="1" ht="18" hidden="1" customHeight="1" x14ac:dyDescent="0.25">
      <c r="B586" s="80" t="s">
        <v>2809</v>
      </c>
      <c r="C586" s="211">
        <v>45456</v>
      </c>
      <c r="D586" s="212"/>
      <c r="E586" s="361">
        <v>110</v>
      </c>
      <c r="F586" s="361">
        <v>-60</v>
      </c>
      <c r="G586" s="74"/>
      <c r="H586" s="412"/>
      <c r="I586" s="402"/>
    </row>
    <row r="587" spans="2:9" s="390" customFormat="1" ht="18" hidden="1" customHeight="1" thickBot="1" x14ac:dyDescent="0.3">
      <c r="B587" s="80"/>
      <c r="C587" s="211">
        <v>45495</v>
      </c>
      <c r="D587" s="212"/>
      <c r="E587" s="361"/>
      <c r="F587" s="361">
        <v>-50</v>
      </c>
      <c r="G587" s="74"/>
      <c r="H587" s="412"/>
      <c r="I587" s="402"/>
    </row>
    <row r="588" spans="2:9" s="390" customFormat="1" ht="18" hidden="1" customHeight="1" thickBot="1" x14ac:dyDescent="0.3">
      <c r="B588" s="80"/>
      <c r="C588" s="211"/>
      <c r="D588" s="212"/>
      <c r="E588" s="790">
        <f t="shared" ref="E588:F588" si="8">SUM(E586:E587)</f>
        <v>110</v>
      </c>
      <c r="F588" s="791">
        <f t="shared" si="8"/>
        <v>-110</v>
      </c>
      <c r="G588" s="74"/>
      <c r="H588" s="412"/>
      <c r="I588" s="402">
        <f>+E588+F588</f>
        <v>0</v>
      </c>
    </row>
    <row r="589" spans="2:9" s="390" customFormat="1" ht="18" customHeight="1" x14ac:dyDescent="0.25">
      <c r="B589" s="387"/>
      <c r="C589" s="391"/>
      <c r="D589" s="392"/>
      <c r="E589" s="163"/>
      <c r="F589" s="163"/>
      <c r="G589" s="388"/>
      <c r="H589" s="409"/>
      <c r="I589" s="402"/>
    </row>
    <row r="590" spans="2:9" s="390" customFormat="1" ht="18" customHeight="1" x14ac:dyDescent="0.25">
      <c r="B590" s="376" t="s">
        <v>2180</v>
      </c>
      <c r="C590" s="391">
        <v>45456</v>
      </c>
      <c r="D590" s="392"/>
      <c r="E590" s="163">
        <v>300</v>
      </c>
      <c r="F590" s="163">
        <v>0</v>
      </c>
      <c r="G590" s="388"/>
      <c r="H590" s="409"/>
      <c r="I590" s="402"/>
    </row>
    <row r="591" spans="2:9" s="390" customFormat="1" ht="18" customHeight="1" x14ac:dyDescent="0.25">
      <c r="B591" s="387"/>
      <c r="C591" s="391"/>
      <c r="D591" s="392"/>
      <c r="E591" s="163"/>
      <c r="F591" s="163"/>
      <c r="G591" s="388"/>
      <c r="H591" s="409"/>
      <c r="I591" s="402"/>
    </row>
    <row r="592" spans="2:9" s="390" customFormat="1" ht="18" customHeight="1" thickBot="1" x14ac:dyDescent="0.3">
      <c r="B592" s="387"/>
      <c r="C592" s="391"/>
      <c r="D592" s="392"/>
      <c r="E592" s="163"/>
      <c r="F592" s="163"/>
      <c r="G592" s="388"/>
      <c r="H592" s="409"/>
      <c r="I592" s="402"/>
    </row>
    <row r="593" spans="2:9" s="390" customFormat="1" ht="18" customHeight="1" thickBot="1" x14ac:dyDescent="0.3">
      <c r="B593" s="387"/>
      <c r="C593" s="391"/>
      <c r="D593" s="392"/>
      <c r="E593" s="735">
        <f t="shared" ref="E593:F593" si="9">SUM(E590:E592)</f>
        <v>300</v>
      </c>
      <c r="F593" s="736">
        <f t="shared" si="9"/>
        <v>0</v>
      </c>
      <c r="G593" s="388"/>
      <c r="H593" s="409"/>
      <c r="I593" s="402">
        <f>+E593+F593</f>
        <v>300</v>
      </c>
    </row>
    <row r="594" spans="2:9" s="390" customFormat="1" ht="18" customHeight="1" x14ac:dyDescent="0.25">
      <c r="B594" s="387"/>
      <c r="C594" s="391"/>
      <c r="D594" s="392"/>
      <c r="E594" s="163"/>
      <c r="F594" s="163"/>
      <c r="G594" s="388"/>
      <c r="H594" s="409"/>
      <c r="I594" s="402"/>
    </row>
    <row r="595" spans="2:9" s="390" customFormat="1" ht="18" customHeight="1" x14ac:dyDescent="0.25">
      <c r="B595" s="972" t="s">
        <v>2900</v>
      </c>
      <c r="C595" s="391"/>
      <c r="D595" s="392"/>
      <c r="E595" s="163">
        <v>285</v>
      </c>
      <c r="F595" s="163">
        <v>-20</v>
      </c>
      <c r="G595" s="388"/>
      <c r="H595" s="409"/>
      <c r="I595" s="402"/>
    </row>
    <row r="596" spans="2:9" s="390" customFormat="1" ht="18" customHeight="1" x14ac:dyDescent="0.25">
      <c r="B596" s="972"/>
      <c r="C596" s="391">
        <v>45459</v>
      </c>
      <c r="D596" s="392"/>
      <c r="E596" s="163">
        <v>110</v>
      </c>
      <c r="F596" s="163">
        <v>-200</v>
      </c>
      <c r="G596" s="388"/>
      <c r="H596" s="409"/>
      <c r="I596" s="402"/>
    </row>
    <row r="597" spans="2:9" s="390" customFormat="1" ht="18" customHeight="1" thickBot="1" x14ac:dyDescent="0.3">
      <c r="B597" s="972"/>
      <c r="C597" s="391"/>
      <c r="D597" s="392"/>
      <c r="E597" s="163"/>
      <c r="F597" s="163"/>
      <c r="G597" s="388"/>
      <c r="H597" s="409"/>
      <c r="I597" s="402"/>
    </row>
    <row r="598" spans="2:9" s="390" customFormat="1" ht="18" customHeight="1" thickBot="1" x14ac:dyDescent="0.3">
      <c r="B598" s="972"/>
      <c r="C598" s="391"/>
      <c r="D598" s="392"/>
      <c r="E598" s="735">
        <f t="shared" ref="E598:F598" si="10">SUM(E595:E597)</f>
        <v>395</v>
      </c>
      <c r="F598" s="736">
        <f t="shared" si="10"/>
        <v>-220</v>
      </c>
      <c r="G598" s="388"/>
      <c r="H598" s="409"/>
      <c r="I598" s="402">
        <f>+E598+F598</f>
        <v>175</v>
      </c>
    </row>
    <row r="599" spans="2:9" s="390" customFormat="1" ht="18" customHeight="1" x14ac:dyDescent="0.25">
      <c r="B599" s="972"/>
      <c r="C599" s="391"/>
      <c r="D599" s="392"/>
      <c r="E599" s="163"/>
      <c r="F599" s="163"/>
      <c r="G599" s="388"/>
      <c r="H599" s="409"/>
      <c r="I599" s="402"/>
    </row>
    <row r="600" spans="2:9" s="390" customFormat="1" ht="18" customHeight="1" x14ac:dyDescent="0.25">
      <c r="B600" s="972" t="s">
        <v>2917</v>
      </c>
      <c r="C600" s="391">
        <v>45468</v>
      </c>
      <c r="D600" s="392"/>
      <c r="E600" s="163">
        <v>35</v>
      </c>
      <c r="F600" s="163">
        <v>0</v>
      </c>
      <c r="G600" s="388"/>
      <c r="H600" s="409"/>
      <c r="I600" s="402"/>
    </row>
    <row r="601" spans="2:9" s="390" customFormat="1" ht="18" customHeight="1" thickBot="1" x14ac:dyDescent="0.3">
      <c r="B601" s="972"/>
      <c r="C601" s="391"/>
      <c r="D601" s="392"/>
      <c r="E601" s="163"/>
      <c r="F601" s="163"/>
      <c r="G601" s="388"/>
      <c r="H601" s="409"/>
      <c r="I601" s="402"/>
    </row>
    <row r="602" spans="2:9" s="390" customFormat="1" ht="18" customHeight="1" thickBot="1" x14ac:dyDescent="0.3">
      <c r="B602" s="972"/>
      <c r="C602" s="391"/>
      <c r="D602" s="392"/>
      <c r="E602" s="735">
        <f t="shared" ref="E602:F602" si="11">SUM(E600:E601)</f>
        <v>35</v>
      </c>
      <c r="F602" s="736">
        <f t="shared" si="11"/>
        <v>0</v>
      </c>
      <c r="G602" s="388"/>
      <c r="H602" s="409"/>
      <c r="I602" s="402">
        <f>+E602+F602</f>
        <v>35</v>
      </c>
    </row>
    <row r="603" spans="2:9" s="390" customFormat="1" ht="18" customHeight="1" x14ac:dyDescent="0.25">
      <c r="B603" s="387"/>
      <c r="C603" s="391"/>
      <c r="D603" s="392"/>
      <c r="E603" s="163"/>
      <c r="F603" s="163"/>
      <c r="G603" s="388"/>
      <c r="H603" s="409"/>
      <c r="I603" s="402"/>
    </row>
    <row r="604" spans="2:9" s="390" customFormat="1" ht="18" customHeight="1" x14ac:dyDescent="0.25">
      <c r="B604" s="387" t="s">
        <v>2955</v>
      </c>
      <c r="C604" s="391">
        <v>45476</v>
      </c>
      <c r="D604" s="392"/>
      <c r="E604" s="163">
        <v>570</v>
      </c>
      <c r="F604" s="163">
        <v>0</v>
      </c>
      <c r="G604" s="388"/>
      <c r="H604" s="409"/>
      <c r="I604" s="402"/>
    </row>
    <row r="605" spans="2:9" s="390" customFormat="1" ht="18" customHeight="1" x14ac:dyDescent="0.25">
      <c r="B605" s="387"/>
      <c r="C605" s="391">
        <v>45498</v>
      </c>
      <c r="D605" s="392"/>
      <c r="E605" s="163"/>
      <c r="F605" s="163">
        <v>-500</v>
      </c>
      <c r="G605" s="388"/>
      <c r="H605" s="409"/>
      <c r="I605" s="402"/>
    </row>
    <row r="606" spans="2:9" s="390" customFormat="1" ht="18" customHeight="1" thickBot="1" x14ac:dyDescent="0.3">
      <c r="B606" s="387"/>
      <c r="C606" s="391"/>
      <c r="D606" s="392"/>
      <c r="E606" s="163"/>
      <c r="F606" s="163"/>
      <c r="G606" s="388"/>
      <c r="H606" s="409"/>
      <c r="I606" s="402"/>
    </row>
    <row r="607" spans="2:9" s="390" customFormat="1" ht="18" customHeight="1" thickBot="1" x14ac:dyDescent="0.3">
      <c r="B607" s="387"/>
      <c r="C607" s="391"/>
      <c r="D607" s="392"/>
      <c r="E607" s="735">
        <f t="shared" ref="E607:F607" si="12">SUM(E604:E606)</f>
        <v>570</v>
      </c>
      <c r="F607" s="736">
        <f t="shared" si="12"/>
        <v>-500</v>
      </c>
      <c r="G607" s="388"/>
      <c r="H607" s="409"/>
      <c r="I607" s="402">
        <f>+E607+F607</f>
        <v>70</v>
      </c>
    </row>
    <row r="608" spans="2:9" s="390" customFormat="1" ht="18" customHeight="1" x14ac:dyDescent="0.25">
      <c r="B608" s="387"/>
      <c r="C608" s="391"/>
      <c r="D608" s="392"/>
      <c r="E608" s="163"/>
      <c r="F608" s="163"/>
      <c r="G608" s="388"/>
      <c r="H608" s="409"/>
      <c r="I608" s="402"/>
    </row>
    <row r="609" spans="2:9" s="390" customFormat="1" ht="18" customHeight="1" x14ac:dyDescent="0.25">
      <c r="B609" s="387" t="s">
        <v>396</v>
      </c>
      <c r="C609" s="391">
        <v>45489</v>
      </c>
      <c r="D609" s="392"/>
      <c r="E609" s="163">
        <f>110+85</f>
        <v>195</v>
      </c>
      <c r="F609" s="163"/>
      <c r="G609" s="388"/>
      <c r="H609" s="409"/>
      <c r="I609" s="402"/>
    </row>
    <row r="610" spans="2:9" s="390" customFormat="1" ht="18" customHeight="1" x14ac:dyDescent="0.25">
      <c r="B610" s="387"/>
      <c r="C610" s="391"/>
      <c r="D610" s="392"/>
      <c r="E610" s="163"/>
      <c r="F610" s="163"/>
      <c r="G610" s="388"/>
      <c r="H610" s="409"/>
      <c r="I610" s="402"/>
    </row>
    <row r="611" spans="2:9" s="390" customFormat="1" ht="18" customHeight="1" thickBot="1" x14ac:dyDescent="0.3">
      <c r="B611" s="387"/>
      <c r="C611" s="391"/>
      <c r="D611" s="392"/>
      <c r="E611" s="163"/>
      <c r="F611" s="163"/>
      <c r="G611" s="388"/>
      <c r="H611" s="409"/>
      <c r="I611" s="402"/>
    </row>
    <row r="612" spans="2:9" s="390" customFormat="1" ht="18" customHeight="1" thickBot="1" x14ac:dyDescent="0.3">
      <c r="B612" s="387"/>
      <c r="C612" s="391"/>
      <c r="D612" s="392"/>
      <c r="E612" s="735">
        <f t="shared" ref="E612:F612" si="13">SUM(E609:E611)</f>
        <v>195</v>
      </c>
      <c r="F612" s="736">
        <f t="shared" si="13"/>
        <v>0</v>
      </c>
      <c r="G612" s="388"/>
      <c r="H612" s="409"/>
      <c r="I612" s="402">
        <f>+E612+F612</f>
        <v>195</v>
      </c>
    </row>
    <row r="613" spans="2:9" s="390" customFormat="1" ht="18" customHeight="1" x14ac:dyDescent="0.25">
      <c r="B613" s="387"/>
      <c r="C613" s="391"/>
      <c r="D613" s="392"/>
      <c r="E613" s="163"/>
      <c r="F613" s="163"/>
      <c r="G613" s="388"/>
      <c r="H613" s="409"/>
      <c r="I613" s="402"/>
    </row>
    <row r="614" spans="2:9" s="390" customFormat="1" ht="18" customHeight="1" x14ac:dyDescent="0.25">
      <c r="B614" s="387" t="s">
        <v>810</v>
      </c>
      <c r="C614" s="391">
        <v>45491</v>
      </c>
      <c r="D614" s="392"/>
      <c r="E614" s="163">
        <v>150</v>
      </c>
      <c r="F614" s="163">
        <v>0</v>
      </c>
      <c r="G614" s="388"/>
      <c r="H614" s="409"/>
      <c r="I614" s="402"/>
    </row>
    <row r="615" spans="2:9" s="390" customFormat="1" ht="18" customHeight="1" x14ac:dyDescent="0.25">
      <c r="B615" s="387"/>
      <c r="C615" s="391"/>
      <c r="D615" s="392"/>
      <c r="E615" s="163"/>
      <c r="F615" s="163"/>
      <c r="G615" s="388"/>
      <c r="H615" s="409"/>
      <c r="I615" s="402"/>
    </row>
    <row r="616" spans="2:9" s="390" customFormat="1" ht="18" customHeight="1" thickBot="1" x14ac:dyDescent="0.3">
      <c r="B616" s="387"/>
      <c r="C616" s="391"/>
      <c r="D616" s="392"/>
      <c r="E616" s="163"/>
      <c r="F616" s="163"/>
      <c r="G616" s="388"/>
      <c r="H616" s="409"/>
      <c r="I616" s="402"/>
    </row>
    <row r="617" spans="2:9" s="390" customFormat="1" ht="18" customHeight="1" thickBot="1" x14ac:dyDescent="0.3">
      <c r="B617" s="387"/>
      <c r="C617" s="391"/>
      <c r="D617" s="392"/>
      <c r="E617" s="735">
        <f t="shared" ref="E617:F617" si="14">SUM(E614:E616)</f>
        <v>150</v>
      </c>
      <c r="F617" s="736">
        <f t="shared" si="14"/>
        <v>0</v>
      </c>
      <c r="G617" s="388"/>
      <c r="H617" s="409"/>
      <c r="I617" s="402">
        <f>+E617+F617</f>
        <v>150</v>
      </c>
    </row>
    <row r="618" spans="2:9" s="390" customFormat="1" ht="18" customHeight="1" x14ac:dyDescent="0.25">
      <c r="B618" s="387"/>
      <c r="C618" s="391"/>
      <c r="D618" s="392"/>
      <c r="G618" s="388"/>
      <c r="H618" s="409"/>
      <c r="I618" s="402"/>
    </row>
    <row r="619" spans="2:9" s="390" customFormat="1" ht="18" customHeight="1" thickBot="1" x14ac:dyDescent="0.3">
      <c r="B619" s="387"/>
      <c r="D619" s="392"/>
      <c r="G619" s="388"/>
      <c r="H619" s="409"/>
      <c r="I619" s="402"/>
    </row>
    <row r="620" spans="2:9" ht="18" customHeight="1" thickBot="1" x14ac:dyDescent="0.3">
      <c r="B620" s="105" t="s">
        <v>230</v>
      </c>
      <c r="C620" s="106"/>
      <c r="D620" s="131"/>
      <c r="E620" s="106"/>
      <c r="F620" s="106"/>
      <c r="G620" s="133"/>
      <c r="H620" s="421"/>
      <c r="I620" s="310">
        <f>SUM(I175:I619)</f>
        <v>2429</v>
      </c>
    </row>
    <row r="624" spans="2:9" ht="18" customHeight="1" thickBot="1" x14ac:dyDescent="0.3">
      <c r="G624" s="59"/>
      <c r="H624" s="419"/>
    </row>
    <row r="625" spans="9:9" ht="18" customHeight="1" thickBot="1" x14ac:dyDescent="0.3">
      <c r="I625" s="307">
        <f>SUM(I622:I624)</f>
        <v>0</v>
      </c>
    </row>
    <row r="647" spans="3:13" ht="18" customHeight="1" x14ac:dyDescent="0.25">
      <c r="I647" s="402" t="s">
        <v>66</v>
      </c>
    </row>
    <row r="652" spans="3:13" ht="18" customHeight="1" x14ac:dyDescent="0.25">
      <c r="C652" s="79"/>
      <c r="F652" s="33"/>
      <c r="G652" s="33"/>
      <c r="H652" s="422"/>
      <c r="L652" s="33"/>
      <c r="M652" s="33"/>
    </row>
    <row r="653" spans="3:13" ht="18" customHeight="1" x14ac:dyDescent="0.25">
      <c r="C653" s="79"/>
      <c r="G653" s="59"/>
      <c r="H653" s="419"/>
      <c r="M653" s="33"/>
    </row>
    <row r="654" spans="3:13" ht="18" customHeight="1" x14ac:dyDescent="0.25">
      <c r="C654" s="34"/>
      <c r="F654" s="33"/>
      <c r="G654" s="33"/>
      <c r="H654" s="422"/>
      <c r="L654" s="33"/>
      <c r="M654" s="33"/>
    </row>
    <row r="655" spans="3:13" ht="18" customHeight="1" x14ac:dyDescent="0.25">
      <c r="C655" s="34"/>
      <c r="F655" s="33"/>
      <c r="G655" s="33"/>
      <c r="H655" s="422"/>
      <c r="L655" s="33"/>
      <c r="M655" s="33"/>
    </row>
    <row r="656" spans="3:13" ht="18" customHeight="1" x14ac:dyDescent="0.25">
      <c r="C656" s="34"/>
      <c r="F656" s="33"/>
      <c r="G656" s="33"/>
      <c r="H656" s="422"/>
      <c r="L656" s="33"/>
      <c r="M656" s="33"/>
    </row>
    <row r="657" spans="3:13" ht="18" customHeight="1" x14ac:dyDescent="0.25">
      <c r="C657" s="34"/>
      <c r="F657" s="33"/>
      <c r="G657" s="33"/>
      <c r="H657" s="422"/>
      <c r="L657" s="33"/>
      <c r="M657" s="33"/>
    </row>
    <row r="658" spans="3:13" ht="18" customHeight="1" x14ac:dyDescent="0.25">
      <c r="C658" s="34"/>
      <c r="F658" s="33"/>
      <c r="G658" s="33"/>
      <c r="H658" s="422"/>
      <c r="L658" s="33"/>
      <c r="M658" s="33"/>
    </row>
    <row r="659" spans="3:13" ht="18" customHeight="1" x14ac:dyDescent="0.25">
      <c r="C659" s="34"/>
      <c r="F659" s="33"/>
      <c r="G659" s="33"/>
      <c r="H659" s="422"/>
      <c r="L659" s="33"/>
      <c r="M659" s="33"/>
    </row>
    <row r="660" spans="3:13" ht="18" customHeight="1" x14ac:dyDescent="0.25">
      <c r="C660" s="34"/>
      <c r="F660" s="33"/>
      <c r="G660" s="33"/>
      <c r="H660" s="422"/>
      <c r="L660" s="33"/>
      <c r="M660" s="33"/>
    </row>
    <row r="661" spans="3:13" ht="18" customHeight="1" x14ac:dyDescent="0.25">
      <c r="C661" s="34"/>
      <c r="F661" s="33"/>
      <c r="G661" s="33"/>
      <c r="H661" s="422"/>
      <c r="L661" s="33"/>
      <c r="M661" s="33"/>
    </row>
    <row r="662" spans="3:13" ht="18" customHeight="1" x14ac:dyDescent="0.25">
      <c r="C662" s="34"/>
      <c r="F662" s="33"/>
      <c r="G662" s="33"/>
      <c r="H662" s="422"/>
      <c r="L662" s="33"/>
      <c r="M662" s="33"/>
    </row>
    <row r="663" spans="3:13" ht="18" customHeight="1" x14ac:dyDescent="0.25">
      <c r="C663" s="34"/>
      <c r="F663" s="33"/>
      <c r="G663" s="33"/>
      <c r="H663" s="422"/>
      <c r="L663" s="33"/>
      <c r="M663" s="33"/>
    </row>
    <row r="664" spans="3:13" ht="18" customHeight="1" x14ac:dyDescent="0.25">
      <c r="C664" s="34"/>
      <c r="F664" s="33"/>
      <c r="G664" s="33"/>
      <c r="H664" s="422"/>
      <c r="L664" s="33"/>
      <c r="M664" s="33"/>
    </row>
    <row r="665" spans="3:13" ht="18" customHeight="1" x14ac:dyDescent="0.25">
      <c r="C665" s="34"/>
      <c r="F665" s="33"/>
      <c r="G665" s="33"/>
      <c r="H665" s="422"/>
      <c r="L665" s="33"/>
      <c r="M665" s="33"/>
    </row>
    <row r="666" spans="3:13" ht="18" customHeight="1" x14ac:dyDescent="0.25">
      <c r="G666" s="33"/>
      <c r="H666" s="422"/>
      <c r="L666" s="33"/>
      <c r="M666" s="33"/>
    </row>
    <row r="667" spans="3:13" ht="18" customHeight="1" x14ac:dyDescent="0.25">
      <c r="G667" s="33"/>
      <c r="H667" s="422"/>
      <c r="L667" s="33"/>
      <c r="M667" s="33"/>
    </row>
    <row r="668" spans="3:13" s="34" customFormat="1" ht="18" customHeight="1" x14ac:dyDescent="0.25">
      <c r="D668" s="119"/>
      <c r="G668" s="30"/>
      <c r="H668" s="423"/>
      <c r="I668" s="402"/>
      <c r="L668" s="30"/>
      <c r="M668" s="30"/>
    </row>
    <row r="696" spans="2:13" s="34" customFormat="1" ht="18" customHeight="1" x14ac:dyDescent="0.25">
      <c r="D696" s="119"/>
      <c r="G696" s="30"/>
      <c r="H696" s="423"/>
      <c r="I696" s="402"/>
      <c r="L696" s="30"/>
      <c r="M696" s="30"/>
    </row>
    <row r="697" spans="2:13" customFormat="1" ht="18" customHeight="1" x14ac:dyDescent="0.25">
      <c r="B697" s="3"/>
      <c r="D697" s="119"/>
      <c r="F697" s="2"/>
      <c r="H697" s="415"/>
      <c r="I697" s="357"/>
    </row>
    <row r="698" spans="2:13" customFormat="1" ht="18" customHeight="1" x14ac:dyDescent="0.25">
      <c r="B698" s="3"/>
      <c r="D698" s="119"/>
      <c r="F698" s="2"/>
      <c r="H698" s="415"/>
      <c r="I698" s="357"/>
    </row>
    <row r="699" spans="2:13" customFormat="1" ht="18" customHeight="1" x14ac:dyDescent="0.25">
      <c r="B699" s="3"/>
      <c r="D699" s="119"/>
      <c r="F699" s="2"/>
      <c r="H699" s="415"/>
      <c r="I699" s="357"/>
    </row>
    <row r="700" spans="2:13" customFormat="1" ht="18" customHeight="1" x14ac:dyDescent="0.25">
      <c r="B700" s="3"/>
      <c r="D700" s="119"/>
      <c r="F700" s="2"/>
      <c r="H700" s="415"/>
      <c r="I700" s="357"/>
    </row>
    <row r="701" spans="2:13" customFormat="1" ht="18" customHeight="1" x14ac:dyDescent="0.25">
      <c r="B701" s="3"/>
      <c r="D701" s="119"/>
      <c r="F701" s="2"/>
      <c r="H701" s="415"/>
      <c r="I701" s="357"/>
    </row>
    <row r="702" spans="2:13" customFormat="1" ht="18" customHeight="1" x14ac:dyDescent="0.25">
      <c r="B702" s="3"/>
      <c r="D702" s="119"/>
      <c r="F702" s="2"/>
      <c r="H702" s="415"/>
      <c r="I702" s="357"/>
    </row>
    <row r="703" spans="2:13" customFormat="1" ht="18" customHeight="1" x14ac:dyDescent="0.25">
      <c r="B703" s="3"/>
      <c r="D703" s="119"/>
      <c r="F703" s="2"/>
      <c r="H703" s="415"/>
      <c r="I703" s="357"/>
    </row>
    <row r="704" spans="2:13" customFormat="1" ht="18" customHeight="1" x14ac:dyDescent="0.25">
      <c r="B704" s="3"/>
      <c r="D704" s="119"/>
      <c r="F704" s="2"/>
      <c r="H704" s="415"/>
      <c r="I704" s="357"/>
    </row>
    <row r="705" spans="2:13" customFormat="1" ht="18" customHeight="1" x14ac:dyDescent="0.25">
      <c r="B705" s="3"/>
      <c r="D705" s="119"/>
      <c r="F705" s="2"/>
      <c r="H705" s="415"/>
      <c r="I705" s="357"/>
    </row>
    <row r="706" spans="2:13" customFormat="1" ht="18" customHeight="1" x14ac:dyDescent="0.25">
      <c r="B706" s="3"/>
      <c r="D706" s="119"/>
      <c r="F706" s="2"/>
      <c r="H706" s="415"/>
      <c r="I706" s="357"/>
    </row>
    <row r="707" spans="2:13" customFormat="1" ht="18" customHeight="1" x14ac:dyDescent="0.25">
      <c r="B707" s="3"/>
      <c r="D707" s="119"/>
      <c r="F707" s="2"/>
      <c r="H707" s="415"/>
      <c r="I707" s="357"/>
    </row>
    <row r="708" spans="2:13" s="11" customFormat="1" ht="18" customHeight="1" x14ac:dyDescent="0.25">
      <c r="B708" s="12"/>
      <c r="D708" s="119"/>
      <c r="F708" s="2"/>
      <c r="G708" s="58"/>
      <c r="H708" s="424"/>
      <c r="I708" s="360"/>
    </row>
    <row r="709" spans="2:13" s="11" customFormat="1" ht="18" customHeight="1" x14ac:dyDescent="0.25">
      <c r="B709" s="12"/>
      <c r="D709" s="119"/>
      <c r="F709" s="2"/>
      <c r="G709" s="58"/>
      <c r="H709" s="424"/>
      <c r="I709" s="360"/>
    </row>
    <row r="710" spans="2:13" s="11" customFormat="1" ht="18" customHeight="1" x14ac:dyDescent="0.25">
      <c r="B710" s="12"/>
      <c r="D710" s="119"/>
      <c r="F710" s="2"/>
      <c r="G710" s="58"/>
      <c r="H710" s="424"/>
      <c r="I710" s="360"/>
    </row>
    <row r="711" spans="2:13" s="34" customFormat="1" ht="18" customHeight="1" x14ac:dyDescent="0.25">
      <c r="D711" s="119"/>
      <c r="G711" s="30"/>
      <c r="H711" s="423"/>
      <c r="I711" s="402"/>
      <c r="L711" s="30"/>
      <c r="M711" s="30"/>
    </row>
    <row r="712" spans="2:13" s="34" customFormat="1" ht="18" customHeight="1" x14ac:dyDescent="0.25">
      <c r="D712" s="119"/>
      <c r="F712" s="67"/>
      <c r="G712" s="66"/>
      <c r="H712" s="420"/>
      <c r="I712" s="402"/>
    </row>
    <row r="745" spans="2:14" ht="18" customHeight="1" x14ac:dyDescent="0.25">
      <c r="C745" s="34"/>
      <c r="F745" s="33"/>
      <c r="G745" s="33"/>
      <c r="H745" s="422"/>
      <c r="L745" s="33"/>
      <c r="M745" s="33"/>
    </row>
    <row r="746" spans="2:14" ht="18" customHeight="1" x14ac:dyDescent="0.25">
      <c r="C746" s="34"/>
      <c r="F746" s="33"/>
      <c r="G746" s="33"/>
      <c r="H746" s="422"/>
      <c r="L746" s="33"/>
      <c r="M746" s="33"/>
    </row>
    <row r="747" spans="2:14" ht="18" customHeight="1" x14ac:dyDescent="0.25">
      <c r="F747" s="33"/>
      <c r="G747" s="33"/>
      <c r="H747" s="422"/>
      <c r="L747" s="33"/>
      <c r="M747" s="33"/>
    </row>
    <row r="748" spans="2:14" ht="18" customHeight="1" x14ac:dyDescent="0.25">
      <c r="F748" s="33"/>
      <c r="G748" s="59"/>
      <c r="H748" s="419"/>
      <c r="L748" s="33"/>
      <c r="M748" s="33"/>
    </row>
    <row r="749" spans="2:14" s="34" customFormat="1" ht="18" customHeight="1" x14ac:dyDescent="0.25">
      <c r="D749" s="119"/>
      <c r="F749" s="30"/>
      <c r="H749" s="417"/>
      <c r="I749" s="402"/>
      <c r="L749" s="30"/>
      <c r="M749" s="30"/>
    </row>
    <row r="750" spans="2:14" s="1" customFormat="1" ht="18" customHeight="1" x14ac:dyDescent="0.25">
      <c r="B750" s="38"/>
      <c r="D750" s="119"/>
      <c r="E750" s="76"/>
      <c r="F750" s="2"/>
      <c r="G750" s="56"/>
      <c r="H750" s="425"/>
      <c r="I750" s="311"/>
      <c r="J750" s="72"/>
      <c r="K750" s="72"/>
      <c r="N750" s="55"/>
    </row>
    <row r="751" spans="2:14" s="1" customFormat="1" ht="18" customHeight="1" x14ac:dyDescent="0.25">
      <c r="B751" s="38"/>
      <c r="D751" s="119"/>
      <c r="E751" s="76"/>
      <c r="F751" s="2"/>
      <c r="G751" s="55"/>
      <c r="H751" s="410"/>
      <c r="I751" s="357"/>
      <c r="N751" s="55"/>
    </row>
    <row r="752" spans="2:14" s="1" customFormat="1" ht="18" customHeight="1" x14ac:dyDescent="0.25">
      <c r="B752" s="38"/>
      <c r="D752" s="119"/>
      <c r="E752" s="76"/>
      <c r="F752" s="2"/>
      <c r="G752" s="55"/>
      <c r="H752" s="410"/>
      <c r="I752" s="357"/>
      <c r="N752" s="55"/>
    </row>
    <row r="753" spans="2:14" s="1" customFormat="1" ht="18" customHeight="1" x14ac:dyDescent="0.25">
      <c r="B753" s="38"/>
      <c r="D753" s="119"/>
      <c r="E753" s="76"/>
      <c r="F753" s="2"/>
      <c r="G753" s="55"/>
      <c r="H753" s="410"/>
      <c r="I753" s="357"/>
      <c r="N753" s="55"/>
    </row>
    <row r="754" spans="2:14" s="1" customFormat="1" ht="18" customHeight="1" x14ac:dyDescent="0.25">
      <c r="B754" s="38"/>
      <c r="D754" s="119"/>
      <c r="E754" s="76"/>
      <c r="F754" s="2"/>
      <c r="G754" s="55"/>
      <c r="H754" s="410"/>
      <c r="I754" s="357"/>
      <c r="N754" s="55"/>
    </row>
    <row r="755" spans="2:14" s="72" customFormat="1" ht="18" customHeight="1" x14ac:dyDescent="0.25">
      <c r="B755" s="73"/>
      <c r="D755" s="119"/>
      <c r="E755" s="76"/>
      <c r="F755" s="2"/>
      <c r="G755" s="56"/>
      <c r="H755" s="425"/>
      <c r="I755" s="311"/>
      <c r="N755" s="56"/>
    </row>
    <row r="756" spans="2:14" s="72" customFormat="1" ht="18" customHeight="1" x14ac:dyDescent="0.25">
      <c r="B756" s="73"/>
      <c r="D756" s="119"/>
      <c r="E756" s="76"/>
      <c r="F756" s="2"/>
      <c r="G756" s="56"/>
      <c r="H756" s="425"/>
      <c r="I756" s="311"/>
      <c r="N756" s="56"/>
    </row>
    <row r="757" spans="2:14" s="72" customFormat="1" ht="18" customHeight="1" x14ac:dyDescent="0.25">
      <c r="B757" s="73"/>
      <c r="D757" s="119"/>
      <c r="E757" s="76"/>
      <c r="F757" s="2"/>
      <c r="G757" s="56"/>
      <c r="H757" s="425"/>
      <c r="I757" s="311"/>
      <c r="N757" s="56"/>
    </row>
    <row r="758" spans="2:14" s="72" customFormat="1" ht="18" customHeight="1" x14ac:dyDescent="0.25">
      <c r="B758" s="73"/>
      <c r="D758" s="119"/>
      <c r="E758" s="76"/>
      <c r="F758" s="2"/>
      <c r="G758" s="56"/>
      <c r="H758" s="425"/>
      <c r="I758" s="311"/>
      <c r="N758" s="56"/>
    </row>
    <row r="759" spans="2:14" s="72" customFormat="1" ht="18" customHeight="1" x14ac:dyDescent="0.25">
      <c r="B759" s="73"/>
      <c r="D759" s="119"/>
      <c r="E759" s="76"/>
      <c r="F759" s="2"/>
      <c r="G759" s="56"/>
      <c r="H759" s="425"/>
      <c r="I759" s="311"/>
      <c r="N759" s="56"/>
    </row>
    <row r="760" spans="2:14" s="34" customFormat="1" ht="18" customHeight="1" x14ac:dyDescent="0.25">
      <c r="D760" s="120"/>
      <c r="F760" s="30"/>
      <c r="G760" s="30"/>
      <c r="H760" s="423"/>
      <c r="I760" s="402"/>
      <c r="L760" s="30"/>
      <c r="M760" s="30"/>
    </row>
    <row r="774" spans="6:8" ht="18" customHeight="1" x14ac:dyDescent="0.25">
      <c r="G774" s="59"/>
      <c r="H774" s="419"/>
    </row>
    <row r="783" spans="6:8" ht="18" customHeight="1" x14ac:dyDescent="0.25">
      <c r="F783" s="68"/>
    </row>
    <row r="784" spans="6:8" ht="18" customHeight="1" x14ac:dyDescent="0.25">
      <c r="F784" s="68"/>
    </row>
    <row r="818" spans="3:13" ht="18" customHeight="1" x14ac:dyDescent="0.25">
      <c r="C818" s="34"/>
      <c r="F818" s="33"/>
      <c r="G818" s="33"/>
      <c r="H818" s="422"/>
      <c r="L818" s="33"/>
      <c r="M818" s="33"/>
    </row>
    <row r="819" spans="3:13" ht="18" customHeight="1" x14ac:dyDescent="0.25">
      <c r="C819" s="34"/>
      <c r="F819" s="33"/>
      <c r="G819" s="33"/>
      <c r="H819" s="422"/>
      <c r="L819" s="33"/>
      <c r="M819" s="33"/>
    </row>
    <row r="820" spans="3:13" ht="18" customHeight="1" x14ac:dyDescent="0.25">
      <c r="C820" s="34"/>
      <c r="F820" s="33"/>
      <c r="G820" s="33"/>
      <c r="H820" s="422"/>
      <c r="L820" s="33"/>
      <c r="M820" s="33"/>
    </row>
    <row r="821" spans="3:13" ht="18" customHeight="1" x14ac:dyDescent="0.25">
      <c r="C821" s="34"/>
      <c r="F821" s="33"/>
      <c r="G821" s="33"/>
      <c r="H821" s="422"/>
      <c r="L821" s="33"/>
      <c r="M821" s="33"/>
    </row>
    <row r="822" spans="3:13" ht="18" customHeight="1" x14ac:dyDescent="0.25">
      <c r="C822" s="34"/>
      <c r="F822" s="33"/>
      <c r="G822" s="33"/>
      <c r="H822" s="422"/>
      <c r="L822" s="33"/>
      <c r="M822" s="33"/>
    </row>
    <row r="823" spans="3:13" ht="18" customHeight="1" x14ac:dyDescent="0.25">
      <c r="C823" s="34"/>
      <c r="F823" s="33"/>
      <c r="G823" s="33"/>
      <c r="H823" s="422"/>
      <c r="L823" s="33"/>
      <c r="M823" s="33"/>
    </row>
    <row r="824" spans="3:13" ht="18" customHeight="1" x14ac:dyDescent="0.25">
      <c r="G824" s="33"/>
      <c r="H824" s="422"/>
      <c r="L824" s="33"/>
      <c r="M824" s="33"/>
    </row>
    <row r="825" spans="3:13" ht="18" customHeight="1" x14ac:dyDescent="0.25">
      <c r="G825" s="33"/>
      <c r="H825" s="422"/>
      <c r="L825" s="33"/>
      <c r="M825" s="33"/>
    </row>
    <row r="826" spans="3:13" ht="18" customHeight="1" x14ac:dyDescent="0.25">
      <c r="G826" s="33"/>
      <c r="H826" s="422"/>
      <c r="L826" s="33"/>
      <c r="M826" s="33"/>
    </row>
    <row r="827" spans="3:13" ht="18" customHeight="1" x14ac:dyDescent="0.25">
      <c r="G827" s="33"/>
      <c r="H827" s="422"/>
      <c r="L827" s="33"/>
      <c r="M827" s="33"/>
    </row>
    <row r="828" spans="3:13" ht="18" customHeight="1" x14ac:dyDescent="0.25">
      <c r="G828" s="33"/>
      <c r="H828" s="422"/>
      <c r="L828" s="33"/>
      <c r="M828" s="33"/>
    </row>
    <row r="829" spans="3:13" ht="18" customHeight="1" x14ac:dyDescent="0.25">
      <c r="C829" s="81"/>
      <c r="G829" s="33"/>
      <c r="H829" s="422"/>
      <c r="L829" s="33"/>
      <c r="M829" s="33"/>
    </row>
    <row r="830" spans="3:13" ht="18" customHeight="1" x14ac:dyDescent="0.25">
      <c r="C830" s="81"/>
      <c r="G830" s="33"/>
      <c r="H830" s="422"/>
      <c r="L830" s="33"/>
      <c r="M830" s="33"/>
    </row>
    <row r="831" spans="3:13" ht="18" customHeight="1" x14ac:dyDescent="0.25">
      <c r="C831" s="81"/>
      <c r="G831" s="33"/>
      <c r="H831" s="422"/>
      <c r="L831" s="33"/>
      <c r="M831" s="33"/>
    </row>
    <row r="832" spans="3:13" ht="18" customHeight="1" x14ac:dyDescent="0.25">
      <c r="C832" s="81"/>
      <c r="G832" s="33"/>
      <c r="H832" s="422"/>
      <c r="L832" s="33"/>
      <c r="M832" s="33"/>
    </row>
    <row r="833" spans="3:13" ht="18" customHeight="1" x14ac:dyDescent="0.25">
      <c r="C833" s="81"/>
      <c r="G833" s="33"/>
      <c r="H833" s="422"/>
      <c r="L833" s="33"/>
      <c r="M833" s="33"/>
    </row>
    <row r="834" spans="3:13" ht="18" customHeight="1" x14ac:dyDescent="0.25">
      <c r="C834" s="81"/>
      <c r="G834" s="33"/>
      <c r="H834" s="422"/>
      <c r="L834" s="33"/>
      <c r="M834" s="33"/>
    </row>
    <row r="835" spans="3:13" ht="18" customHeight="1" x14ac:dyDescent="0.25">
      <c r="C835" s="81"/>
      <c r="G835" s="33"/>
      <c r="H835" s="422"/>
      <c r="L835" s="33"/>
      <c r="M835" s="33"/>
    </row>
    <row r="836" spans="3:13" ht="18" customHeight="1" x14ac:dyDescent="0.25">
      <c r="C836" s="81"/>
      <c r="G836" s="33"/>
      <c r="H836" s="422"/>
      <c r="L836" s="33"/>
      <c r="M836" s="33"/>
    </row>
    <row r="837" spans="3:13" ht="18" customHeight="1" x14ac:dyDescent="0.25">
      <c r="C837" s="81"/>
      <c r="G837" s="33"/>
      <c r="H837" s="422"/>
      <c r="L837" s="33"/>
      <c r="M837" s="33"/>
    </row>
    <row r="838" spans="3:13" ht="18" customHeight="1" x14ac:dyDescent="0.25">
      <c r="C838" s="81"/>
      <c r="G838" s="33"/>
      <c r="H838" s="422"/>
      <c r="L838" s="33"/>
      <c r="M838" s="33"/>
    </row>
    <row r="839" spans="3:13" ht="18" customHeight="1" x14ac:dyDescent="0.25">
      <c r="C839" s="81"/>
      <c r="G839" s="33"/>
      <c r="H839" s="422"/>
      <c r="L839" s="33"/>
      <c r="M839" s="33"/>
    </row>
    <row r="840" spans="3:13" ht="18" customHeight="1" x14ac:dyDescent="0.25">
      <c r="C840" s="82"/>
      <c r="G840" s="33"/>
      <c r="H840" s="422"/>
      <c r="L840" s="33"/>
      <c r="M840" s="33"/>
    </row>
    <row r="841" spans="3:13" ht="18" customHeight="1" x14ac:dyDescent="0.25">
      <c r="C841" s="82"/>
      <c r="G841" s="33"/>
      <c r="H841" s="422"/>
      <c r="L841" s="33"/>
      <c r="M841" s="33"/>
    </row>
    <row r="842" spans="3:13" ht="18" customHeight="1" x14ac:dyDescent="0.25">
      <c r="C842" s="34"/>
      <c r="G842" s="33"/>
      <c r="H842" s="422"/>
      <c r="L842" s="33"/>
      <c r="M842" s="33"/>
    </row>
    <row r="843" spans="3:13" ht="18" customHeight="1" x14ac:dyDescent="0.25">
      <c r="E843" s="70"/>
      <c r="F843" s="70"/>
    </row>
    <row r="844" spans="3:13" ht="18" customHeight="1" x14ac:dyDescent="0.25">
      <c r="E844" s="70"/>
      <c r="F844" s="70"/>
    </row>
    <row r="845" spans="3:13" ht="18" customHeight="1" x14ac:dyDescent="0.25">
      <c r="E845" s="70"/>
      <c r="F845" s="70"/>
    </row>
    <row r="846" spans="3:13" ht="18" customHeight="1" x14ac:dyDescent="0.25">
      <c r="E846" s="70"/>
      <c r="F846" s="70"/>
    </row>
    <row r="847" spans="3:13" ht="18" customHeight="1" x14ac:dyDescent="0.25">
      <c r="E847" s="70"/>
      <c r="F847" s="70"/>
    </row>
    <row r="848" spans="3:13" ht="18" customHeight="1" x14ac:dyDescent="0.25">
      <c r="E848" s="70"/>
      <c r="F848" s="70"/>
    </row>
    <row r="850" spans="2:14" s="34" customFormat="1" ht="18" customHeight="1" x14ac:dyDescent="0.25">
      <c r="D850" s="119"/>
      <c r="G850" s="66"/>
      <c r="H850" s="420"/>
      <c r="I850" s="402"/>
    </row>
    <row r="851" spans="2:14" s="1" customFormat="1" ht="18" customHeight="1" x14ac:dyDescent="0.25">
      <c r="B851" s="38"/>
      <c r="C851" s="59"/>
      <c r="D851" s="119"/>
      <c r="E851" s="75"/>
      <c r="F851" s="61"/>
      <c r="G851" s="54"/>
      <c r="H851" s="409"/>
      <c r="I851" s="402"/>
      <c r="N851" s="55"/>
    </row>
    <row r="852" spans="2:14" s="1" customFormat="1" ht="18" customHeight="1" x14ac:dyDescent="0.25">
      <c r="B852" s="38"/>
      <c r="C852" s="59"/>
      <c r="D852" s="119"/>
      <c r="E852" s="75"/>
      <c r="F852" s="61"/>
      <c r="G852" s="55"/>
      <c r="H852" s="410"/>
      <c r="I852" s="402"/>
      <c r="N852" s="55"/>
    </row>
    <row r="853" spans="2:14" s="1" customFormat="1" ht="18" customHeight="1" x14ac:dyDescent="0.25">
      <c r="B853" s="38"/>
      <c r="C853" s="59"/>
      <c r="D853" s="119"/>
      <c r="E853" s="75"/>
      <c r="F853" s="61"/>
      <c r="G853" s="55"/>
      <c r="H853" s="410"/>
      <c r="I853" s="402"/>
      <c r="N853" s="55"/>
    </row>
    <row r="854" spans="2:14" s="1" customFormat="1" ht="18" customHeight="1" x14ac:dyDescent="0.25">
      <c r="B854" s="38"/>
      <c r="C854" s="59"/>
      <c r="D854" s="119"/>
      <c r="E854" s="76"/>
      <c r="F854" s="2"/>
      <c r="G854" s="55"/>
      <c r="H854" s="410"/>
      <c r="I854" s="357"/>
      <c r="N854" s="55"/>
    </row>
    <row r="855" spans="2:14" s="1" customFormat="1" ht="18" customHeight="1" x14ac:dyDescent="0.25">
      <c r="B855" s="38"/>
      <c r="C855" s="59"/>
      <c r="D855" s="119"/>
      <c r="E855" s="75"/>
      <c r="F855" s="61"/>
      <c r="G855" s="55"/>
      <c r="H855" s="410"/>
      <c r="I855" s="402"/>
      <c r="N855" s="55"/>
    </row>
    <row r="856" spans="2:14" s="1" customFormat="1" ht="18" customHeight="1" x14ac:dyDescent="0.25">
      <c r="B856" s="38"/>
      <c r="C856" s="59"/>
      <c r="D856" s="119"/>
      <c r="E856" s="75"/>
      <c r="F856" s="61"/>
      <c r="G856" s="55"/>
      <c r="H856" s="410"/>
      <c r="I856" s="357"/>
      <c r="N856" s="55"/>
    </row>
    <row r="857" spans="2:14" s="1" customFormat="1" ht="18" customHeight="1" x14ac:dyDescent="0.25">
      <c r="B857" s="38"/>
      <c r="C857" s="59"/>
      <c r="D857" s="119"/>
      <c r="E857" s="76"/>
      <c r="F857" s="2"/>
      <c r="G857" s="55"/>
      <c r="H857" s="410"/>
      <c r="I857" s="357"/>
      <c r="N857" s="55"/>
    </row>
    <row r="858" spans="2:14" s="1" customFormat="1" ht="18" customHeight="1" x14ac:dyDescent="0.25">
      <c r="B858" s="38"/>
      <c r="C858" s="59"/>
      <c r="D858" s="119"/>
      <c r="E858" s="76"/>
      <c r="F858" s="2"/>
      <c r="G858" s="55"/>
      <c r="H858" s="410"/>
      <c r="I858" s="357"/>
      <c r="N858" s="55"/>
    </row>
    <row r="859" spans="2:14" s="1" customFormat="1" ht="18" customHeight="1" x14ac:dyDescent="0.25">
      <c r="B859" s="38"/>
      <c r="C859" s="59"/>
      <c r="D859" s="119"/>
      <c r="E859" s="75"/>
      <c r="F859" s="61"/>
      <c r="G859" s="55"/>
      <c r="H859" s="410"/>
      <c r="I859" s="357"/>
      <c r="N859" s="55"/>
    </row>
    <row r="860" spans="2:14" s="1" customFormat="1" ht="18" customHeight="1" x14ac:dyDescent="0.25">
      <c r="B860" s="38"/>
      <c r="C860" s="59"/>
      <c r="D860" s="119"/>
      <c r="E860" s="75"/>
      <c r="F860" s="61"/>
      <c r="G860" s="55"/>
      <c r="H860" s="410"/>
      <c r="I860" s="357"/>
      <c r="N860" s="55"/>
    </row>
    <row r="861" spans="2:14" s="1" customFormat="1" ht="18" customHeight="1" x14ac:dyDescent="0.25">
      <c r="B861" s="38"/>
      <c r="C861" s="59"/>
      <c r="D861" s="119"/>
      <c r="E861" s="76"/>
      <c r="F861" s="2"/>
      <c r="G861" s="55"/>
      <c r="H861" s="410"/>
      <c r="I861" s="357"/>
      <c r="N861" s="55"/>
    </row>
    <row r="862" spans="2:14" s="1" customFormat="1" ht="18" customHeight="1" x14ac:dyDescent="0.25">
      <c r="B862" s="38"/>
      <c r="C862" s="59"/>
      <c r="D862" s="119"/>
      <c r="E862" s="76"/>
      <c r="F862" s="2"/>
      <c r="G862" s="55"/>
      <c r="H862" s="410"/>
      <c r="I862" s="357"/>
      <c r="N862" s="55"/>
    </row>
    <row r="863" spans="2:14" s="1" customFormat="1" ht="18" customHeight="1" x14ac:dyDescent="0.25">
      <c r="B863" s="38"/>
      <c r="C863" s="59"/>
      <c r="D863" s="119"/>
      <c r="E863" s="75"/>
      <c r="F863" s="61"/>
      <c r="H863" s="426"/>
      <c r="I863" s="357"/>
      <c r="N863" s="55"/>
    </row>
    <row r="864" spans="2:14" s="1" customFormat="1" ht="18" customHeight="1" x14ac:dyDescent="0.25">
      <c r="B864" s="38"/>
      <c r="C864" s="59"/>
      <c r="D864" s="119"/>
      <c r="E864" s="75"/>
      <c r="F864" s="61"/>
      <c r="G864" s="54"/>
      <c r="H864" s="409"/>
      <c r="I864" s="402"/>
      <c r="N864" s="55"/>
    </row>
    <row r="865" spans="2:14" s="1" customFormat="1" ht="18" customHeight="1" x14ac:dyDescent="0.25">
      <c r="B865" s="38"/>
      <c r="C865" s="70"/>
      <c r="D865" s="119"/>
      <c r="E865" s="75"/>
      <c r="F865" s="61"/>
      <c r="G865" s="55"/>
      <c r="H865" s="410"/>
      <c r="I865" s="402"/>
      <c r="N865" s="55"/>
    </row>
    <row r="866" spans="2:14" s="1" customFormat="1" ht="18" customHeight="1" x14ac:dyDescent="0.25">
      <c r="B866" s="38"/>
      <c r="C866" s="59"/>
      <c r="D866" s="119"/>
      <c r="E866" s="75"/>
      <c r="F866" s="61"/>
      <c r="G866" s="55"/>
      <c r="H866" s="410"/>
      <c r="I866" s="357"/>
      <c r="N866" s="55"/>
    </row>
    <row r="867" spans="2:14" s="34" customFormat="1" ht="18" customHeight="1" x14ac:dyDescent="0.25">
      <c r="D867" s="119"/>
      <c r="G867" s="66"/>
      <c r="H867" s="420"/>
      <c r="I867" s="402"/>
    </row>
    <row r="868" spans="2:14" s="34" customFormat="1" ht="18" customHeight="1" x14ac:dyDescent="0.25">
      <c r="D868" s="120"/>
      <c r="F868" s="30"/>
      <c r="G868" s="30"/>
      <c r="H868" s="423"/>
      <c r="I868" s="402"/>
      <c r="L868" s="30"/>
      <c r="M868" s="30"/>
    </row>
    <row r="895" spans="3:13" ht="18" customHeight="1" x14ac:dyDescent="0.25">
      <c r="C895" s="34"/>
      <c r="G895" s="59"/>
      <c r="H895" s="419"/>
      <c r="L895" s="33"/>
      <c r="M895" s="33"/>
    </row>
    <row r="896" spans="3:13" ht="18" customHeight="1" x14ac:dyDescent="0.25">
      <c r="C896" s="34"/>
      <c r="G896" s="59"/>
      <c r="H896" s="419"/>
      <c r="L896" s="33"/>
      <c r="M896" s="33"/>
    </row>
    <row r="897" spans="3:13" ht="18" customHeight="1" x14ac:dyDescent="0.25">
      <c r="C897" s="34"/>
      <c r="G897" s="59"/>
      <c r="H897" s="419"/>
      <c r="L897" s="33"/>
      <c r="M897" s="33"/>
    </row>
    <row r="898" spans="3:13" ht="18" customHeight="1" x14ac:dyDescent="0.25">
      <c r="C898" s="34"/>
      <c r="G898" s="59"/>
      <c r="H898" s="419"/>
      <c r="L898" s="33"/>
      <c r="M898" s="33"/>
    </row>
    <row r="899" spans="3:13" ht="18" customHeight="1" x14ac:dyDescent="0.25">
      <c r="C899" s="34"/>
      <c r="G899" s="59"/>
      <c r="H899" s="419"/>
      <c r="L899" s="33"/>
      <c r="M899" s="33"/>
    </row>
    <row r="900" spans="3:13" ht="18" customHeight="1" x14ac:dyDescent="0.25">
      <c r="C900" s="34"/>
      <c r="G900" s="59"/>
      <c r="H900" s="419"/>
      <c r="L900" s="33"/>
      <c r="M900" s="33"/>
    </row>
    <row r="901" spans="3:13" ht="18" customHeight="1" x14ac:dyDescent="0.25">
      <c r="C901" s="34"/>
      <c r="G901" s="59"/>
      <c r="H901" s="419"/>
      <c r="L901" s="33"/>
      <c r="M901" s="33"/>
    </row>
    <row r="902" spans="3:13" ht="18" customHeight="1" x14ac:dyDescent="0.25">
      <c r="C902" s="34"/>
      <c r="G902" s="59"/>
      <c r="H902" s="419"/>
      <c r="L902" s="33"/>
      <c r="M902" s="33"/>
    </row>
    <row r="903" spans="3:13" ht="18" customHeight="1" x14ac:dyDescent="0.25">
      <c r="C903" s="34"/>
      <c r="G903" s="59"/>
      <c r="H903" s="419"/>
      <c r="L903" s="33"/>
      <c r="M903" s="33"/>
    </row>
    <row r="904" spans="3:13" s="34" customFormat="1" ht="18" customHeight="1" x14ac:dyDescent="0.25">
      <c r="D904" s="120"/>
      <c r="F904" s="30"/>
      <c r="H904" s="417"/>
      <c r="I904" s="402"/>
      <c r="L904" s="30"/>
      <c r="M904" s="30"/>
    </row>
    <row r="905" spans="3:13" s="34" customFormat="1" ht="18" customHeight="1" x14ac:dyDescent="0.25">
      <c r="D905" s="119"/>
      <c r="F905" s="67"/>
      <c r="G905" s="66"/>
      <c r="H905" s="420"/>
      <c r="I905" s="402"/>
    </row>
    <row r="906" spans="3:13" s="34" customFormat="1" ht="18" customHeight="1" x14ac:dyDescent="0.25">
      <c r="D906" s="119"/>
      <c r="F906" s="67"/>
      <c r="G906" s="66"/>
      <c r="H906" s="420"/>
      <c r="I906" s="402"/>
    </row>
    <row r="907" spans="3:13" ht="18" customHeight="1" x14ac:dyDescent="0.25">
      <c r="F907" s="57"/>
    </row>
    <row r="908" spans="3:13" ht="18" customHeight="1" x14ac:dyDescent="0.25">
      <c r="F908" s="57"/>
    </row>
    <row r="909" spans="3:13" ht="18" customHeight="1" x14ac:dyDescent="0.25">
      <c r="F909" s="57"/>
    </row>
    <row r="910" spans="3:13" ht="18" customHeight="1" x14ac:dyDescent="0.25">
      <c r="F910" s="57"/>
    </row>
    <row r="911" spans="3:13" ht="18" customHeight="1" x14ac:dyDescent="0.25">
      <c r="F911" s="57"/>
    </row>
    <row r="912" spans="3:13" ht="18" customHeight="1" x14ac:dyDescent="0.25">
      <c r="F912" s="57"/>
    </row>
    <row r="913" spans="6:6" ht="18" customHeight="1" x14ac:dyDescent="0.25">
      <c r="F913" s="57"/>
    </row>
    <row r="914" spans="6:6" ht="18" customHeight="1" x14ac:dyDescent="0.25">
      <c r="F914" s="57"/>
    </row>
    <row r="915" spans="6:6" ht="18" customHeight="1" x14ac:dyDescent="0.25">
      <c r="F915" s="57"/>
    </row>
    <row r="916" spans="6:6" ht="18" customHeight="1" x14ac:dyDescent="0.25">
      <c r="F916" s="57"/>
    </row>
    <row r="917" spans="6:6" ht="18" customHeight="1" x14ac:dyDescent="0.25">
      <c r="F917" s="57"/>
    </row>
    <row r="918" spans="6:6" ht="18" customHeight="1" x14ac:dyDescent="0.25">
      <c r="F918" s="57"/>
    </row>
    <row r="919" spans="6:6" ht="18" customHeight="1" x14ac:dyDescent="0.25">
      <c r="F919" s="57"/>
    </row>
    <row r="920" spans="6:6" ht="18" customHeight="1" x14ac:dyDescent="0.25">
      <c r="F920" s="57"/>
    </row>
    <row r="921" spans="6:6" ht="18" customHeight="1" x14ac:dyDescent="0.25">
      <c r="F921" s="57"/>
    </row>
    <row r="922" spans="6:6" ht="18" customHeight="1" x14ac:dyDescent="0.25">
      <c r="F922" s="57"/>
    </row>
    <row r="923" spans="6:6" ht="18" customHeight="1" x14ac:dyDescent="0.25">
      <c r="F923" s="57"/>
    </row>
    <row r="924" spans="6:6" ht="18" customHeight="1" x14ac:dyDescent="0.25">
      <c r="F924" s="57"/>
    </row>
    <row r="925" spans="6:6" ht="18" customHeight="1" x14ac:dyDescent="0.25">
      <c r="F925" s="57"/>
    </row>
    <row r="926" spans="6:6" ht="18" customHeight="1" x14ac:dyDescent="0.25">
      <c r="F926" s="57"/>
    </row>
    <row r="927" spans="6:6" ht="18" customHeight="1" x14ac:dyDescent="0.25">
      <c r="F927" s="57"/>
    </row>
    <row r="928" spans="6:6" ht="18" customHeight="1" x14ac:dyDescent="0.25">
      <c r="F928" s="57"/>
    </row>
    <row r="929" spans="6:6" ht="18" customHeight="1" x14ac:dyDescent="0.25">
      <c r="F929" s="57"/>
    </row>
    <row r="930" spans="6:6" ht="18" customHeight="1" x14ac:dyDescent="0.25">
      <c r="F930" s="57"/>
    </row>
    <row r="931" spans="6:6" ht="18" customHeight="1" x14ac:dyDescent="0.25">
      <c r="F931" s="57"/>
    </row>
    <row r="932" spans="6:6" ht="18" customHeight="1" x14ac:dyDescent="0.25">
      <c r="F932" s="57"/>
    </row>
    <row r="933" spans="6:6" ht="18" customHeight="1" x14ac:dyDescent="0.25">
      <c r="F933" s="57"/>
    </row>
    <row r="934" spans="6:6" ht="18" customHeight="1" x14ac:dyDescent="0.25">
      <c r="F934" s="57"/>
    </row>
    <row r="935" spans="6:6" ht="18" customHeight="1" x14ac:dyDescent="0.25">
      <c r="F935" s="57"/>
    </row>
    <row r="936" spans="6:6" ht="18" customHeight="1" x14ac:dyDescent="0.25">
      <c r="F936" s="57"/>
    </row>
    <row r="937" spans="6:6" ht="18" customHeight="1" x14ac:dyDescent="0.25">
      <c r="F937" s="57"/>
    </row>
    <row r="938" spans="6:6" ht="18" customHeight="1" x14ac:dyDescent="0.25">
      <c r="F938" s="57"/>
    </row>
    <row r="939" spans="6:6" ht="18" customHeight="1" x14ac:dyDescent="0.25">
      <c r="F939" s="57"/>
    </row>
    <row r="940" spans="6:6" ht="18" customHeight="1" x14ac:dyDescent="0.25">
      <c r="F940" s="57"/>
    </row>
    <row r="941" spans="6:6" ht="18" customHeight="1" x14ac:dyDescent="0.25">
      <c r="F941" s="57"/>
    </row>
    <row r="942" spans="6:6" ht="18" customHeight="1" x14ac:dyDescent="0.25">
      <c r="F942" s="57"/>
    </row>
    <row r="943" spans="6:6" ht="18" customHeight="1" x14ac:dyDescent="0.25">
      <c r="F943" s="57"/>
    </row>
    <row r="944" spans="6:6" ht="18" customHeight="1" x14ac:dyDescent="0.25">
      <c r="F944" s="57"/>
    </row>
    <row r="945" spans="6:6" ht="18" customHeight="1" x14ac:dyDescent="0.25">
      <c r="F945" s="57"/>
    </row>
    <row r="946" spans="6:6" ht="18" customHeight="1" x14ac:dyDescent="0.25">
      <c r="F946" s="57"/>
    </row>
    <row r="947" spans="6:6" ht="18" customHeight="1" x14ac:dyDescent="0.25">
      <c r="F947" s="57"/>
    </row>
    <row r="948" spans="6:6" ht="18" customHeight="1" x14ac:dyDescent="0.25">
      <c r="F948" s="57"/>
    </row>
    <row r="949" spans="6:6" ht="18" customHeight="1" x14ac:dyDescent="0.25">
      <c r="F949" s="57"/>
    </row>
    <row r="950" spans="6:6" ht="18" customHeight="1" x14ac:dyDescent="0.25">
      <c r="F950" s="57"/>
    </row>
    <row r="951" spans="6:6" ht="18" customHeight="1" x14ac:dyDescent="0.25">
      <c r="F951" s="57"/>
    </row>
    <row r="952" spans="6:6" ht="18" customHeight="1" x14ac:dyDescent="0.25">
      <c r="F952" s="57"/>
    </row>
    <row r="953" spans="6:6" ht="18" customHeight="1" x14ac:dyDescent="0.25">
      <c r="F953" s="57"/>
    </row>
    <row r="954" spans="6:6" ht="18" customHeight="1" x14ac:dyDescent="0.25">
      <c r="F954" s="57"/>
    </row>
    <row r="955" spans="6:6" ht="18" customHeight="1" x14ac:dyDescent="0.25">
      <c r="F955" s="57"/>
    </row>
    <row r="956" spans="6:6" ht="18" customHeight="1" x14ac:dyDescent="0.25">
      <c r="F956" s="57"/>
    </row>
    <row r="957" spans="6:6" ht="18" customHeight="1" x14ac:dyDescent="0.25">
      <c r="F957" s="57"/>
    </row>
    <row r="958" spans="6:6" ht="18" customHeight="1" x14ac:dyDescent="0.25">
      <c r="F958" s="57"/>
    </row>
    <row r="959" spans="6:6" ht="18" customHeight="1" x14ac:dyDescent="0.25">
      <c r="F959" s="57"/>
    </row>
    <row r="960" spans="6:6" ht="18" customHeight="1" x14ac:dyDescent="0.25">
      <c r="F960" s="57"/>
    </row>
    <row r="961" spans="6:6" ht="18" customHeight="1" x14ac:dyDescent="0.25">
      <c r="F961" s="57"/>
    </row>
    <row r="962" spans="6:6" ht="18" customHeight="1" x14ac:dyDescent="0.25">
      <c r="F962" s="57"/>
    </row>
    <row r="963" spans="6:6" ht="18" customHeight="1" x14ac:dyDescent="0.25">
      <c r="F963" s="57"/>
    </row>
    <row r="964" spans="6:6" ht="18" customHeight="1" x14ac:dyDescent="0.25">
      <c r="F964" s="57"/>
    </row>
    <row r="965" spans="6:6" ht="18" customHeight="1" x14ac:dyDescent="0.25">
      <c r="F965" s="57"/>
    </row>
    <row r="966" spans="6:6" ht="18" customHeight="1" x14ac:dyDescent="0.25">
      <c r="F966" s="57"/>
    </row>
    <row r="967" spans="6:6" ht="18" customHeight="1" x14ac:dyDescent="0.25">
      <c r="F967" s="57"/>
    </row>
    <row r="968" spans="6:6" ht="18" customHeight="1" x14ac:dyDescent="0.25">
      <c r="F968" s="57"/>
    </row>
    <row r="969" spans="6:6" ht="18" customHeight="1" x14ac:dyDescent="0.25">
      <c r="F969" s="57"/>
    </row>
    <row r="970" spans="6:6" ht="18" customHeight="1" x14ac:dyDescent="0.25">
      <c r="F970" s="57"/>
    </row>
    <row r="971" spans="6:6" ht="18" customHeight="1" x14ac:dyDescent="0.25">
      <c r="F971" s="57"/>
    </row>
    <row r="972" spans="6:6" ht="18" customHeight="1" x14ac:dyDescent="0.25">
      <c r="F972" s="57"/>
    </row>
    <row r="973" spans="6:6" ht="18" customHeight="1" x14ac:dyDescent="0.25">
      <c r="F973" s="57"/>
    </row>
    <row r="974" spans="6:6" ht="18" customHeight="1" x14ac:dyDescent="0.25">
      <c r="F974" s="57"/>
    </row>
    <row r="975" spans="6:6" ht="18" customHeight="1" x14ac:dyDescent="0.25">
      <c r="F975" s="57"/>
    </row>
    <row r="976" spans="6:6" ht="18" customHeight="1" x14ac:dyDescent="0.25">
      <c r="F976" s="57"/>
    </row>
    <row r="977" spans="3:13" s="34" customFormat="1" ht="18" customHeight="1" x14ac:dyDescent="0.25">
      <c r="D977" s="119"/>
      <c r="F977" s="67"/>
      <c r="G977" s="66"/>
      <c r="H977" s="420"/>
      <c r="I977" s="402"/>
    </row>
    <row r="979" spans="3:13" ht="18" customHeight="1" x14ac:dyDescent="0.25">
      <c r="C979" s="34"/>
      <c r="F979" s="33"/>
      <c r="G979" s="33"/>
      <c r="H979" s="422"/>
      <c r="L979" s="33"/>
      <c r="M979" s="33"/>
    </row>
    <row r="980" spans="3:13" ht="18" customHeight="1" x14ac:dyDescent="0.25">
      <c r="C980" s="34"/>
      <c r="F980" s="33"/>
      <c r="G980" s="33"/>
      <c r="H980" s="422"/>
      <c r="L980" s="33"/>
      <c r="M980" s="33"/>
    </row>
    <row r="981" spans="3:13" ht="18" customHeight="1" x14ac:dyDescent="0.25">
      <c r="C981" s="34"/>
      <c r="F981" s="33"/>
      <c r="G981" s="33"/>
      <c r="H981" s="422"/>
      <c r="L981" s="33"/>
      <c r="M981" s="33"/>
    </row>
    <row r="982" spans="3:13" ht="18" customHeight="1" x14ac:dyDescent="0.25">
      <c r="C982" s="34"/>
      <c r="F982" s="33"/>
      <c r="G982" s="33"/>
      <c r="H982" s="422"/>
      <c r="L982" s="33"/>
      <c r="M982" s="33"/>
    </row>
    <row r="983" spans="3:13" ht="18" customHeight="1" x14ac:dyDescent="0.25">
      <c r="C983" s="34"/>
      <c r="F983" s="33"/>
      <c r="G983" s="33"/>
      <c r="H983" s="422"/>
      <c r="L983" s="33"/>
      <c r="M983" s="33"/>
    </row>
    <row r="984" spans="3:13" ht="18" customHeight="1" x14ac:dyDescent="0.25">
      <c r="C984" s="34"/>
      <c r="F984" s="33"/>
      <c r="G984" s="33"/>
      <c r="H984" s="422"/>
      <c r="L984" s="33"/>
      <c r="M984" s="33"/>
    </row>
    <row r="985" spans="3:13" ht="18" customHeight="1" x14ac:dyDescent="0.25">
      <c r="C985" s="34"/>
      <c r="F985" s="33"/>
      <c r="G985" s="33"/>
      <c r="H985" s="422"/>
      <c r="L985" s="33"/>
      <c r="M985" s="33"/>
    </row>
    <row r="986" spans="3:13" ht="18" customHeight="1" x14ac:dyDescent="0.25">
      <c r="C986" s="34"/>
      <c r="F986" s="33"/>
      <c r="G986" s="33"/>
      <c r="H986" s="422"/>
      <c r="L986" s="33"/>
      <c r="M986" s="33"/>
    </row>
    <row r="987" spans="3:13" ht="18" customHeight="1" x14ac:dyDescent="0.25">
      <c r="C987" s="34"/>
      <c r="G987" s="33"/>
      <c r="H987" s="422"/>
      <c r="L987" s="33"/>
      <c r="M987" s="33"/>
    </row>
    <row r="988" spans="3:13" ht="18" customHeight="1" x14ac:dyDescent="0.25">
      <c r="C988" s="34"/>
      <c r="G988" s="33"/>
      <c r="H988" s="422"/>
      <c r="L988" s="33"/>
      <c r="M988" s="33"/>
    </row>
    <row r="989" spans="3:13" ht="18" customHeight="1" x14ac:dyDescent="0.25">
      <c r="C989" s="34"/>
      <c r="G989" s="33"/>
      <c r="H989" s="422"/>
      <c r="L989" s="33"/>
      <c r="M989" s="33"/>
    </row>
    <row r="990" spans="3:13" ht="18" customHeight="1" x14ac:dyDescent="0.25">
      <c r="C990" s="34"/>
      <c r="G990" s="33"/>
      <c r="H990" s="422"/>
      <c r="L990" s="33"/>
      <c r="M990" s="33"/>
    </row>
    <row r="991" spans="3:13" ht="18" customHeight="1" x14ac:dyDescent="0.25">
      <c r="C991" s="34"/>
      <c r="G991" s="33"/>
      <c r="H991" s="422"/>
      <c r="L991" s="33"/>
      <c r="M991" s="33"/>
    </row>
    <row r="992" spans="3:13" ht="18" customHeight="1" x14ac:dyDescent="0.25">
      <c r="C992" s="34"/>
      <c r="G992" s="33"/>
      <c r="H992" s="422"/>
      <c r="L992" s="33"/>
      <c r="M992" s="33"/>
    </row>
    <row r="993" spans="3:13" ht="18" customHeight="1" x14ac:dyDescent="0.25">
      <c r="C993" s="34"/>
      <c r="G993" s="33"/>
      <c r="H993" s="422"/>
      <c r="L993" s="33"/>
      <c r="M993" s="33"/>
    </row>
    <row r="994" spans="3:13" ht="18" customHeight="1" x14ac:dyDescent="0.25">
      <c r="C994" s="34"/>
      <c r="G994" s="33"/>
      <c r="H994" s="422"/>
      <c r="L994" s="33"/>
      <c r="M994" s="33"/>
    </row>
    <row r="995" spans="3:13" s="34" customFormat="1" ht="18" customHeight="1" x14ac:dyDescent="0.25">
      <c r="D995" s="119"/>
      <c r="F995" s="67"/>
      <c r="G995" s="66"/>
      <c r="H995" s="420"/>
      <c r="I995" s="402"/>
    </row>
    <row r="996" spans="3:13" ht="18" customHeight="1" x14ac:dyDescent="0.25">
      <c r="F996" s="68"/>
    </row>
    <row r="997" spans="3:13" ht="18" customHeight="1" x14ac:dyDescent="0.25">
      <c r="D997" s="121"/>
      <c r="E997" s="70"/>
      <c r="F997" s="71"/>
    </row>
    <row r="998" spans="3:13" ht="18" customHeight="1" x14ac:dyDescent="0.25">
      <c r="D998" s="121"/>
      <c r="E998" s="70"/>
      <c r="F998" s="71"/>
    </row>
    <row r="999" spans="3:13" ht="18" customHeight="1" x14ac:dyDescent="0.25">
      <c r="D999" s="121"/>
      <c r="E999" s="70"/>
      <c r="F999" s="71"/>
    </row>
    <row r="1000" spans="3:13" ht="18" customHeight="1" x14ac:dyDescent="0.25">
      <c r="F1000" s="68"/>
    </row>
    <row r="1001" spans="3:13" ht="18" customHeight="1" x14ac:dyDescent="0.25">
      <c r="F1001" s="68"/>
    </row>
    <row r="1002" spans="3:13" ht="18" customHeight="1" x14ac:dyDescent="0.25">
      <c r="F1002" s="68"/>
    </row>
    <row r="1003" spans="3:13" ht="18" customHeight="1" x14ac:dyDescent="0.25">
      <c r="D1003" s="121"/>
    </row>
    <row r="1004" spans="3:13" ht="18" customHeight="1" x14ac:dyDescent="0.25">
      <c r="D1004" s="121"/>
    </row>
    <row r="1005" spans="3:13" s="34" customFormat="1" ht="18" customHeight="1" x14ac:dyDescent="0.25">
      <c r="D1005" s="121"/>
      <c r="G1005" s="66"/>
      <c r="H1005" s="420"/>
      <c r="I1005" s="402"/>
    </row>
    <row r="1006" spans="3:13" s="34" customFormat="1" ht="18" customHeight="1" x14ac:dyDescent="0.25">
      <c r="D1006" s="119"/>
      <c r="G1006" s="66"/>
      <c r="H1006" s="420"/>
      <c r="I1006" s="402"/>
    </row>
    <row r="1007" spans="3:13" ht="18" customHeight="1" x14ac:dyDescent="0.25">
      <c r="D1007" s="121"/>
      <c r="E1007" s="70"/>
      <c r="F1007" s="70"/>
    </row>
    <row r="1009" spans="2:14" ht="18" customHeight="1" x14ac:dyDescent="0.25">
      <c r="C1009" s="34"/>
    </row>
    <row r="1010" spans="2:14" s="72" customFormat="1" ht="18" customHeight="1" x14ac:dyDescent="0.25">
      <c r="B1010" s="73"/>
      <c r="D1010" s="122"/>
      <c r="E1010" s="76"/>
      <c r="F1010" s="2"/>
      <c r="G1010" s="56"/>
      <c r="H1010" s="425"/>
      <c r="I1010" s="311"/>
      <c r="N1010" s="56"/>
    </row>
    <row r="1011" spans="2:14" s="72" customFormat="1" ht="18" customHeight="1" x14ac:dyDescent="0.25">
      <c r="B1011" s="73"/>
      <c r="D1011" s="122"/>
      <c r="E1011" s="76"/>
      <c r="F1011" s="2"/>
      <c r="G1011" s="56"/>
      <c r="H1011" s="425"/>
      <c r="I1011" s="311"/>
      <c r="N1011" s="56"/>
    </row>
    <row r="1012" spans="2:14" s="72" customFormat="1" ht="18" customHeight="1" x14ac:dyDescent="0.25">
      <c r="B1012" s="73"/>
      <c r="C1012" s="78"/>
      <c r="D1012" s="123"/>
      <c r="E1012" s="75"/>
      <c r="F1012" s="61"/>
      <c r="G1012" s="56"/>
      <c r="H1012" s="425"/>
      <c r="I1012" s="311"/>
      <c r="N1012" s="56"/>
    </row>
    <row r="1013" spans="2:14" s="72" customFormat="1" ht="18" customHeight="1" x14ac:dyDescent="0.25">
      <c r="B1013" s="73"/>
      <c r="D1013" s="122"/>
      <c r="E1013" s="76"/>
      <c r="F1013" s="2"/>
      <c r="G1013" s="56"/>
      <c r="H1013" s="425"/>
      <c r="I1013" s="311"/>
      <c r="N1013" s="56"/>
    </row>
    <row r="1014" spans="2:14" s="72" customFormat="1" ht="18" customHeight="1" x14ac:dyDescent="0.25">
      <c r="B1014" s="73"/>
      <c r="D1014" s="122"/>
      <c r="E1014" s="76"/>
      <c r="F1014" s="2"/>
      <c r="G1014" s="56"/>
      <c r="H1014" s="425"/>
      <c r="I1014" s="311"/>
      <c r="N1014" s="56"/>
    </row>
    <row r="1015" spans="2:14" s="72" customFormat="1" ht="18" customHeight="1" x14ac:dyDescent="0.25">
      <c r="B1015" s="73"/>
      <c r="D1015" s="122"/>
      <c r="E1015" s="76"/>
      <c r="F1015" s="2"/>
      <c r="G1015" s="56"/>
      <c r="H1015" s="425"/>
      <c r="I1015" s="311"/>
      <c r="N1015" s="56"/>
    </row>
    <row r="1016" spans="2:14" s="72" customFormat="1" ht="18" customHeight="1" x14ac:dyDescent="0.25">
      <c r="B1016" s="73"/>
      <c r="D1016" s="122"/>
      <c r="E1016" s="76"/>
      <c r="F1016" s="2"/>
      <c r="G1016" s="56"/>
      <c r="H1016" s="425"/>
      <c r="I1016" s="311"/>
      <c r="N1016" s="56"/>
    </row>
    <row r="1017" spans="2:14" s="72" customFormat="1" ht="18" customHeight="1" x14ac:dyDescent="0.25">
      <c r="B1017" s="73"/>
      <c r="D1017" s="122"/>
      <c r="E1017" s="76"/>
      <c r="F1017" s="2"/>
      <c r="G1017" s="56"/>
      <c r="H1017" s="425"/>
      <c r="I1017" s="311"/>
      <c r="N1017" s="56"/>
    </row>
    <row r="1018" spans="2:14" s="72" customFormat="1" ht="18" customHeight="1" x14ac:dyDescent="0.25">
      <c r="B1018" s="73"/>
      <c r="D1018" s="122"/>
      <c r="E1018" s="76"/>
      <c r="F1018" s="2"/>
      <c r="G1018" s="56"/>
      <c r="H1018" s="425"/>
      <c r="I1018" s="311"/>
      <c r="N1018" s="56"/>
    </row>
    <row r="1019" spans="2:14" s="34" customFormat="1" ht="18" customHeight="1" x14ac:dyDescent="0.25">
      <c r="D1019" s="119"/>
      <c r="G1019" s="66"/>
      <c r="H1019" s="420"/>
      <c r="I1019" s="402"/>
    </row>
    <row r="1021" spans="2:14" ht="18" customHeight="1" x14ac:dyDescent="0.25">
      <c r="D1021" s="121"/>
      <c r="E1021" s="70"/>
      <c r="F1021" s="70"/>
    </row>
    <row r="1022" spans="2:14" ht="18" customHeight="1" x14ac:dyDescent="0.25">
      <c r="D1022" s="121"/>
      <c r="E1022" s="70"/>
      <c r="F1022" s="70"/>
    </row>
    <row r="1023" spans="2:14" ht="18" customHeight="1" x14ac:dyDescent="0.25">
      <c r="D1023" s="121"/>
      <c r="E1023" s="70"/>
      <c r="F1023" s="70"/>
    </row>
    <row r="1036" spans="3:13" ht="18" customHeight="1" x14ac:dyDescent="0.25">
      <c r="C1036" s="34"/>
      <c r="G1036" s="33"/>
      <c r="H1036" s="422"/>
      <c r="M1036" s="33"/>
    </row>
    <row r="1037" spans="3:13" ht="18" customHeight="1" x14ac:dyDescent="0.25">
      <c r="C1037" s="34"/>
      <c r="G1037" s="33"/>
      <c r="H1037" s="422"/>
      <c r="M1037" s="33"/>
    </row>
    <row r="1038" spans="3:13" ht="18" customHeight="1" x14ac:dyDescent="0.25">
      <c r="C1038" s="34"/>
      <c r="G1038" s="33"/>
      <c r="H1038" s="422"/>
      <c r="M1038" s="33"/>
    </row>
    <row r="1039" spans="3:13" ht="18" customHeight="1" x14ac:dyDescent="0.25">
      <c r="G1039" s="33"/>
      <c r="H1039" s="422"/>
      <c r="M1039" s="33"/>
    </row>
    <row r="1040" spans="3:13" ht="18" customHeight="1" x14ac:dyDescent="0.25">
      <c r="G1040" s="33"/>
      <c r="H1040" s="422"/>
      <c r="M1040" s="33"/>
    </row>
    <row r="1041" spans="4:13" ht="18" customHeight="1" x14ac:dyDescent="0.25">
      <c r="G1041" s="33"/>
      <c r="H1041" s="422"/>
      <c r="M1041" s="33"/>
    </row>
    <row r="1042" spans="4:13" ht="18" customHeight="1" x14ac:dyDescent="0.25">
      <c r="G1042" s="33"/>
      <c r="H1042" s="422"/>
      <c r="M1042" s="33"/>
    </row>
    <row r="1043" spans="4:13" ht="18" customHeight="1" x14ac:dyDescent="0.25">
      <c r="G1043" s="33"/>
      <c r="H1043" s="422"/>
      <c r="M1043" s="33"/>
    </row>
    <row r="1044" spans="4:13" ht="18" customHeight="1" x14ac:dyDescent="0.25">
      <c r="G1044" s="33"/>
      <c r="H1044" s="422"/>
      <c r="M1044" s="33"/>
    </row>
    <row r="1045" spans="4:13" ht="18" customHeight="1" x14ac:dyDescent="0.25">
      <c r="G1045" s="33"/>
      <c r="H1045" s="422"/>
      <c r="M1045" s="33"/>
    </row>
    <row r="1046" spans="4:13" ht="18" customHeight="1" x14ac:dyDescent="0.25">
      <c r="D1046" s="121"/>
      <c r="E1046" s="70"/>
      <c r="F1046" s="70"/>
      <c r="G1046" s="33"/>
      <c r="H1046" s="422"/>
      <c r="M1046" s="33"/>
    </row>
    <row r="1047" spans="4:13" ht="18" customHeight="1" x14ac:dyDescent="0.25">
      <c r="G1047" s="33"/>
      <c r="H1047" s="422"/>
      <c r="M1047" s="33"/>
    </row>
    <row r="1048" spans="4:13" ht="18" customHeight="1" x14ac:dyDescent="0.25">
      <c r="G1048" s="33"/>
      <c r="H1048" s="422"/>
      <c r="M1048" s="33"/>
    </row>
    <row r="1049" spans="4:13" ht="18" customHeight="1" x14ac:dyDescent="0.25">
      <c r="G1049" s="33"/>
      <c r="H1049" s="422"/>
      <c r="M1049" s="33"/>
    </row>
    <row r="1050" spans="4:13" ht="18" customHeight="1" x14ac:dyDescent="0.25">
      <c r="G1050" s="33"/>
      <c r="H1050" s="422"/>
      <c r="M1050" s="33"/>
    </row>
    <row r="1051" spans="4:13" ht="18" customHeight="1" x14ac:dyDescent="0.25">
      <c r="G1051" s="33"/>
      <c r="H1051" s="422"/>
      <c r="M1051" s="33"/>
    </row>
    <row r="1052" spans="4:13" ht="18" customHeight="1" x14ac:dyDescent="0.25">
      <c r="G1052" s="33"/>
      <c r="H1052" s="422"/>
      <c r="M1052" s="33"/>
    </row>
    <row r="1053" spans="4:13" ht="18" customHeight="1" x14ac:dyDescent="0.25">
      <c r="G1053" s="33"/>
      <c r="H1053" s="422"/>
      <c r="M1053" s="33"/>
    </row>
    <row r="1054" spans="4:13" s="34" customFormat="1" ht="18" customHeight="1" x14ac:dyDescent="0.25">
      <c r="D1054" s="119"/>
      <c r="G1054" s="30"/>
      <c r="H1054" s="423"/>
      <c r="I1054" s="402"/>
      <c r="M1054" s="30"/>
    </row>
    <row r="1055" spans="4:13" s="34" customFormat="1" ht="18" customHeight="1" x14ac:dyDescent="0.25">
      <c r="D1055" s="119"/>
      <c r="G1055" s="30"/>
      <c r="H1055" s="423"/>
      <c r="I1055" s="402"/>
      <c r="M1055" s="30"/>
    </row>
    <row r="1056" spans="4:13" ht="18" customHeight="1" x14ac:dyDescent="0.25">
      <c r="D1056" s="121"/>
      <c r="E1056" s="70"/>
      <c r="F1056" s="70"/>
      <c r="G1056" s="33"/>
      <c r="H1056" s="422"/>
      <c r="M1056" s="33"/>
    </row>
    <row r="1057" spans="2:14" ht="18" customHeight="1" x14ac:dyDescent="0.25">
      <c r="D1057" s="121"/>
      <c r="E1057" s="70"/>
      <c r="F1057" s="70"/>
      <c r="G1057" s="33"/>
      <c r="H1057" s="422"/>
      <c r="M1057" s="33"/>
    </row>
    <row r="1058" spans="2:14" ht="18" customHeight="1" x14ac:dyDescent="0.25">
      <c r="D1058" s="121"/>
      <c r="E1058" s="70"/>
      <c r="F1058" s="70"/>
      <c r="G1058" s="33"/>
      <c r="H1058" s="422"/>
      <c r="M1058" s="33"/>
    </row>
    <row r="1059" spans="2:14" ht="18" customHeight="1" x14ac:dyDescent="0.25">
      <c r="G1059" s="33"/>
      <c r="H1059" s="422"/>
      <c r="M1059" s="33"/>
    </row>
    <row r="1060" spans="2:14" ht="18" customHeight="1" x14ac:dyDescent="0.25">
      <c r="G1060" s="33"/>
      <c r="H1060" s="422"/>
      <c r="M1060" s="33"/>
    </row>
    <row r="1061" spans="2:14" ht="18" customHeight="1" x14ac:dyDescent="0.25">
      <c r="G1061" s="33"/>
      <c r="H1061" s="422"/>
      <c r="M1061" s="33"/>
    </row>
    <row r="1062" spans="2:14" ht="18" customHeight="1" x14ac:dyDescent="0.25">
      <c r="G1062" s="33"/>
      <c r="H1062" s="422"/>
      <c r="M1062" s="33"/>
    </row>
    <row r="1063" spans="2:14" ht="18" customHeight="1" x14ac:dyDescent="0.25">
      <c r="G1063" s="33"/>
      <c r="H1063" s="422"/>
      <c r="M1063" s="33"/>
    </row>
    <row r="1064" spans="2:14" ht="18" customHeight="1" x14ac:dyDescent="0.25">
      <c r="G1064" s="33"/>
      <c r="H1064" s="422"/>
      <c r="M1064" s="33"/>
    </row>
    <row r="1065" spans="2:14" ht="18" customHeight="1" x14ac:dyDescent="0.25">
      <c r="G1065" s="33"/>
      <c r="H1065" s="422"/>
      <c r="M1065" s="33"/>
    </row>
    <row r="1066" spans="2:14" ht="18" customHeight="1" x14ac:dyDescent="0.25">
      <c r="G1066" s="33"/>
      <c r="H1066" s="422"/>
      <c r="M1066" s="33"/>
    </row>
    <row r="1067" spans="2:14" ht="18" customHeight="1" x14ac:dyDescent="0.25">
      <c r="G1067" s="33"/>
      <c r="H1067" s="422"/>
      <c r="M1067" s="33"/>
    </row>
    <row r="1068" spans="2:14" s="34" customFormat="1" ht="18" customHeight="1" x14ac:dyDescent="0.25">
      <c r="D1068" s="119"/>
      <c r="G1068" s="30"/>
      <c r="H1068" s="423"/>
      <c r="I1068" s="402"/>
      <c r="M1068" s="30"/>
    </row>
    <row r="1069" spans="2:14" s="72" customFormat="1" ht="18" customHeight="1" x14ac:dyDescent="0.25">
      <c r="B1069" s="73"/>
      <c r="D1069" s="123"/>
      <c r="E1069" s="75"/>
      <c r="F1069" s="61"/>
      <c r="G1069" s="56"/>
      <c r="H1069" s="425"/>
      <c r="I1069" s="311"/>
      <c r="N1069" s="56"/>
    </row>
    <row r="1070" spans="2:14" s="72" customFormat="1" ht="18" customHeight="1" x14ac:dyDescent="0.25">
      <c r="B1070" s="73"/>
      <c r="D1070" s="123"/>
      <c r="E1070" s="75"/>
      <c r="F1070" s="61"/>
      <c r="G1070" s="56"/>
      <c r="H1070" s="425"/>
      <c r="I1070" s="311"/>
      <c r="N1070" s="56"/>
    </row>
    <row r="1071" spans="2:14" s="72" customFormat="1" ht="18" customHeight="1" x14ac:dyDescent="0.25">
      <c r="B1071" s="73"/>
      <c r="D1071" s="122"/>
      <c r="E1071" s="76"/>
      <c r="F1071" s="2"/>
      <c r="G1071" s="56"/>
      <c r="H1071" s="425"/>
      <c r="I1071" s="311"/>
      <c r="N1071" s="56"/>
    </row>
    <row r="1072" spans="2:14" s="73" customFormat="1" ht="18" customHeight="1" x14ac:dyDescent="0.25">
      <c r="D1072" s="122"/>
      <c r="E1072" s="77"/>
      <c r="F1072" s="60"/>
      <c r="G1072" s="63"/>
      <c r="H1072" s="427"/>
      <c r="I1072" s="311"/>
      <c r="N1072" s="63"/>
    </row>
    <row r="1073" spans="2:14" s="72" customFormat="1" ht="18" customHeight="1" x14ac:dyDescent="0.25">
      <c r="B1073" s="73"/>
      <c r="D1073" s="122"/>
      <c r="E1073" s="76"/>
      <c r="F1073" s="2"/>
      <c r="G1073" s="56"/>
      <c r="H1073" s="425"/>
      <c r="I1073" s="311"/>
      <c r="N1073" s="56"/>
    </row>
    <row r="1084" spans="2:14" s="34" customFormat="1" ht="18" customHeight="1" x14ac:dyDescent="0.25">
      <c r="D1084" s="119"/>
      <c r="F1084" s="67"/>
      <c r="G1084" s="66"/>
      <c r="H1084" s="420"/>
      <c r="I1084" s="402"/>
    </row>
    <row r="1085" spans="2:14" s="34" customFormat="1" ht="18" customHeight="1" x14ac:dyDescent="0.25">
      <c r="D1085" s="119"/>
      <c r="F1085" s="67"/>
      <c r="G1085" s="66"/>
      <c r="H1085" s="420"/>
      <c r="I1085" s="402"/>
    </row>
    <row r="1087" spans="2:14" ht="18" customHeight="1" x14ac:dyDescent="0.25">
      <c r="D1087" s="121"/>
      <c r="E1087" s="70"/>
      <c r="F1087" s="70"/>
    </row>
    <row r="1088" spans="2:14" ht="18" customHeight="1" x14ac:dyDescent="0.25">
      <c r="C1088" s="34"/>
      <c r="D1088" s="120"/>
      <c r="G1088" s="33"/>
      <c r="H1088" s="422"/>
      <c r="M1088" s="33"/>
    </row>
    <row r="1089" spans="3:13" ht="18" customHeight="1" x14ac:dyDescent="0.25">
      <c r="C1089" s="34"/>
      <c r="G1089" s="33"/>
      <c r="H1089" s="422"/>
      <c r="M1089" s="33"/>
    </row>
    <row r="1090" spans="3:13" ht="18" customHeight="1" x14ac:dyDescent="0.25">
      <c r="C1090" s="34"/>
      <c r="D1090" s="120"/>
      <c r="G1090" s="33"/>
      <c r="H1090" s="422"/>
      <c r="M1090" s="33"/>
    </row>
    <row r="1091" spans="3:13" ht="18" customHeight="1" x14ac:dyDescent="0.25">
      <c r="C1091" s="34"/>
      <c r="D1091" s="120"/>
      <c r="G1091" s="33"/>
      <c r="H1091" s="422"/>
      <c r="M1091" s="33"/>
    </row>
    <row r="1092" spans="3:13" ht="18" customHeight="1" x14ac:dyDescent="0.25">
      <c r="C1092" s="34"/>
      <c r="D1092" s="121"/>
      <c r="E1092" s="70"/>
      <c r="F1092" s="70"/>
      <c r="G1092" s="33"/>
      <c r="H1092" s="422"/>
      <c r="M1092" s="33"/>
    </row>
    <row r="1093" spans="3:13" ht="18" customHeight="1" x14ac:dyDescent="0.25">
      <c r="C1093" s="34"/>
      <c r="D1093" s="124"/>
      <c r="E1093" s="70"/>
      <c r="F1093" s="70"/>
      <c r="G1093" s="33"/>
      <c r="H1093" s="422"/>
      <c r="M1093" s="33"/>
    </row>
    <row r="1094" spans="3:13" ht="18" customHeight="1" x14ac:dyDescent="0.25">
      <c r="C1094" s="34"/>
      <c r="D1094" s="120"/>
      <c r="G1094" s="33"/>
      <c r="H1094" s="422"/>
      <c r="M1094" s="33"/>
    </row>
    <row r="1095" spans="3:13" ht="18" customHeight="1" x14ac:dyDescent="0.25">
      <c r="C1095" s="34"/>
      <c r="G1095" s="33"/>
      <c r="H1095" s="422"/>
      <c r="M1095" s="33"/>
    </row>
    <row r="1096" spans="3:13" ht="18" customHeight="1" x14ac:dyDescent="0.25">
      <c r="C1096" s="34"/>
      <c r="G1096" s="33"/>
      <c r="H1096" s="422"/>
      <c r="M1096" s="33"/>
    </row>
    <row r="1097" spans="3:13" ht="18" customHeight="1" x14ac:dyDescent="0.25">
      <c r="C1097" s="34"/>
      <c r="D1097" s="120"/>
      <c r="G1097" s="33"/>
      <c r="H1097" s="422"/>
      <c r="M1097" s="33"/>
    </row>
    <row r="1098" spans="3:13" ht="18" customHeight="1" x14ac:dyDescent="0.25">
      <c r="C1098" s="34"/>
      <c r="D1098" s="120"/>
      <c r="G1098" s="33"/>
      <c r="H1098" s="422"/>
      <c r="M1098" s="33"/>
    </row>
    <row r="1099" spans="3:13" ht="18" customHeight="1" x14ac:dyDescent="0.25">
      <c r="C1099" s="34"/>
      <c r="G1099" s="33"/>
      <c r="H1099" s="422"/>
      <c r="M1099" s="33"/>
    </row>
    <row r="1100" spans="3:13" ht="18" customHeight="1" x14ac:dyDescent="0.25">
      <c r="C1100" s="34"/>
      <c r="D1100" s="120"/>
      <c r="G1100" s="33"/>
      <c r="H1100" s="422"/>
      <c r="M1100" s="33"/>
    </row>
    <row r="1101" spans="3:13" ht="18" customHeight="1" x14ac:dyDescent="0.25">
      <c r="C1101" s="34"/>
      <c r="D1101" s="120"/>
      <c r="G1101" s="33"/>
      <c r="H1101" s="422"/>
      <c r="M1101" s="33"/>
    </row>
    <row r="1102" spans="3:13" ht="18" customHeight="1" x14ac:dyDescent="0.25">
      <c r="C1102" s="34"/>
      <c r="G1102" s="33"/>
      <c r="H1102" s="422"/>
      <c r="M1102" s="33"/>
    </row>
    <row r="1103" spans="3:13" ht="18" customHeight="1" x14ac:dyDescent="0.25">
      <c r="D1103" s="120"/>
    </row>
    <row r="1104" spans="3:13" ht="18" customHeight="1" x14ac:dyDescent="0.25">
      <c r="D1104" s="120"/>
    </row>
    <row r="1105" spans="2:14" ht="18" customHeight="1" x14ac:dyDescent="0.25">
      <c r="C1105" s="34"/>
      <c r="D1105" s="121"/>
      <c r="E1105" s="70"/>
      <c r="F1105" s="70"/>
    </row>
    <row r="1106" spans="2:14" ht="18" customHeight="1" x14ac:dyDescent="0.25">
      <c r="D1106" s="121"/>
      <c r="E1106" s="70"/>
      <c r="F1106" s="70"/>
    </row>
    <row r="1107" spans="2:14" ht="18" customHeight="1" x14ac:dyDescent="0.25">
      <c r="D1107" s="121"/>
      <c r="E1107" s="70"/>
      <c r="F1107" s="70"/>
    </row>
    <row r="1108" spans="2:14" ht="18" customHeight="1" x14ac:dyDescent="0.25">
      <c r="D1108" s="121"/>
      <c r="E1108" s="70"/>
      <c r="F1108" s="70"/>
    </row>
    <row r="1109" spans="2:14" ht="18" customHeight="1" x14ac:dyDescent="0.25">
      <c r="D1109" s="121"/>
      <c r="E1109" s="70"/>
      <c r="F1109" s="70"/>
    </row>
    <row r="1110" spans="2:14" ht="18" customHeight="1" x14ac:dyDescent="0.25">
      <c r="D1110" s="121"/>
      <c r="E1110" s="70"/>
      <c r="F1110" s="70"/>
    </row>
    <row r="1112" spans="2:14" s="34" customFormat="1" ht="18" customHeight="1" x14ac:dyDescent="0.25">
      <c r="D1112" s="120"/>
      <c r="G1112" s="66"/>
      <c r="H1112" s="420"/>
      <c r="I1112" s="402"/>
    </row>
    <row r="1113" spans="2:14" s="72" customFormat="1" ht="18" customHeight="1" x14ac:dyDescent="0.25">
      <c r="B1113" s="73"/>
      <c r="D1113" s="123"/>
      <c r="E1113" s="75"/>
      <c r="F1113" s="61"/>
      <c r="G1113" s="56"/>
      <c r="H1113" s="425"/>
      <c r="I1113" s="311"/>
      <c r="N1113" s="56"/>
    </row>
    <row r="1114" spans="2:14" s="72" customFormat="1" ht="18" customHeight="1" x14ac:dyDescent="0.25">
      <c r="B1114" s="73"/>
      <c r="D1114" s="123"/>
      <c r="E1114" s="75"/>
      <c r="F1114" s="61"/>
      <c r="G1114" s="56"/>
      <c r="H1114" s="425"/>
      <c r="I1114" s="311"/>
      <c r="N1114" s="56"/>
    </row>
    <row r="1115" spans="2:14" s="72" customFormat="1" ht="18" customHeight="1" x14ac:dyDescent="0.25">
      <c r="B1115" s="73"/>
      <c r="D1115" s="123"/>
      <c r="E1115" s="75"/>
      <c r="F1115" s="61"/>
      <c r="G1115" s="56"/>
      <c r="H1115" s="425"/>
      <c r="I1115" s="311"/>
      <c r="N1115" s="56"/>
    </row>
    <row r="1116" spans="2:14" ht="18" customHeight="1" x14ac:dyDescent="0.25">
      <c r="D1116" s="120"/>
    </row>
    <row r="1117" spans="2:14" ht="18" customHeight="1" x14ac:dyDescent="0.25">
      <c r="D1117" s="120"/>
    </row>
    <row r="1118" spans="2:14" ht="18" customHeight="1" x14ac:dyDescent="0.25">
      <c r="C1118" s="34"/>
      <c r="D1118" s="120"/>
      <c r="F1118" s="33"/>
      <c r="G1118" s="33"/>
      <c r="H1118" s="422"/>
      <c r="M1118" s="33"/>
    </row>
    <row r="1119" spans="2:14" ht="18" customHeight="1" x14ac:dyDescent="0.25">
      <c r="C1119" s="34"/>
      <c r="D1119" s="120"/>
      <c r="F1119" s="33"/>
      <c r="G1119" s="33"/>
      <c r="H1119" s="422"/>
      <c r="M1119" s="33"/>
    </row>
    <row r="1120" spans="2:14" ht="18" customHeight="1" x14ac:dyDescent="0.25">
      <c r="C1120" s="34"/>
      <c r="D1120" s="120"/>
      <c r="F1120" s="33"/>
      <c r="G1120" s="33"/>
      <c r="H1120" s="422"/>
      <c r="M1120" s="33"/>
    </row>
    <row r="1121" spans="4:13" s="34" customFormat="1" ht="18" customHeight="1" x14ac:dyDescent="0.25">
      <c r="D1121" s="120"/>
      <c r="F1121" s="30"/>
      <c r="G1121" s="30"/>
      <c r="H1121" s="423"/>
      <c r="I1121" s="402"/>
      <c r="M1121" s="30"/>
    </row>
    <row r="1122" spans="4:13" ht="18" customHeight="1" x14ac:dyDescent="0.25">
      <c r="F1122" s="33"/>
    </row>
    <row r="1123" spans="4:13" ht="18" customHeight="1" x14ac:dyDescent="0.25">
      <c r="D1123" s="121"/>
      <c r="E1123" s="70"/>
      <c r="F1123" s="62"/>
    </row>
    <row r="1124" spans="4:13" ht="18" customHeight="1" x14ac:dyDescent="0.25">
      <c r="D1124" s="121"/>
      <c r="E1124" s="70"/>
      <c r="F1124" s="62"/>
    </row>
    <row r="1125" spans="4:13" ht="18" customHeight="1" x14ac:dyDescent="0.25">
      <c r="D1125" s="121"/>
      <c r="E1125" s="70"/>
      <c r="F1125" s="62"/>
    </row>
    <row r="1126" spans="4:13" ht="18" customHeight="1" x14ac:dyDescent="0.25">
      <c r="D1126" s="121"/>
      <c r="E1126" s="70"/>
      <c r="F1126" s="62"/>
    </row>
    <row r="1127" spans="4:13" ht="18" customHeight="1" x14ac:dyDescent="0.25">
      <c r="D1127" s="121"/>
      <c r="E1127" s="70"/>
      <c r="F1127" s="62"/>
    </row>
    <row r="1128" spans="4:13" ht="18" customHeight="1" x14ac:dyDescent="0.25">
      <c r="D1128" s="121"/>
      <c r="E1128" s="70"/>
      <c r="F1128" s="62"/>
    </row>
    <row r="1129" spans="4:13" ht="18" customHeight="1" x14ac:dyDescent="0.25">
      <c r="D1129" s="121"/>
      <c r="E1129" s="70"/>
      <c r="F1129" s="62"/>
    </row>
    <row r="1130" spans="4:13" ht="18" customHeight="1" x14ac:dyDescent="0.25">
      <c r="D1130" s="121"/>
      <c r="E1130" s="70"/>
      <c r="F1130" s="62"/>
    </row>
    <row r="1131" spans="4:13" ht="18" customHeight="1" x14ac:dyDescent="0.25">
      <c r="D1131" s="121"/>
      <c r="E1131" s="70"/>
      <c r="F1131" s="62"/>
    </row>
    <row r="1132" spans="4:13" ht="18" customHeight="1" x14ac:dyDescent="0.25">
      <c r="D1132" s="121"/>
      <c r="E1132" s="70"/>
      <c r="F1132" s="62"/>
    </row>
    <row r="1133" spans="4:13" ht="18" customHeight="1" x14ac:dyDescent="0.25">
      <c r="D1133" s="121"/>
      <c r="E1133" s="70"/>
      <c r="F1133" s="62"/>
    </row>
    <row r="1134" spans="4:13" ht="18" customHeight="1" x14ac:dyDescent="0.25">
      <c r="D1134" s="121"/>
      <c r="E1134" s="70"/>
      <c r="F1134" s="62"/>
    </row>
    <row r="1135" spans="4:13" ht="18" customHeight="1" x14ac:dyDescent="0.25">
      <c r="D1135" s="121"/>
      <c r="E1135" s="70"/>
      <c r="F1135" s="62"/>
    </row>
    <row r="1136" spans="4:13" ht="18" customHeight="1" x14ac:dyDescent="0.25">
      <c r="D1136" s="121"/>
      <c r="E1136" s="70"/>
      <c r="F1136" s="62"/>
    </row>
    <row r="1137" spans="4:6" ht="18" customHeight="1" x14ac:dyDescent="0.25">
      <c r="D1137" s="121"/>
      <c r="E1137" s="70"/>
      <c r="F1137" s="62"/>
    </row>
    <row r="1138" spans="4:6" ht="18" customHeight="1" x14ac:dyDescent="0.25">
      <c r="D1138" s="121"/>
      <c r="E1138" s="70"/>
      <c r="F1138" s="62"/>
    </row>
    <row r="1139" spans="4:6" ht="18" customHeight="1" x14ac:dyDescent="0.25">
      <c r="D1139" s="121"/>
      <c r="E1139" s="70"/>
      <c r="F1139" s="62"/>
    </row>
    <row r="1140" spans="4:6" ht="18" customHeight="1" x14ac:dyDescent="0.25">
      <c r="D1140" s="121"/>
      <c r="E1140" s="70"/>
      <c r="F1140" s="62"/>
    </row>
    <row r="1141" spans="4:6" ht="18" customHeight="1" x14ac:dyDescent="0.25">
      <c r="D1141" s="121"/>
      <c r="E1141" s="70"/>
      <c r="F1141" s="62"/>
    </row>
    <row r="1142" spans="4:6" ht="18" customHeight="1" x14ac:dyDescent="0.25">
      <c r="D1142" s="121"/>
      <c r="E1142" s="70"/>
      <c r="F1142" s="62"/>
    </row>
    <row r="1143" spans="4:6" ht="18" customHeight="1" x14ac:dyDescent="0.25">
      <c r="F1143" s="33"/>
    </row>
    <row r="1144" spans="4:6" ht="18" customHeight="1" x14ac:dyDescent="0.25">
      <c r="F1144" s="33"/>
    </row>
    <row r="1145" spans="4:6" ht="18" customHeight="1" x14ac:dyDescent="0.25">
      <c r="F1145" s="33"/>
    </row>
    <row r="1146" spans="4:6" ht="18" customHeight="1" x14ac:dyDescent="0.25">
      <c r="F1146" s="33"/>
    </row>
    <row r="1147" spans="4:6" ht="18" customHeight="1" x14ac:dyDescent="0.25">
      <c r="F1147" s="33"/>
    </row>
    <row r="1148" spans="4:6" ht="18" customHeight="1" x14ac:dyDescent="0.25">
      <c r="F1148" s="33"/>
    </row>
    <row r="1149" spans="4:6" ht="18" customHeight="1" x14ac:dyDescent="0.25">
      <c r="F1149" s="33"/>
    </row>
    <row r="1150" spans="4:6" ht="18" customHeight="1" x14ac:dyDescent="0.25">
      <c r="F1150" s="33"/>
    </row>
    <row r="1151" spans="4:6" ht="18" customHeight="1" x14ac:dyDescent="0.25">
      <c r="F1151" s="33"/>
    </row>
    <row r="1152" spans="4:6" ht="18" customHeight="1" x14ac:dyDescent="0.25">
      <c r="F1152" s="33"/>
    </row>
    <row r="1153" spans="6:6" ht="18" customHeight="1" x14ac:dyDescent="0.25">
      <c r="F1153" s="33"/>
    </row>
    <row r="1154" spans="6:6" ht="18" customHeight="1" x14ac:dyDescent="0.25">
      <c r="F1154" s="33"/>
    </row>
    <row r="1155" spans="6:6" ht="18" customHeight="1" x14ac:dyDescent="0.25">
      <c r="F1155" s="33"/>
    </row>
    <row r="1156" spans="6:6" ht="18" customHeight="1" x14ac:dyDescent="0.25">
      <c r="F1156" s="33"/>
    </row>
    <row r="1157" spans="6:6" ht="18" customHeight="1" x14ac:dyDescent="0.25">
      <c r="F1157" s="33"/>
    </row>
    <row r="1158" spans="6:6" ht="18" customHeight="1" x14ac:dyDescent="0.25">
      <c r="F1158" s="33"/>
    </row>
    <row r="1159" spans="6:6" ht="18" customHeight="1" x14ac:dyDescent="0.25">
      <c r="F1159" s="33"/>
    </row>
    <row r="1160" spans="6:6" ht="18" customHeight="1" x14ac:dyDescent="0.25">
      <c r="F1160" s="33"/>
    </row>
    <row r="1161" spans="6:6" ht="18" customHeight="1" x14ac:dyDescent="0.25">
      <c r="F1161" s="33"/>
    </row>
    <row r="1162" spans="6:6" ht="18" customHeight="1" x14ac:dyDescent="0.25">
      <c r="F1162" s="33"/>
    </row>
    <row r="1163" spans="6:6" ht="18" customHeight="1" x14ac:dyDescent="0.25">
      <c r="F1163" s="33"/>
    </row>
    <row r="1164" spans="6:6" ht="18" customHeight="1" x14ac:dyDescent="0.25">
      <c r="F1164" s="33"/>
    </row>
    <row r="1165" spans="6:6" ht="18" customHeight="1" x14ac:dyDescent="0.25">
      <c r="F1165" s="33"/>
    </row>
    <row r="1166" spans="6:6" ht="18" customHeight="1" x14ac:dyDescent="0.25">
      <c r="F1166" s="33"/>
    </row>
    <row r="1167" spans="6:6" ht="18" customHeight="1" x14ac:dyDescent="0.25">
      <c r="F1167" s="33"/>
    </row>
    <row r="1168" spans="6:6" ht="18" customHeight="1" x14ac:dyDescent="0.25">
      <c r="F1168" s="33"/>
    </row>
    <row r="1169" spans="6:8" ht="18" customHeight="1" x14ac:dyDescent="0.25">
      <c r="F1169" s="33"/>
    </row>
    <row r="1170" spans="6:8" ht="18" customHeight="1" x14ac:dyDescent="0.25">
      <c r="F1170" s="33"/>
    </row>
    <row r="1171" spans="6:8" ht="18" customHeight="1" x14ac:dyDescent="0.25">
      <c r="F1171" s="33"/>
    </row>
    <row r="1172" spans="6:8" ht="18" customHeight="1" x14ac:dyDescent="0.25">
      <c r="F1172" s="33"/>
    </row>
    <row r="1173" spans="6:8" ht="18" customHeight="1" x14ac:dyDescent="0.25">
      <c r="F1173" s="33"/>
    </row>
    <row r="1174" spans="6:8" ht="18" customHeight="1" x14ac:dyDescent="0.25">
      <c r="F1174" s="33"/>
    </row>
    <row r="1175" spans="6:8" ht="18" customHeight="1" x14ac:dyDescent="0.25">
      <c r="F1175" s="33"/>
    </row>
    <row r="1176" spans="6:8" ht="18" customHeight="1" x14ac:dyDescent="0.25">
      <c r="F1176" s="33"/>
    </row>
    <row r="1177" spans="6:8" ht="18" customHeight="1" x14ac:dyDescent="0.25">
      <c r="F1177" s="33"/>
    </row>
    <row r="1178" spans="6:8" ht="18" customHeight="1" x14ac:dyDescent="0.25">
      <c r="F1178" s="33"/>
    </row>
    <row r="1179" spans="6:8" ht="18" customHeight="1" x14ac:dyDescent="0.25">
      <c r="F1179" s="33"/>
    </row>
    <row r="1180" spans="6:8" ht="18" customHeight="1" x14ac:dyDescent="0.25">
      <c r="F1180" s="33"/>
    </row>
    <row r="1181" spans="6:8" ht="18" customHeight="1" x14ac:dyDescent="0.25">
      <c r="F1181" s="33"/>
    </row>
    <row r="1182" spans="6:8" ht="18" customHeight="1" x14ac:dyDescent="0.25">
      <c r="F1182" s="33"/>
      <c r="G1182" s="57"/>
      <c r="H1182" s="405"/>
    </row>
    <row r="1183" spans="6:8" ht="18" customHeight="1" x14ac:dyDescent="0.25">
      <c r="F1183" s="33"/>
    </row>
    <row r="1184" spans="6:8" ht="18" customHeight="1" x14ac:dyDescent="0.25">
      <c r="F1184" s="33"/>
    </row>
    <row r="1185" spans="6:6" ht="18" customHeight="1" x14ac:dyDescent="0.25">
      <c r="F1185" s="33"/>
    </row>
    <row r="1186" spans="6:6" ht="18" customHeight="1" x14ac:dyDescent="0.25">
      <c r="F1186" s="33"/>
    </row>
    <row r="1187" spans="6:6" ht="18" customHeight="1" x14ac:dyDescent="0.25">
      <c r="F1187" s="33"/>
    </row>
    <row r="1188" spans="6:6" ht="18" customHeight="1" x14ac:dyDescent="0.25">
      <c r="F1188" s="33"/>
    </row>
    <row r="1189" spans="6:6" ht="18" customHeight="1" x14ac:dyDescent="0.25">
      <c r="F1189" s="33"/>
    </row>
    <row r="1190" spans="6:6" ht="18" customHeight="1" x14ac:dyDescent="0.25">
      <c r="F1190" s="33"/>
    </row>
    <row r="1191" spans="6:6" ht="18" customHeight="1" x14ac:dyDescent="0.25">
      <c r="F1191" s="33"/>
    </row>
    <row r="1192" spans="6:6" ht="18" customHeight="1" x14ac:dyDescent="0.25">
      <c r="F1192" s="33"/>
    </row>
    <row r="1193" spans="6:6" ht="18" customHeight="1" x14ac:dyDescent="0.25">
      <c r="F1193" s="33"/>
    </row>
    <row r="1194" spans="6:6" ht="18" customHeight="1" x14ac:dyDescent="0.25">
      <c r="F1194" s="33"/>
    </row>
    <row r="1195" spans="6:6" ht="18" customHeight="1" x14ac:dyDescent="0.25">
      <c r="F1195" s="33"/>
    </row>
    <row r="1196" spans="6:6" ht="18" customHeight="1" x14ac:dyDescent="0.25">
      <c r="F1196" s="33"/>
    </row>
    <row r="1197" spans="6:6" ht="18" customHeight="1" x14ac:dyDescent="0.25">
      <c r="F1197" s="33"/>
    </row>
    <row r="1198" spans="6:6" ht="18" customHeight="1" x14ac:dyDescent="0.25">
      <c r="F1198" s="33"/>
    </row>
    <row r="1199" spans="6:6" ht="18" customHeight="1" x14ac:dyDescent="0.25">
      <c r="F1199" s="33"/>
    </row>
    <row r="1200" spans="6:6" ht="18" customHeight="1" x14ac:dyDescent="0.25">
      <c r="F1200" s="33"/>
    </row>
    <row r="1201" spans="6:6" ht="18" customHeight="1" x14ac:dyDescent="0.25">
      <c r="F1201" s="33"/>
    </row>
    <row r="1202" spans="6:6" ht="18" customHeight="1" x14ac:dyDescent="0.25">
      <c r="F1202" s="33"/>
    </row>
    <row r="1203" spans="6:6" ht="18" customHeight="1" x14ac:dyDescent="0.25">
      <c r="F1203" s="33"/>
    </row>
    <row r="1204" spans="6:6" ht="18" customHeight="1" x14ac:dyDescent="0.25">
      <c r="F1204" s="33"/>
    </row>
    <row r="1205" spans="6:6" ht="18" customHeight="1" x14ac:dyDescent="0.25">
      <c r="F1205" s="33"/>
    </row>
    <row r="1206" spans="6:6" ht="18" customHeight="1" x14ac:dyDescent="0.25">
      <c r="F1206" s="33"/>
    </row>
    <row r="1207" spans="6:6" ht="18" customHeight="1" x14ac:dyDescent="0.25">
      <c r="F1207" s="33"/>
    </row>
    <row r="1208" spans="6:6" ht="18" customHeight="1" x14ac:dyDescent="0.25">
      <c r="F1208" s="33"/>
    </row>
    <row r="1209" spans="6:6" ht="18" customHeight="1" x14ac:dyDescent="0.25">
      <c r="F1209" s="33"/>
    </row>
    <row r="1210" spans="6:6" ht="18" customHeight="1" x14ac:dyDescent="0.25">
      <c r="F1210" s="33"/>
    </row>
    <row r="1211" spans="6:6" ht="18" customHeight="1" x14ac:dyDescent="0.25">
      <c r="F1211" s="33"/>
    </row>
    <row r="1212" spans="6:6" ht="18" customHeight="1" x14ac:dyDescent="0.25">
      <c r="F1212" s="33"/>
    </row>
    <row r="1213" spans="6:6" ht="18" customHeight="1" x14ac:dyDescent="0.25">
      <c r="F1213" s="33"/>
    </row>
    <row r="1214" spans="6:6" ht="18" customHeight="1" x14ac:dyDescent="0.25">
      <c r="F1214" s="33"/>
    </row>
    <row r="1215" spans="6:6" ht="18" customHeight="1" x14ac:dyDescent="0.25">
      <c r="F1215" s="33"/>
    </row>
    <row r="1216" spans="6:6" ht="18" customHeight="1" x14ac:dyDescent="0.25">
      <c r="F1216" s="33"/>
    </row>
    <row r="1217" spans="6:6" ht="18" customHeight="1" x14ac:dyDescent="0.25">
      <c r="F1217" s="33"/>
    </row>
    <row r="1218" spans="6:6" ht="18" customHeight="1" x14ac:dyDescent="0.25">
      <c r="F1218" s="33"/>
    </row>
    <row r="1219" spans="6:6" ht="18" customHeight="1" x14ac:dyDescent="0.25">
      <c r="F1219" s="33"/>
    </row>
    <row r="1220" spans="6:6" ht="18" customHeight="1" x14ac:dyDescent="0.25">
      <c r="F1220" s="33"/>
    </row>
    <row r="1221" spans="6:6" ht="18" customHeight="1" x14ac:dyDescent="0.25">
      <c r="F1221" s="33"/>
    </row>
    <row r="1222" spans="6:6" ht="18" customHeight="1" x14ac:dyDescent="0.25">
      <c r="F1222" s="33"/>
    </row>
    <row r="1223" spans="6:6" ht="18" customHeight="1" x14ac:dyDescent="0.25">
      <c r="F1223" s="33"/>
    </row>
    <row r="1224" spans="6:6" ht="18" customHeight="1" x14ac:dyDescent="0.25">
      <c r="F1224" s="33"/>
    </row>
    <row r="1225" spans="6:6" ht="18" customHeight="1" x14ac:dyDescent="0.25">
      <c r="F1225" s="33"/>
    </row>
    <row r="1226" spans="6:6" ht="18" customHeight="1" x14ac:dyDescent="0.25">
      <c r="F1226" s="33"/>
    </row>
    <row r="1227" spans="6:6" ht="18" customHeight="1" x14ac:dyDescent="0.25">
      <c r="F1227" s="33"/>
    </row>
    <row r="1228" spans="6:6" ht="18" customHeight="1" x14ac:dyDescent="0.25">
      <c r="F1228" s="33"/>
    </row>
    <row r="1229" spans="6:6" ht="18" customHeight="1" x14ac:dyDescent="0.25">
      <c r="F1229" s="33"/>
    </row>
    <row r="1230" spans="6:6" ht="18" customHeight="1" x14ac:dyDescent="0.25">
      <c r="F1230" s="33"/>
    </row>
    <row r="1231" spans="6:6" ht="18" customHeight="1" x14ac:dyDescent="0.25">
      <c r="F1231" s="33"/>
    </row>
    <row r="1232" spans="6:6" ht="18" customHeight="1" x14ac:dyDescent="0.25">
      <c r="F1232" s="33"/>
    </row>
    <row r="1233" spans="2:14" ht="18" customHeight="1" x14ac:dyDescent="0.25">
      <c r="F1233" s="33"/>
    </row>
    <row r="1234" spans="2:14" ht="18" customHeight="1" x14ac:dyDescent="0.25">
      <c r="F1234" s="33"/>
    </row>
    <row r="1235" spans="2:14" ht="18" customHeight="1" x14ac:dyDescent="0.25">
      <c r="F1235" s="33"/>
    </row>
    <row r="1236" spans="2:14" ht="18" customHeight="1" x14ac:dyDescent="0.25">
      <c r="F1236" s="33"/>
    </row>
    <row r="1237" spans="2:14" ht="18" customHeight="1" x14ac:dyDescent="0.25">
      <c r="F1237" s="33"/>
    </row>
    <row r="1238" spans="2:14" s="72" customFormat="1" ht="18" customHeight="1" x14ac:dyDescent="0.25">
      <c r="B1238" s="73"/>
      <c r="C1238" s="73"/>
      <c r="D1238" s="119"/>
      <c r="E1238" s="76"/>
      <c r="F1238" s="2"/>
      <c r="G1238" s="56"/>
      <c r="H1238" s="425"/>
      <c r="I1238" s="311"/>
      <c r="N1238" s="56"/>
    </row>
    <row r="1239" spans="2:14" s="72" customFormat="1" ht="18" customHeight="1" x14ac:dyDescent="0.25">
      <c r="B1239" s="73"/>
      <c r="D1239" s="119"/>
      <c r="E1239" s="76"/>
      <c r="F1239" s="2"/>
      <c r="G1239" s="56"/>
      <c r="H1239" s="425"/>
      <c r="I1239" s="311"/>
      <c r="N1239" s="56"/>
    </row>
    <row r="1240" spans="2:14" s="72" customFormat="1" ht="18" customHeight="1" x14ac:dyDescent="0.25">
      <c r="B1240" s="73"/>
      <c r="D1240" s="119"/>
      <c r="E1240" s="76"/>
      <c r="F1240" s="2"/>
      <c r="G1240" s="56"/>
      <c r="H1240" s="425"/>
      <c r="I1240" s="311"/>
      <c r="N1240" s="56"/>
    </row>
    <row r="1241" spans="2:14" s="72" customFormat="1" ht="18" customHeight="1" x14ac:dyDescent="0.25">
      <c r="B1241" s="73"/>
      <c r="D1241" s="119"/>
      <c r="E1241" s="76"/>
      <c r="F1241" s="2"/>
      <c r="G1241" s="56"/>
      <c r="H1241" s="425"/>
      <c r="I1241" s="311"/>
      <c r="N1241" s="56"/>
    </row>
    <row r="1242" spans="2:14" s="72" customFormat="1" ht="18" customHeight="1" x14ac:dyDescent="0.25">
      <c r="B1242" s="73"/>
      <c r="D1242" s="119"/>
      <c r="E1242" s="76"/>
      <c r="F1242" s="2"/>
      <c r="G1242" s="56"/>
      <c r="H1242" s="425"/>
      <c r="I1242" s="311"/>
      <c r="N1242" s="56"/>
    </row>
    <row r="1243" spans="2:14" s="72" customFormat="1" ht="18" customHeight="1" x14ac:dyDescent="0.25">
      <c r="B1243" s="73"/>
      <c r="D1243" s="119"/>
      <c r="E1243" s="76"/>
      <c r="F1243" s="2"/>
      <c r="G1243" s="56"/>
      <c r="H1243" s="425"/>
      <c r="I1243" s="311"/>
      <c r="N1243" s="56"/>
    </row>
    <row r="1244" spans="2:14" s="72" customFormat="1" ht="18" customHeight="1" x14ac:dyDescent="0.25">
      <c r="B1244" s="73"/>
      <c r="D1244" s="122"/>
      <c r="E1244" s="76"/>
      <c r="F1244" s="83"/>
      <c r="G1244" s="56"/>
      <c r="H1244" s="425"/>
      <c r="I1244" s="311"/>
      <c r="N1244" s="56"/>
    </row>
    <row r="1245" spans="2:14" ht="18" customHeight="1" x14ac:dyDescent="0.25">
      <c r="D1245" s="125"/>
      <c r="F1245" s="33"/>
    </row>
    <row r="1246" spans="2:14" ht="18" customHeight="1" x14ac:dyDescent="0.25">
      <c r="D1246" s="125"/>
      <c r="F1246" s="33"/>
    </row>
    <row r="1247" spans="2:14" ht="18" customHeight="1" x14ac:dyDescent="0.25">
      <c r="C1247" s="34"/>
      <c r="D1247" s="120"/>
      <c r="F1247" s="33"/>
      <c r="G1247" s="33"/>
      <c r="H1247" s="422"/>
      <c r="L1247" s="33"/>
      <c r="M1247" s="33"/>
    </row>
    <row r="1248" spans="2:14" ht="18" customHeight="1" x14ac:dyDescent="0.25">
      <c r="C1248" s="34"/>
      <c r="D1248" s="124"/>
      <c r="E1248" s="70"/>
      <c r="F1248" s="62"/>
      <c r="G1248" s="33"/>
      <c r="H1248" s="422"/>
      <c r="L1248" s="33"/>
      <c r="M1248" s="33"/>
    </row>
    <row r="1249" spans="3:13" ht="18" customHeight="1" x14ac:dyDescent="0.25">
      <c r="C1249" s="34"/>
      <c r="D1249" s="124"/>
      <c r="E1249" s="70"/>
      <c r="F1249" s="62"/>
      <c r="G1249" s="33"/>
      <c r="H1249" s="422"/>
      <c r="L1249" s="33"/>
      <c r="M1249" s="33"/>
    </row>
    <row r="1250" spans="3:13" ht="18" customHeight="1" x14ac:dyDescent="0.25">
      <c r="C1250" s="34"/>
      <c r="D1250" s="120"/>
      <c r="F1250" s="33"/>
      <c r="G1250" s="33"/>
      <c r="H1250" s="422"/>
      <c r="L1250" s="33"/>
      <c r="M1250" s="33"/>
    </row>
    <row r="1251" spans="3:13" ht="18" customHeight="1" x14ac:dyDescent="0.25">
      <c r="C1251" s="34"/>
      <c r="D1251" s="120"/>
      <c r="F1251" s="33"/>
      <c r="G1251" s="33"/>
      <c r="H1251" s="422"/>
      <c r="L1251" s="33"/>
      <c r="M1251" s="33"/>
    </row>
    <row r="1252" spans="3:13" ht="18" customHeight="1" x14ac:dyDescent="0.25">
      <c r="C1252" s="34"/>
      <c r="D1252" s="120"/>
      <c r="F1252" s="33"/>
      <c r="G1252" s="33"/>
      <c r="H1252" s="422"/>
      <c r="L1252" s="33"/>
      <c r="M1252" s="33"/>
    </row>
    <row r="1253" spans="3:13" ht="18" customHeight="1" x14ac:dyDescent="0.25">
      <c r="C1253" s="34"/>
      <c r="D1253" s="120"/>
      <c r="F1253" s="33"/>
      <c r="G1253" s="33"/>
      <c r="H1253" s="422"/>
      <c r="L1253" s="33"/>
      <c r="M1253" s="33"/>
    </row>
    <row r="1254" spans="3:13" ht="18" customHeight="1" x14ac:dyDescent="0.25">
      <c r="C1254" s="34"/>
      <c r="D1254" s="120"/>
      <c r="F1254" s="33"/>
      <c r="G1254" s="33"/>
      <c r="H1254" s="422"/>
      <c r="L1254" s="33"/>
      <c r="M1254" s="33"/>
    </row>
    <row r="1255" spans="3:13" ht="18" customHeight="1" x14ac:dyDescent="0.25">
      <c r="C1255" s="34"/>
      <c r="D1255" s="120"/>
      <c r="F1255" s="33"/>
      <c r="G1255" s="33"/>
      <c r="H1255" s="422"/>
      <c r="L1255" s="33"/>
      <c r="M1255" s="33"/>
    </row>
    <row r="1256" spans="3:13" ht="18" customHeight="1" x14ac:dyDescent="0.25">
      <c r="C1256" s="34"/>
      <c r="D1256" s="120"/>
      <c r="F1256" s="33"/>
      <c r="G1256" s="33"/>
      <c r="H1256" s="422"/>
      <c r="L1256" s="33"/>
      <c r="M1256" s="33"/>
    </row>
    <row r="1257" spans="3:13" ht="18" customHeight="1" x14ac:dyDescent="0.25">
      <c r="C1257" s="34"/>
      <c r="D1257" s="120"/>
      <c r="F1257" s="33"/>
      <c r="G1257" s="33"/>
      <c r="H1257" s="422"/>
      <c r="L1257" s="33"/>
      <c r="M1257" s="33"/>
    </row>
    <row r="1258" spans="3:13" ht="18" customHeight="1" x14ac:dyDescent="0.25">
      <c r="C1258" s="34"/>
      <c r="D1258" s="120"/>
      <c r="F1258" s="33"/>
      <c r="G1258" s="33"/>
      <c r="H1258" s="422"/>
      <c r="L1258" s="33"/>
      <c r="M1258" s="33"/>
    </row>
    <row r="1259" spans="3:13" ht="18" customHeight="1" x14ac:dyDescent="0.25">
      <c r="C1259" s="34"/>
      <c r="D1259" s="120"/>
      <c r="F1259" s="33"/>
      <c r="G1259" s="33"/>
      <c r="H1259" s="422"/>
      <c r="L1259" s="33"/>
      <c r="M1259" s="33"/>
    </row>
    <row r="1260" spans="3:13" ht="18" customHeight="1" x14ac:dyDescent="0.25">
      <c r="C1260" s="34"/>
      <c r="D1260" s="120"/>
      <c r="F1260" s="33"/>
      <c r="G1260" s="33"/>
      <c r="H1260" s="422"/>
      <c r="L1260" s="33"/>
      <c r="M1260" s="33"/>
    </row>
    <row r="1261" spans="3:13" ht="18" customHeight="1" x14ac:dyDescent="0.25">
      <c r="C1261" s="34"/>
      <c r="D1261" s="120"/>
      <c r="F1261" s="33"/>
      <c r="G1261" s="33"/>
      <c r="H1261" s="422"/>
      <c r="L1261" s="33"/>
      <c r="M1261" s="33"/>
    </row>
    <row r="1262" spans="3:13" ht="18" customHeight="1" x14ac:dyDescent="0.25">
      <c r="C1262" s="34"/>
      <c r="D1262" s="120"/>
      <c r="F1262" s="33"/>
      <c r="G1262" s="33"/>
      <c r="H1262" s="422"/>
      <c r="L1262" s="33"/>
      <c r="M1262" s="33"/>
    </row>
    <row r="1263" spans="3:13" ht="18" customHeight="1" x14ac:dyDescent="0.25">
      <c r="C1263" s="34"/>
      <c r="D1263" s="120"/>
      <c r="F1263" s="33"/>
      <c r="G1263" s="33"/>
      <c r="H1263" s="422"/>
      <c r="L1263" s="33"/>
      <c r="M1263" s="33"/>
    </row>
    <row r="1264" spans="3:13" ht="18" customHeight="1" x14ac:dyDescent="0.25">
      <c r="C1264" s="34"/>
      <c r="D1264" s="120"/>
      <c r="F1264" s="33"/>
      <c r="G1264" s="33"/>
      <c r="H1264" s="422"/>
      <c r="L1264" s="33"/>
      <c r="M1264" s="33"/>
    </row>
    <row r="1265" spans="2:14" ht="18" customHeight="1" x14ac:dyDescent="0.25">
      <c r="C1265" s="34"/>
      <c r="D1265" s="120"/>
      <c r="F1265" s="33"/>
      <c r="G1265" s="33"/>
      <c r="H1265" s="422"/>
      <c r="L1265" s="33"/>
      <c r="M1265" s="33"/>
    </row>
    <row r="1266" spans="2:14" ht="18" customHeight="1" x14ac:dyDescent="0.25">
      <c r="C1266" s="34"/>
      <c r="D1266" s="120"/>
      <c r="F1266" s="33"/>
      <c r="G1266" s="33"/>
      <c r="H1266" s="422"/>
      <c r="L1266" s="33"/>
      <c r="M1266" s="33"/>
    </row>
    <row r="1267" spans="2:14" ht="18" customHeight="1" x14ac:dyDescent="0.25">
      <c r="C1267" s="34"/>
      <c r="D1267" s="120"/>
      <c r="F1267" s="33"/>
      <c r="G1267" s="33"/>
      <c r="H1267" s="422"/>
      <c r="L1267" s="33"/>
      <c r="M1267" s="33"/>
    </row>
    <row r="1268" spans="2:14" ht="18" customHeight="1" x14ac:dyDescent="0.25">
      <c r="C1268" s="34"/>
      <c r="D1268" s="120"/>
      <c r="F1268" s="33"/>
      <c r="G1268" s="33"/>
      <c r="H1268" s="422"/>
      <c r="L1268" s="33"/>
      <c r="M1268" s="33"/>
    </row>
    <row r="1269" spans="2:14" ht="18" customHeight="1" x14ac:dyDescent="0.25">
      <c r="C1269" s="34"/>
      <c r="D1269" s="120"/>
      <c r="F1269" s="33"/>
      <c r="G1269" s="33"/>
      <c r="H1269" s="422"/>
      <c r="L1269" s="33"/>
      <c r="M1269" s="33"/>
    </row>
    <row r="1270" spans="2:14" ht="18" customHeight="1" x14ac:dyDescent="0.25">
      <c r="C1270" s="34"/>
      <c r="D1270" s="120"/>
      <c r="F1270" s="33"/>
      <c r="G1270" s="33"/>
      <c r="H1270" s="422"/>
      <c r="L1270" s="33"/>
      <c r="M1270" s="33"/>
    </row>
    <row r="1271" spans="2:14" ht="18" customHeight="1" x14ac:dyDescent="0.25">
      <c r="C1271" s="34"/>
      <c r="D1271" s="120"/>
      <c r="F1271" s="33"/>
      <c r="G1271" s="33"/>
      <c r="H1271" s="422"/>
      <c r="L1271" s="33"/>
      <c r="M1271" s="33"/>
    </row>
    <row r="1272" spans="2:14" ht="18" customHeight="1" x14ac:dyDescent="0.25">
      <c r="C1272" s="34"/>
      <c r="D1272" s="120"/>
      <c r="F1272" s="33"/>
      <c r="G1272" s="33"/>
      <c r="H1272" s="422"/>
      <c r="L1272" s="33"/>
      <c r="M1272" s="33"/>
    </row>
    <row r="1273" spans="2:14" ht="18" customHeight="1" x14ac:dyDescent="0.25">
      <c r="C1273" s="34"/>
      <c r="D1273" s="120"/>
      <c r="F1273" s="33"/>
      <c r="G1273" s="33"/>
      <c r="H1273" s="422"/>
      <c r="L1273" s="33"/>
      <c r="M1273" s="33"/>
    </row>
    <row r="1274" spans="2:14" ht="18" customHeight="1" x14ac:dyDescent="0.25">
      <c r="C1274" s="34"/>
      <c r="D1274" s="120"/>
      <c r="F1274" s="33"/>
      <c r="G1274" s="33"/>
      <c r="H1274" s="422"/>
      <c r="L1274" s="33"/>
      <c r="M1274" s="33"/>
    </row>
    <row r="1275" spans="2:14" ht="18" customHeight="1" x14ac:dyDescent="0.25">
      <c r="C1275" s="34"/>
      <c r="D1275" s="120"/>
      <c r="F1275" s="33"/>
      <c r="G1275" s="33"/>
      <c r="H1275" s="422"/>
      <c r="L1275" s="33"/>
      <c r="M1275" s="33"/>
    </row>
    <row r="1276" spans="2:14" ht="18" customHeight="1" x14ac:dyDescent="0.25">
      <c r="C1276" s="34"/>
      <c r="D1276" s="120"/>
      <c r="F1276" s="33"/>
      <c r="G1276" s="33"/>
      <c r="H1276" s="422"/>
      <c r="L1276" s="33"/>
      <c r="M1276" s="33"/>
    </row>
    <row r="1277" spans="2:14" s="72" customFormat="1" ht="18" customHeight="1" x14ac:dyDescent="0.25">
      <c r="B1277" s="73"/>
      <c r="D1277" s="123"/>
      <c r="E1277" s="75"/>
      <c r="F1277" s="61"/>
      <c r="G1277" s="56"/>
      <c r="H1277" s="425"/>
      <c r="I1277" s="311"/>
      <c r="N1277" s="56"/>
    </row>
    <row r="1278" spans="2:14" s="72" customFormat="1" ht="18" customHeight="1" x14ac:dyDescent="0.25">
      <c r="B1278" s="73"/>
      <c r="D1278" s="123"/>
      <c r="E1278" s="75"/>
      <c r="F1278" s="61"/>
      <c r="G1278" s="56"/>
      <c r="H1278" s="425"/>
      <c r="I1278" s="311"/>
      <c r="N1278" s="56"/>
    </row>
    <row r="1279" spans="2:14" s="72" customFormat="1" ht="18" customHeight="1" x14ac:dyDescent="0.25">
      <c r="B1279" s="73"/>
      <c r="D1279" s="123"/>
      <c r="E1279" s="75"/>
      <c r="F1279" s="61"/>
      <c r="G1279" s="56"/>
      <c r="H1279" s="425"/>
      <c r="I1279" s="311"/>
      <c r="N1279" s="56"/>
    </row>
    <row r="1280" spans="2:14" s="72" customFormat="1" ht="18" customHeight="1" x14ac:dyDescent="0.25">
      <c r="B1280" s="73"/>
      <c r="D1280" s="122"/>
      <c r="E1280" s="76"/>
      <c r="F1280" s="2"/>
      <c r="G1280" s="56"/>
      <c r="H1280" s="425"/>
      <c r="I1280" s="311"/>
      <c r="N1280" s="56"/>
    </row>
    <row r="1281" spans="2:14" s="72" customFormat="1" ht="18" customHeight="1" x14ac:dyDescent="0.25">
      <c r="B1281" s="73"/>
      <c r="D1281" s="122"/>
      <c r="E1281" s="76"/>
      <c r="F1281" s="2"/>
      <c r="G1281" s="56"/>
      <c r="H1281" s="425"/>
      <c r="I1281" s="311"/>
      <c r="N1281" s="56"/>
    </row>
    <row r="1282" spans="2:14" s="34" customFormat="1" ht="18" customHeight="1" x14ac:dyDescent="0.25">
      <c r="D1282" s="120"/>
      <c r="F1282" s="30"/>
      <c r="G1282" s="30"/>
      <c r="H1282" s="423"/>
      <c r="I1282" s="402"/>
      <c r="L1282" s="30"/>
      <c r="M1282" s="30"/>
    </row>
    <row r="1283" spans="2:14" s="34" customFormat="1" ht="18" customHeight="1" x14ac:dyDescent="0.25">
      <c r="D1283" s="120"/>
      <c r="F1283" s="30"/>
      <c r="G1283" s="30"/>
      <c r="H1283" s="423"/>
      <c r="I1283" s="402"/>
      <c r="L1283" s="30"/>
      <c r="M1283" s="30"/>
    </row>
    <row r="1284" spans="2:14" ht="18" customHeight="1" x14ac:dyDescent="0.25">
      <c r="F1284" s="68"/>
    </row>
    <row r="1285" spans="2:14" s="34" customFormat="1" ht="18" customHeight="1" x14ac:dyDescent="0.25">
      <c r="C1285" s="84"/>
      <c r="D1285" s="119"/>
      <c r="F1285" s="30"/>
      <c r="G1285" s="66"/>
      <c r="H1285" s="420"/>
      <c r="I1285" s="402"/>
    </row>
    <row r="1286" spans="2:14" s="66" customFormat="1" ht="18" customHeight="1" x14ac:dyDescent="0.25">
      <c r="B1286" s="34"/>
      <c r="C1286" s="85"/>
      <c r="D1286" s="126"/>
      <c r="F1286" s="67"/>
      <c r="H1286" s="420"/>
      <c r="I1286" s="312"/>
      <c r="L1286" s="67"/>
      <c r="M1286" s="86"/>
    </row>
    <row r="1338" spans="4:9" s="34" customFormat="1" ht="18" customHeight="1" x14ac:dyDescent="0.25">
      <c r="D1338" s="119"/>
      <c r="G1338" s="66"/>
      <c r="H1338" s="420"/>
      <c r="I1338" s="402"/>
    </row>
    <row r="1366" spans="7:9" ht="18" customHeight="1" x14ac:dyDescent="0.25">
      <c r="G1366" s="57"/>
      <c r="H1366" s="405"/>
      <c r="I1366" s="312"/>
    </row>
    <row r="1401" spans="6:6" ht="18" customHeight="1" x14ac:dyDescent="0.25">
      <c r="F1401" s="33"/>
    </row>
    <row r="1435" spans="4:9" s="34" customFormat="1" ht="18" customHeight="1" x14ac:dyDescent="0.25">
      <c r="D1435" s="119"/>
      <c r="F1435" s="67"/>
      <c r="G1435" s="66"/>
      <c r="H1435" s="420"/>
      <c r="I1435" s="402"/>
    </row>
    <row r="1436" spans="4:9" ht="18" customHeight="1" x14ac:dyDescent="0.25">
      <c r="F1436" s="57"/>
    </row>
    <row r="1437" spans="4:9" ht="18" customHeight="1" x14ac:dyDescent="0.25">
      <c r="F1437" s="57"/>
    </row>
    <row r="1438" spans="4:9" ht="18" customHeight="1" x14ac:dyDescent="0.25">
      <c r="F1438" s="57"/>
    </row>
    <row r="1439" spans="4:9" ht="18" customHeight="1" x14ac:dyDescent="0.25">
      <c r="F1439" s="57"/>
    </row>
    <row r="1440" spans="4:9" ht="18" customHeight="1" x14ac:dyDescent="0.25">
      <c r="F1440" s="57"/>
    </row>
    <row r="1441" spans="6:6" ht="18" customHeight="1" x14ac:dyDescent="0.25">
      <c r="F1441" s="57"/>
    </row>
    <row r="1442" spans="6:6" ht="18" customHeight="1" x14ac:dyDescent="0.25">
      <c r="F1442" s="57"/>
    </row>
    <row r="1443" spans="6:6" ht="18" customHeight="1" x14ac:dyDescent="0.25">
      <c r="F1443" s="57"/>
    </row>
    <row r="1444" spans="6:6" ht="18" customHeight="1" x14ac:dyDescent="0.25">
      <c r="F1444" s="57"/>
    </row>
    <row r="1445" spans="6:6" ht="18" customHeight="1" x14ac:dyDescent="0.25">
      <c r="F1445" s="57"/>
    </row>
    <row r="1446" spans="6:6" ht="18" customHeight="1" x14ac:dyDescent="0.25">
      <c r="F1446" s="57"/>
    </row>
    <row r="1447" spans="6:6" ht="18" customHeight="1" x14ac:dyDescent="0.25">
      <c r="F1447" s="57"/>
    </row>
    <row r="1448" spans="6:6" ht="18" customHeight="1" x14ac:dyDescent="0.25">
      <c r="F1448" s="57"/>
    </row>
    <row r="1449" spans="6:6" ht="18" customHeight="1" x14ac:dyDescent="0.25">
      <c r="F1449" s="57"/>
    </row>
    <row r="1450" spans="6:6" ht="18" customHeight="1" x14ac:dyDescent="0.25">
      <c r="F1450" s="57"/>
    </row>
    <row r="1451" spans="6:6" ht="18" customHeight="1" x14ac:dyDescent="0.25">
      <c r="F1451" s="57"/>
    </row>
    <row r="1452" spans="6:6" ht="18" customHeight="1" x14ac:dyDescent="0.25">
      <c r="F1452" s="57"/>
    </row>
    <row r="1453" spans="6:6" ht="18" customHeight="1" x14ac:dyDescent="0.25">
      <c r="F1453" s="57"/>
    </row>
    <row r="1454" spans="6:6" ht="18" customHeight="1" x14ac:dyDescent="0.25">
      <c r="F1454" s="57"/>
    </row>
    <row r="1455" spans="6:6" ht="18" customHeight="1" x14ac:dyDescent="0.25">
      <c r="F1455" s="57"/>
    </row>
    <row r="1456" spans="6:6" ht="18" customHeight="1" x14ac:dyDescent="0.25">
      <c r="F1456" s="57"/>
    </row>
    <row r="1457" spans="6:6" ht="18" customHeight="1" x14ac:dyDescent="0.25">
      <c r="F1457" s="57"/>
    </row>
    <row r="1458" spans="6:6" ht="18" customHeight="1" x14ac:dyDescent="0.25">
      <c r="F1458" s="57"/>
    </row>
    <row r="1459" spans="6:6" ht="18" customHeight="1" x14ac:dyDescent="0.25">
      <c r="F1459" s="57"/>
    </row>
    <row r="1460" spans="6:6" ht="18" customHeight="1" x14ac:dyDescent="0.25">
      <c r="F1460" s="57"/>
    </row>
    <row r="1461" spans="6:6" ht="18" customHeight="1" x14ac:dyDescent="0.25">
      <c r="F1461" s="57"/>
    </row>
    <row r="1462" spans="6:6" ht="18" customHeight="1" x14ac:dyDescent="0.25">
      <c r="F1462" s="57"/>
    </row>
    <row r="1463" spans="6:6" ht="18" customHeight="1" x14ac:dyDescent="0.25">
      <c r="F1463" s="57"/>
    </row>
    <row r="1464" spans="6:6" ht="18" customHeight="1" x14ac:dyDescent="0.25">
      <c r="F1464" s="57"/>
    </row>
    <row r="1465" spans="6:6" ht="18" customHeight="1" x14ac:dyDescent="0.25">
      <c r="F1465" s="57"/>
    </row>
    <row r="1466" spans="6:6" ht="18" customHeight="1" x14ac:dyDescent="0.25">
      <c r="F1466" s="57"/>
    </row>
    <row r="1467" spans="6:6" ht="18" customHeight="1" x14ac:dyDescent="0.25">
      <c r="F1467" s="57"/>
    </row>
    <row r="1468" spans="6:6" ht="18" customHeight="1" x14ac:dyDescent="0.25">
      <c r="F1468" s="57"/>
    </row>
    <row r="1469" spans="6:6" ht="18" customHeight="1" x14ac:dyDescent="0.25">
      <c r="F1469" s="57"/>
    </row>
    <row r="1470" spans="6:6" ht="18" customHeight="1" x14ac:dyDescent="0.25">
      <c r="F1470" s="57"/>
    </row>
    <row r="1471" spans="6:6" ht="18" customHeight="1" x14ac:dyDescent="0.25">
      <c r="F1471" s="57"/>
    </row>
    <row r="1472" spans="6:6" ht="18" customHeight="1" x14ac:dyDescent="0.25">
      <c r="F1472" s="57"/>
    </row>
    <row r="1473" spans="6:8" ht="18" customHeight="1" x14ac:dyDescent="0.25">
      <c r="F1473" s="57"/>
    </row>
    <row r="1474" spans="6:8" ht="18" customHeight="1" x14ac:dyDescent="0.25">
      <c r="F1474" s="57"/>
    </row>
    <row r="1475" spans="6:8" ht="18" customHeight="1" x14ac:dyDescent="0.25">
      <c r="F1475" s="57"/>
    </row>
    <row r="1476" spans="6:8" ht="18" customHeight="1" x14ac:dyDescent="0.25">
      <c r="F1476" s="57"/>
    </row>
    <row r="1477" spans="6:8" ht="18" customHeight="1" x14ac:dyDescent="0.25">
      <c r="F1477" s="57"/>
    </row>
    <row r="1478" spans="6:8" ht="18" customHeight="1" x14ac:dyDescent="0.25">
      <c r="F1478" s="57"/>
      <c r="G1478" s="59"/>
      <c r="H1478" s="419"/>
    </row>
    <row r="1479" spans="6:8" ht="18" customHeight="1" x14ac:dyDescent="0.25">
      <c r="F1479" s="57"/>
      <c r="G1479" s="59"/>
      <c r="H1479" s="419"/>
    </row>
    <row r="1480" spans="6:8" ht="18" customHeight="1" x14ac:dyDescent="0.25">
      <c r="F1480" s="57"/>
    </row>
    <row r="1481" spans="6:8" ht="18" customHeight="1" x14ac:dyDescent="0.25">
      <c r="F1481" s="57"/>
    </row>
    <row r="1482" spans="6:8" ht="18" customHeight="1" x14ac:dyDescent="0.25">
      <c r="F1482" s="57"/>
    </row>
    <row r="1483" spans="6:8" ht="18" customHeight="1" x14ac:dyDescent="0.25">
      <c r="F1483" s="57"/>
    </row>
    <row r="1484" spans="6:8" ht="18" customHeight="1" x14ac:dyDescent="0.25">
      <c r="F1484" s="57"/>
    </row>
    <row r="1485" spans="6:8" ht="18" customHeight="1" x14ac:dyDescent="0.25">
      <c r="F1485" s="57"/>
    </row>
    <row r="1486" spans="6:8" ht="18" customHeight="1" x14ac:dyDescent="0.25">
      <c r="F1486" s="57"/>
    </row>
    <row r="1487" spans="6:8" ht="18" customHeight="1" x14ac:dyDescent="0.25">
      <c r="F1487" s="57"/>
    </row>
    <row r="1488" spans="6:8" ht="18" customHeight="1" x14ac:dyDescent="0.25">
      <c r="F1488" s="57"/>
    </row>
    <row r="1489" spans="6:6" ht="18" customHeight="1" x14ac:dyDescent="0.25">
      <c r="F1489" s="57"/>
    </row>
    <row r="1490" spans="6:6" ht="18" customHeight="1" x14ac:dyDescent="0.25">
      <c r="F1490" s="57"/>
    </row>
    <row r="1491" spans="6:6" ht="18" customHeight="1" x14ac:dyDescent="0.25">
      <c r="F1491" s="57"/>
    </row>
    <row r="1492" spans="6:6" ht="18" customHeight="1" x14ac:dyDescent="0.25">
      <c r="F1492" s="57"/>
    </row>
    <row r="1493" spans="6:6" ht="18" customHeight="1" x14ac:dyDescent="0.25">
      <c r="F1493" s="57"/>
    </row>
    <row r="1494" spans="6:6" ht="18" customHeight="1" x14ac:dyDescent="0.25">
      <c r="F1494" s="57"/>
    </row>
    <row r="1495" spans="6:6" ht="18" customHeight="1" x14ac:dyDescent="0.25">
      <c r="F1495" s="57"/>
    </row>
    <row r="1496" spans="6:6" ht="18" customHeight="1" x14ac:dyDescent="0.25">
      <c r="F1496" s="57"/>
    </row>
    <row r="1497" spans="6:6" ht="18" customHeight="1" x14ac:dyDescent="0.25">
      <c r="F1497" s="57"/>
    </row>
    <row r="1498" spans="6:6" ht="18" customHeight="1" x14ac:dyDescent="0.25">
      <c r="F1498" s="57"/>
    </row>
    <row r="1499" spans="6:6" ht="18" customHeight="1" x14ac:dyDescent="0.25">
      <c r="F1499" s="57"/>
    </row>
    <row r="1500" spans="6:6" ht="18" customHeight="1" x14ac:dyDescent="0.25">
      <c r="F1500" s="57"/>
    </row>
    <row r="1501" spans="6:6" ht="18" customHeight="1" x14ac:dyDescent="0.25">
      <c r="F1501" s="57"/>
    </row>
    <row r="1502" spans="6:6" ht="18" customHeight="1" x14ac:dyDescent="0.25">
      <c r="F1502" s="57"/>
    </row>
    <row r="1503" spans="6:6" ht="18" customHeight="1" x14ac:dyDescent="0.25">
      <c r="F1503" s="57"/>
    </row>
    <row r="1504" spans="6:6" ht="18" customHeight="1" x14ac:dyDescent="0.25">
      <c r="F1504" s="57"/>
    </row>
    <row r="1505" spans="6:6" ht="18" customHeight="1" x14ac:dyDescent="0.25">
      <c r="F1505" s="57"/>
    </row>
    <row r="1506" spans="6:6" ht="18" customHeight="1" x14ac:dyDescent="0.25">
      <c r="F1506" s="57"/>
    </row>
    <row r="1507" spans="6:6" ht="18" customHeight="1" x14ac:dyDescent="0.25">
      <c r="F1507" s="57"/>
    </row>
    <row r="1508" spans="6:6" ht="18" customHeight="1" x14ac:dyDescent="0.25">
      <c r="F1508" s="57"/>
    </row>
    <row r="1509" spans="6:6" ht="18" customHeight="1" x14ac:dyDescent="0.25">
      <c r="F1509" s="57"/>
    </row>
    <row r="1510" spans="6:6" ht="18" customHeight="1" x14ac:dyDescent="0.25">
      <c r="F1510" s="57"/>
    </row>
    <row r="1511" spans="6:6" ht="18" customHeight="1" x14ac:dyDescent="0.25">
      <c r="F1511" s="57"/>
    </row>
    <row r="1512" spans="6:6" ht="18" customHeight="1" x14ac:dyDescent="0.25">
      <c r="F1512" s="57"/>
    </row>
    <row r="1513" spans="6:6" ht="18" customHeight="1" x14ac:dyDescent="0.25">
      <c r="F1513" s="57"/>
    </row>
    <row r="1514" spans="6:6" ht="18" customHeight="1" x14ac:dyDescent="0.25">
      <c r="F1514" s="57"/>
    </row>
    <row r="1515" spans="6:6" ht="18" customHeight="1" x14ac:dyDescent="0.25">
      <c r="F1515" s="57"/>
    </row>
    <row r="1516" spans="6:6" ht="18" customHeight="1" x14ac:dyDescent="0.25">
      <c r="F1516" s="57"/>
    </row>
    <row r="1517" spans="6:6" ht="18" customHeight="1" x14ac:dyDescent="0.25">
      <c r="F1517" s="57"/>
    </row>
    <row r="1518" spans="6:6" ht="18" customHeight="1" x14ac:dyDescent="0.25">
      <c r="F1518" s="57"/>
    </row>
    <row r="1519" spans="6:6" ht="18" customHeight="1" x14ac:dyDescent="0.25">
      <c r="F1519" s="57"/>
    </row>
    <row r="1520" spans="6:6" ht="18" customHeight="1" x14ac:dyDescent="0.25">
      <c r="F1520" s="57"/>
    </row>
    <row r="1521" spans="5:6" ht="18" customHeight="1" x14ac:dyDescent="0.25">
      <c r="F1521" s="57"/>
    </row>
    <row r="1522" spans="5:6" ht="18" customHeight="1" x14ac:dyDescent="0.25">
      <c r="F1522" s="57"/>
    </row>
    <row r="1523" spans="5:6" ht="18" customHeight="1" x14ac:dyDescent="0.25">
      <c r="F1523" s="57"/>
    </row>
    <row r="1524" spans="5:6" ht="18" customHeight="1" x14ac:dyDescent="0.25">
      <c r="F1524" s="57"/>
    </row>
    <row r="1525" spans="5:6" ht="18" customHeight="1" x14ac:dyDescent="0.25">
      <c r="F1525" s="57"/>
    </row>
    <row r="1526" spans="5:6" ht="18" customHeight="1" x14ac:dyDescent="0.25">
      <c r="F1526" s="57"/>
    </row>
    <row r="1527" spans="5:6" ht="18" customHeight="1" x14ac:dyDescent="0.25">
      <c r="F1527" s="57"/>
    </row>
    <row r="1528" spans="5:6" ht="18" customHeight="1" x14ac:dyDescent="0.25">
      <c r="F1528" s="57"/>
    </row>
    <row r="1529" spans="5:6" ht="18" customHeight="1" x14ac:dyDescent="0.25">
      <c r="F1529" s="57"/>
    </row>
    <row r="1530" spans="5:6" ht="18" customHeight="1" x14ac:dyDescent="0.25">
      <c r="F1530" s="57"/>
    </row>
    <row r="1531" spans="5:6" ht="18" customHeight="1" x14ac:dyDescent="0.25">
      <c r="F1531" s="57"/>
    </row>
    <row r="1532" spans="5:6" ht="18" customHeight="1" x14ac:dyDescent="0.25">
      <c r="F1532" s="57"/>
    </row>
    <row r="1533" spans="5:6" ht="18" customHeight="1" x14ac:dyDescent="0.25">
      <c r="F1533" s="33"/>
    </row>
    <row r="1534" spans="5:6" ht="18" customHeight="1" x14ac:dyDescent="0.25">
      <c r="F1534" s="68"/>
    </row>
    <row r="1535" spans="5:6" ht="18" customHeight="1" x14ac:dyDescent="0.25">
      <c r="E1535" s="87"/>
      <c r="F1535" s="68"/>
    </row>
    <row r="1536" spans="5:6" ht="18" customHeight="1" x14ac:dyDescent="0.25">
      <c r="F1536" s="68"/>
    </row>
    <row r="1537" spans="6:6" ht="18" customHeight="1" x14ac:dyDescent="0.25">
      <c r="F1537" s="68"/>
    </row>
    <row r="1538" spans="6:6" ht="18" customHeight="1" x14ac:dyDescent="0.25">
      <c r="F1538" s="68"/>
    </row>
    <row r="1539" spans="6:6" ht="18" customHeight="1" x14ac:dyDescent="0.25">
      <c r="F1539" s="68"/>
    </row>
    <row r="1540" spans="6:6" ht="18" customHeight="1" x14ac:dyDescent="0.25">
      <c r="F1540" s="68"/>
    </row>
    <row r="1541" spans="6:6" ht="18" customHeight="1" x14ac:dyDescent="0.25">
      <c r="F1541" s="68"/>
    </row>
    <row r="1542" spans="6:6" ht="18" customHeight="1" x14ac:dyDescent="0.25">
      <c r="F1542" s="68"/>
    </row>
    <row r="1543" spans="6:6" ht="18" customHeight="1" x14ac:dyDescent="0.25">
      <c r="F1543" s="68"/>
    </row>
    <row r="1544" spans="6:6" ht="18" customHeight="1" x14ac:dyDescent="0.25">
      <c r="F1544" s="68"/>
    </row>
    <row r="1545" spans="6:6" ht="18" customHeight="1" x14ac:dyDescent="0.25">
      <c r="F1545" s="68"/>
    </row>
    <row r="1546" spans="6:6" ht="18" customHeight="1" x14ac:dyDescent="0.25">
      <c r="F1546" s="68"/>
    </row>
    <row r="1547" spans="6:6" ht="18" customHeight="1" x14ac:dyDescent="0.25">
      <c r="F1547" s="68"/>
    </row>
    <row r="1548" spans="6:6" ht="18" customHeight="1" x14ac:dyDescent="0.25">
      <c r="F1548" s="68"/>
    </row>
    <row r="1549" spans="6:6" ht="18" customHeight="1" x14ac:dyDescent="0.25">
      <c r="F1549" s="68"/>
    </row>
    <row r="1550" spans="6:6" ht="18" customHeight="1" x14ac:dyDescent="0.25">
      <c r="F1550" s="68"/>
    </row>
    <row r="1551" spans="6:6" ht="18" customHeight="1" x14ac:dyDescent="0.25">
      <c r="F1551" s="68"/>
    </row>
    <row r="1552" spans="6:6" ht="18" customHeight="1" x14ac:dyDescent="0.25">
      <c r="F1552" s="68"/>
    </row>
    <row r="1553" spans="6:6" ht="18" customHeight="1" x14ac:dyDescent="0.25">
      <c r="F1553" s="68"/>
    </row>
    <row r="1554" spans="6:6" ht="18" customHeight="1" x14ac:dyDescent="0.25">
      <c r="F1554" s="68"/>
    </row>
    <row r="1555" spans="6:6" ht="18" customHeight="1" x14ac:dyDescent="0.25">
      <c r="F1555" s="68"/>
    </row>
    <row r="1556" spans="6:6" ht="18" customHeight="1" x14ac:dyDescent="0.25">
      <c r="F1556" s="68"/>
    </row>
    <row r="1557" spans="6:6" ht="18" customHeight="1" x14ac:dyDescent="0.25">
      <c r="F1557" s="68"/>
    </row>
    <row r="1558" spans="6:6" ht="18" customHeight="1" x14ac:dyDescent="0.25">
      <c r="F1558" s="68"/>
    </row>
    <row r="1559" spans="6:6" ht="18" customHeight="1" x14ac:dyDescent="0.25">
      <c r="F1559" s="68"/>
    </row>
    <row r="1560" spans="6:6" ht="18" customHeight="1" x14ac:dyDescent="0.25">
      <c r="F1560" s="68"/>
    </row>
    <row r="1561" spans="6:6" ht="18" customHeight="1" x14ac:dyDescent="0.25">
      <c r="F1561" s="68"/>
    </row>
    <row r="1562" spans="6:6" ht="18" customHeight="1" x14ac:dyDescent="0.25">
      <c r="F1562" s="68"/>
    </row>
    <row r="1563" spans="6:6" ht="18" customHeight="1" x14ac:dyDescent="0.25">
      <c r="F1563" s="68"/>
    </row>
    <row r="1564" spans="6:6" ht="18" customHeight="1" x14ac:dyDescent="0.25">
      <c r="F1564" s="68"/>
    </row>
    <row r="1565" spans="6:6" ht="18" customHeight="1" x14ac:dyDescent="0.25">
      <c r="F1565" s="68"/>
    </row>
    <row r="1566" spans="6:6" ht="18" customHeight="1" x14ac:dyDescent="0.25">
      <c r="F1566" s="68"/>
    </row>
    <row r="1567" spans="6:6" ht="18" customHeight="1" x14ac:dyDescent="0.25">
      <c r="F1567" s="68"/>
    </row>
    <row r="1568" spans="6:6" ht="18" customHeight="1" x14ac:dyDescent="0.25">
      <c r="F1568" s="68"/>
    </row>
    <row r="1569" spans="6:6" ht="18" customHeight="1" x14ac:dyDescent="0.25">
      <c r="F1569" s="68"/>
    </row>
    <row r="1570" spans="6:6" ht="18" customHeight="1" x14ac:dyDescent="0.25">
      <c r="F1570" s="68"/>
    </row>
    <row r="1571" spans="6:6" ht="18" customHeight="1" x14ac:dyDescent="0.25">
      <c r="F1571" s="68"/>
    </row>
    <row r="1572" spans="6:6" ht="18" customHeight="1" x14ac:dyDescent="0.25">
      <c r="F1572" s="68"/>
    </row>
    <row r="1573" spans="6:6" ht="18" customHeight="1" x14ac:dyDescent="0.25">
      <c r="F1573" s="68"/>
    </row>
    <row r="1574" spans="6:6" ht="18" customHeight="1" x14ac:dyDescent="0.25">
      <c r="F1574" s="68"/>
    </row>
    <row r="1575" spans="6:6" ht="18" customHeight="1" x14ac:dyDescent="0.25">
      <c r="F1575" s="68"/>
    </row>
    <row r="1576" spans="6:6" ht="18" customHeight="1" x14ac:dyDescent="0.25">
      <c r="F1576" s="68"/>
    </row>
    <row r="1577" spans="6:6" ht="18" customHeight="1" x14ac:dyDescent="0.25">
      <c r="F1577" s="68"/>
    </row>
    <row r="1578" spans="6:6" ht="18" customHeight="1" x14ac:dyDescent="0.25">
      <c r="F1578" s="68"/>
    </row>
    <row r="1579" spans="6:6" ht="18" customHeight="1" x14ac:dyDescent="0.25">
      <c r="F1579" s="68"/>
    </row>
    <row r="1580" spans="6:6" ht="18" customHeight="1" x14ac:dyDescent="0.25">
      <c r="F1580" s="68"/>
    </row>
    <row r="1581" spans="6:6" ht="18" customHeight="1" x14ac:dyDescent="0.25">
      <c r="F1581" s="68"/>
    </row>
    <row r="1582" spans="6:6" ht="18" customHeight="1" x14ac:dyDescent="0.25">
      <c r="F1582" s="68"/>
    </row>
    <row r="1584" spans="6:6" ht="18" customHeight="1" x14ac:dyDescent="0.25">
      <c r="F1584" s="68"/>
    </row>
    <row r="1585" spans="6:6" ht="18" customHeight="1" x14ac:dyDescent="0.25">
      <c r="F1585" s="68"/>
    </row>
    <row r="1586" spans="6:6" ht="18" customHeight="1" x14ac:dyDescent="0.25">
      <c r="F1586" s="68"/>
    </row>
    <row r="1587" spans="6:6" ht="18" customHeight="1" x14ac:dyDescent="0.25">
      <c r="F1587" s="68"/>
    </row>
    <row r="1588" spans="6:6" ht="18" customHeight="1" x14ac:dyDescent="0.25">
      <c r="F1588" s="68"/>
    </row>
    <row r="1589" spans="6:6" ht="18" customHeight="1" x14ac:dyDescent="0.25">
      <c r="F1589" s="68"/>
    </row>
    <row r="1590" spans="6:6" ht="18" customHeight="1" x14ac:dyDescent="0.25">
      <c r="F1590" s="68"/>
    </row>
    <row r="1591" spans="6:6" ht="18" customHeight="1" x14ac:dyDescent="0.25">
      <c r="F1591" s="68"/>
    </row>
    <row r="1592" spans="6:6" ht="18" customHeight="1" x14ac:dyDescent="0.25">
      <c r="F1592" s="68"/>
    </row>
    <row r="1593" spans="6:6" ht="18" customHeight="1" x14ac:dyDescent="0.25">
      <c r="F1593" s="68"/>
    </row>
    <row r="1594" spans="6:6" ht="18" customHeight="1" x14ac:dyDescent="0.25">
      <c r="F1594" s="68"/>
    </row>
    <row r="1595" spans="6:6" ht="18" customHeight="1" x14ac:dyDescent="0.25">
      <c r="F1595" s="68"/>
    </row>
    <row r="1604" spans="6:6" ht="18" customHeight="1" x14ac:dyDescent="0.25">
      <c r="F1604" s="33"/>
    </row>
    <row r="1605" spans="6:6" ht="18" customHeight="1" x14ac:dyDescent="0.25">
      <c r="F1605" s="8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12"/>
  <sheetViews>
    <sheetView topLeftCell="A1146" zoomScaleNormal="100" workbookViewId="0">
      <selection activeCell="B1156" sqref="B1156"/>
    </sheetView>
  </sheetViews>
  <sheetFormatPr defaultColWidth="9.140625" defaultRowHeight="18" customHeight="1" x14ac:dyDescent="0.25"/>
  <cols>
    <col min="1" max="1" width="17.42578125" style="127" customWidth="1"/>
    <col min="2" max="2" width="11.140625" style="207" customWidth="1"/>
    <col min="3" max="3" width="9.140625" style="460" customWidth="1"/>
    <col min="4" max="4" width="46.7109375" style="598" customWidth="1"/>
    <col min="5" max="5" width="10.5703125" style="336" customWidth="1"/>
    <col min="6" max="6" width="12.140625" style="22" customWidth="1"/>
    <col min="7" max="7" width="13.28515625" style="11" customWidth="1"/>
    <col min="8" max="8" width="12.7109375" style="11" customWidth="1"/>
    <col min="9" max="10" width="16" style="11" customWidth="1"/>
    <col min="11" max="11" width="14.42578125" style="156" customWidth="1"/>
    <col min="12" max="12" width="14.42578125" style="11" customWidth="1"/>
    <col min="13" max="13" width="16.28515625" style="22" customWidth="1"/>
    <col min="14" max="15" width="16.5703125" style="11" customWidth="1"/>
    <col min="16" max="17" width="10.85546875" style="11" customWidth="1"/>
    <col min="18" max="18" width="17" style="12" customWidth="1"/>
    <col min="19" max="19" width="12.7109375" style="12" customWidth="1"/>
    <col min="20" max="20" width="13.5703125" style="12" customWidth="1"/>
    <col min="21" max="22" width="9.140625" style="11"/>
    <col min="23" max="23" width="10.7109375" style="11" bestFit="1" customWidth="1"/>
    <col min="24" max="16384" width="9.140625" style="11"/>
  </cols>
  <sheetData>
    <row r="1" spans="1:20" s="154" customFormat="1" ht="31.5" customHeight="1" x14ac:dyDescent="0.25">
      <c r="A1" s="304" t="s">
        <v>23</v>
      </c>
      <c r="B1" s="203" t="s">
        <v>348</v>
      </c>
      <c r="C1" s="457" t="s">
        <v>349</v>
      </c>
      <c r="D1" s="591" t="s">
        <v>220</v>
      </c>
      <c r="E1" s="327" t="s">
        <v>1000</v>
      </c>
      <c r="F1" s="197" t="s">
        <v>91</v>
      </c>
      <c r="G1" s="198" t="s">
        <v>576</v>
      </c>
      <c r="H1" s="198" t="s">
        <v>24</v>
      </c>
      <c r="I1" s="199" t="s">
        <v>66</v>
      </c>
      <c r="J1" s="200" t="s">
        <v>95</v>
      </c>
      <c r="K1" s="201" t="s">
        <v>96</v>
      </c>
      <c r="L1" s="202" t="s">
        <v>97</v>
      </c>
      <c r="M1" s="197" t="s">
        <v>25</v>
      </c>
      <c r="N1" s="198" t="s">
        <v>98</v>
      </c>
      <c r="O1" s="198" t="s">
        <v>99</v>
      </c>
      <c r="P1" s="198" t="s">
        <v>67</v>
      </c>
      <c r="Q1" s="198" t="s">
        <v>69</v>
      </c>
      <c r="R1" s="198" t="s">
        <v>26</v>
      </c>
      <c r="S1" s="198" t="s">
        <v>27</v>
      </c>
      <c r="T1" s="198" t="s">
        <v>92</v>
      </c>
    </row>
    <row r="2" spans="1:20" s="192" customFormat="1" ht="18" customHeight="1" x14ac:dyDescent="0.35">
      <c r="A2" s="236"/>
      <c r="B2" s="204"/>
      <c r="C2" s="458"/>
      <c r="D2" s="592" t="s">
        <v>131</v>
      </c>
      <c r="E2" s="430"/>
      <c r="F2" s="193"/>
      <c r="G2" s="194"/>
      <c r="H2" s="194"/>
      <c r="I2" s="194"/>
      <c r="J2" s="194"/>
      <c r="K2" s="195"/>
      <c r="L2" s="194"/>
      <c r="M2" s="196"/>
      <c r="N2" s="194"/>
      <c r="O2" s="194"/>
      <c r="P2" s="194"/>
      <c r="Q2" s="194"/>
      <c r="R2" s="194"/>
      <c r="S2" s="194"/>
      <c r="T2" s="194"/>
    </row>
    <row r="3" spans="1:20" s="395" customFormat="1" ht="18" customHeight="1" x14ac:dyDescent="0.25">
      <c r="A3" s="181"/>
      <c r="B3" s="397"/>
      <c r="C3" s="205"/>
      <c r="D3" s="276"/>
      <c r="E3" s="403"/>
      <c r="F3" s="394"/>
      <c r="K3" s="396"/>
      <c r="M3" s="394"/>
      <c r="R3" s="393"/>
      <c r="S3" s="393"/>
      <c r="T3" s="393"/>
    </row>
    <row r="4" spans="1:20" s="395" customFormat="1" ht="18" customHeight="1" x14ac:dyDescent="0.25">
      <c r="A4" s="181"/>
      <c r="B4" s="397"/>
      <c r="C4" s="205"/>
      <c r="D4" s="276"/>
      <c r="E4" s="403"/>
      <c r="F4" s="394"/>
      <c r="K4" s="396"/>
      <c r="M4" s="394"/>
      <c r="R4" s="393"/>
      <c r="S4" s="393"/>
      <c r="T4" s="393"/>
    </row>
    <row r="5" spans="1:20" s="395" customFormat="1" ht="18" customHeight="1" x14ac:dyDescent="0.25">
      <c r="A5" s="181">
        <v>44928</v>
      </c>
      <c r="B5" s="397">
        <v>25</v>
      </c>
      <c r="C5" s="205"/>
      <c r="D5" s="691" t="s">
        <v>1801</v>
      </c>
      <c r="E5" s="403"/>
      <c r="F5" s="394"/>
      <c r="K5" s="396"/>
      <c r="M5" s="394"/>
      <c r="R5" s="393"/>
      <c r="S5" s="393"/>
      <c r="T5" s="393"/>
    </row>
    <row r="6" spans="1:20" s="395" customFormat="1" ht="18" customHeight="1" thickBot="1" x14ac:dyDescent="0.3">
      <c r="A6" s="181"/>
      <c r="B6" s="397">
        <v>20</v>
      </c>
      <c r="C6" s="205"/>
      <c r="D6" s="693" t="s">
        <v>1802</v>
      </c>
      <c r="E6" s="403"/>
      <c r="F6" s="394"/>
      <c r="K6" s="396"/>
      <c r="M6" s="394"/>
      <c r="R6" s="393"/>
      <c r="S6" s="393"/>
      <c r="T6" s="393"/>
    </row>
    <row r="7" spans="1:20" s="395" customFormat="1" ht="18" customHeight="1" thickBot="1" x14ac:dyDescent="0.3">
      <c r="A7" s="181"/>
      <c r="B7" s="750">
        <f>SUM(B5:B6)</f>
        <v>45</v>
      </c>
      <c r="C7" s="205"/>
      <c r="D7" s="276"/>
      <c r="E7" s="464"/>
      <c r="F7" s="349"/>
      <c r="G7" s="350"/>
      <c r="H7" s="350"/>
      <c r="I7" s="350"/>
      <c r="J7" s="350"/>
      <c r="K7" s="351"/>
      <c r="L7" s="350"/>
      <c r="M7" s="352"/>
      <c r="N7" s="350"/>
      <c r="O7" s="350"/>
      <c r="P7" s="350"/>
      <c r="Q7" s="353"/>
      <c r="R7" s="393"/>
      <c r="S7" s="393"/>
      <c r="T7" s="393"/>
    </row>
    <row r="8" spans="1:20" s="395" customFormat="1" ht="18" customHeight="1" x14ac:dyDescent="0.25">
      <c r="A8" s="181"/>
      <c r="B8" s="397"/>
      <c r="C8" s="205"/>
      <c r="D8" s="276"/>
      <c r="E8" s="403"/>
      <c r="F8" s="394"/>
      <c r="K8" s="396"/>
      <c r="M8" s="394"/>
      <c r="R8" s="393"/>
      <c r="S8" s="393"/>
      <c r="T8" s="393"/>
    </row>
    <row r="9" spans="1:20" s="395" customFormat="1" ht="18" customHeight="1" x14ac:dyDescent="0.25">
      <c r="A9" s="181">
        <v>44929</v>
      </c>
      <c r="B9" s="397">
        <v>190</v>
      </c>
      <c r="C9" s="205"/>
      <c r="D9" s="693" t="s">
        <v>1800</v>
      </c>
      <c r="E9" s="403">
        <v>-10</v>
      </c>
      <c r="F9" s="394"/>
      <c r="K9" s="396"/>
      <c r="M9" s="394"/>
      <c r="R9" s="393"/>
      <c r="S9" s="393"/>
      <c r="T9" s="393"/>
    </row>
    <row r="10" spans="1:20" s="395" customFormat="1" ht="18" customHeight="1" thickBot="1" x14ac:dyDescent="0.3">
      <c r="A10" s="181"/>
      <c r="B10" s="397">
        <v>80</v>
      </c>
      <c r="C10" s="205">
        <v>200</v>
      </c>
      <c r="D10" s="691" t="s">
        <v>1799</v>
      </c>
      <c r="E10" s="328"/>
      <c r="F10" s="394"/>
      <c r="K10" s="396"/>
      <c r="M10" s="394"/>
      <c r="R10" s="393"/>
      <c r="S10" s="393"/>
      <c r="T10" s="393"/>
    </row>
    <row r="11" spans="1:20" s="395" customFormat="1" ht="18" customHeight="1" thickBot="1" x14ac:dyDescent="0.3">
      <c r="A11" s="181"/>
      <c r="B11" s="750">
        <f>SUM(B9:B10)</f>
        <v>270</v>
      </c>
      <c r="C11" s="205"/>
      <c r="D11" s="276"/>
      <c r="E11" s="464">
        <f>SUM(E9:E10)</f>
        <v>-10</v>
      </c>
      <c r="F11" s="399"/>
      <c r="G11" s="400"/>
      <c r="H11" s="400"/>
      <c r="I11" s="400"/>
      <c r="J11" s="400"/>
      <c r="K11" s="400"/>
      <c r="L11" s="400"/>
      <c r="M11" s="400"/>
      <c r="N11" s="400"/>
      <c r="O11" s="400"/>
      <c r="P11" s="400"/>
      <c r="Q11" s="401"/>
      <c r="R11" s="393"/>
      <c r="S11" s="393"/>
      <c r="T11" s="393"/>
    </row>
    <row r="12" spans="1:20" s="395" customFormat="1" ht="18" customHeight="1" x14ac:dyDescent="0.25">
      <c r="A12" s="181"/>
      <c r="B12" s="397"/>
      <c r="C12" s="205"/>
      <c r="D12" s="276"/>
      <c r="E12" s="403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393"/>
      <c r="S12" s="393"/>
      <c r="T12" s="393"/>
    </row>
    <row r="13" spans="1:20" s="395" customFormat="1" ht="18" customHeight="1" x14ac:dyDescent="0.25">
      <c r="A13" s="181">
        <v>44930</v>
      </c>
      <c r="B13" s="397">
        <v>35</v>
      </c>
      <c r="C13" s="205"/>
      <c r="D13" s="693" t="s">
        <v>1794</v>
      </c>
      <c r="E13" s="403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393"/>
      <c r="S13" s="393"/>
      <c r="T13" s="393"/>
    </row>
    <row r="14" spans="1:20" s="395" customFormat="1" ht="18" customHeight="1" x14ac:dyDescent="0.25">
      <c r="A14" s="181"/>
      <c r="B14" s="397">
        <v>35</v>
      </c>
      <c r="C14" s="205"/>
      <c r="D14" s="693" t="s">
        <v>1795</v>
      </c>
      <c r="E14" s="403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393"/>
      <c r="S14" s="393"/>
      <c r="T14" s="393"/>
    </row>
    <row r="15" spans="1:20" s="395" customFormat="1" ht="18" customHeight="1" x14ac:dyDescent="0.25">
      <c r="A15" s="181"/>
      <c r="B15" s="397">
        <v>70</v>
      </c>
      <c r="C15" s="205"/>
      <c r="D15" s="693" t="s">
        <v>1796</v>
      </c>
      <c r="E15" s="403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393"/>
      <c r="S15" s="393"/>
      <c r="T15" s="393"/>
    </row>
    <row r="16" spans="1:20" s="395" customFormat="1" ht="18" customHeight="1" x14ac:dyDescent="0.25">
      <c r="A16" s="181"/>
      <c r="B16" s="397">
        <v>40</v>
      </c>
      <c r="C16" s="205"/>
      <c r="D16" s="693" t="s">
        <v>1797</v>
      </c>
      <c r="E16" s="403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393"/>
      <c r="S16" s="393"/>
      <c r="T16" s="393"/>
    </row>
    <row r="17" spans="1:20" s="395" customFormat="1" ht="18" customHeight="1" thickBot="1" x14ac:dyDescent="0.3">
      <c r="A17" s="181"/>
      <c r="B17" s="395">
        <v>72</v>
      </c>
      <c r="C17" s="205"/>
      <c r="D17" s="709" t="s">
        <v>1798</v>
      </c>
      <c r="E17" s="328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393"/>
      <c r="S17" s="393"/>
      <c r="T17" s="393"/>
    </row>
    <row r="18" spans="1:20" s="395" customFormat="1" ht="18" customHeight="1" thickBot="1" x14ac:dyDescent="0.3">
      <c r="A18" s="181"/>
      <c r="B18" s="750">
        <f>SUM(B13:B17)</f>
        <v>252</v>
      </c>
      <c r="C18" s="205"/>
      <c r="D18" s="276"/>
      <c r="E18" s="463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00"/>
      <c r="Q18" s="401"/>
      <c r="R18" s="393"/>
      <c r="S18" s="393"/>
      <c r="T18" s="393"/>
    </row>
    <row r="19" spans="1:20" s="395" customFormat="1" ht="18" customHeight="1" x14ac:dyDescent="0.25">
      <c r="A19" s="181"/>
      <c r="B19" s="397"/>
      <c r="C19" s="205"/>
      <c r="D19" s="276"/>
      <c r="E19" s="403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393"/>
      <c r="S19" s="393"/>
      <c r="T19" s="393"/>
    </row>
    <row r="20" spans="1:20" s="395" customFormat="1" ht="18" customHeight="1" x14ac:dyDescent="0.25">
      <c r="A20" s="181">
        <v>44931</v>
      </c>
      <c r="B20" s="397">
        <v>15</v>
      </c>
      <c r="C20" s="205"/>
      <c r="D20" s="693" t="s">
        <v>1816</v>
      </c>
      <c r="E20" s="403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393"/>
      <c r="S20" s="393"/>
      <c r="T20" s="393"/>
    </row>
    <row r="21" spans="1:20" s="395" customFormat="1" ht="18" customHeight="1" x14ac:dyDescent="0.25">
      <c r="A21" s="181"/>
      <c r="B21" s="397">
        <v>15</v>
      </c>
      <c r="C21" s="205">
        <v>55</v>
      </c>
      <c r="D21" s="693" t="s">
        <v>1793</v>
      </c>
      <c r="E21" s="403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393"/>
      <c r="S21" s="393"/>
      <c r="T21" s="393"/>
    </row>
    <row r="22" spans="1:20" s="395" customFormat="1" ht="18" customHeight="1" x14ac:dyDescent="0.25">
      <c r="B22" s="397"/>
      <c r="C22" s="205"/>
      <c r="D22" s="693" t="s">
        <v>1789</v>
      </c>
      <c r="E22" s="403" t="s">
        <v>1790</v>
      </c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393"/>
      <c r="S22" s="393"/>
      <c r="T22" s="393"/>
    </row>
    <row r="23" spans="1:20" s="395" customFormat="1" ht="18" customHeight="1" x14ac:dyDescent="0.25">
      <c r="A23" s="181"/>
      <c r="B23" s="397">
        <v>50</v>
      </c>
      <c r="C23" s="205"/>
      <c r="D23" s="693" t="s">
        <v>1791</v>
      </c>
      <c r="E23" s="403">
        <v>-5</v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393"/>
      <c r="S23" s="393"/>
      <c r="T23" s="393"/>
    </row>
    <row r="24" spans="1:20" s="395" customFormat="1" ht="18" customHeight="1" x14ac:dyDescent="0.25">
      <c r="A24" s="181"/>
      <c r="B24" s="397">
        <v>125</v>
      </c>
      <c r="C24" s="205"/>
      <c r="D24" s="693" t="s">
        <v>1792</v>
      </c>
      <c r="E24" s="403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393"/>
      <c r="S24" s="393"/>
      <c r="T24" s="393"/>
    </row>
    <row r="25" spans="1:20" s="395" customFormat="1" ht="18" customHeight="1" thickBot="1" x14ac:dyDescent="0.3">
      <c r="A25" s="181"/>
      <c r="B25" s="397"/>
      <c r="C25" s="205"/>
      <c r="D25" s="276"/>
      <c r="E25" s="403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393"/>
      <c r="S25" s="393"/>
      <c r="T25" s="393"/>
    </row>
    <row r="26" spans="1:20" s="395" customFormat="1" ht="18" customHeight="1" thickBot="1" x14ac:dyDescent="0.3">
      <c r="A26" s="181"/>
      <c r="B26" s="750">
        <f>SUM(B20:B25)</f>
        <v>205</v>
      </c>
      <c r="C26" s="205"/>
      <c r="D26" s="276"/>
      <c r="E26" s="463">
        <f>SUM(E23:E25)</f>
        <v>-5</v>
      </c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1"/>
      <c r="R26" s="393"/>
      <c r="S26" s="393"/>
      <c r="T26" s="393"/>
    </row>
    <row r="27" spans="1:20" s="395" customFormat="1" ht="18" customHeight="1" x14ac:dyDescent="0.25">
      <c r="A27" s="181"/>
      <c r="B27" s="397"/>
      <c r="C27" s="205"/>
      <c r="D27" s="276"/>
      <c r="E27" s="403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393"/>
      <c r="S27" s="393"/>
      <c r="T27" s="393"/>
    </row>
    <row r="28" spans="1:20" s="395" customFormat="1" ht="18" customHeight="1" x14ac:dyDescent="0.25">
      <c r="A28" s="181">
        <v>45297</v>
      </c>
      <c r="B28" s="397">
        <v>180</v>
      </c>
      <c r="C28" s="205"/>
      <c r="D28" s="693" t="s">
        <v>1803</v>
      </c>
      <c r="E28" s="403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393"/>
      <c r="S28" s="393"/>
      <c r="T28" s="393"/>
    </row>
    <row r="29" spans="1:20" s="395" customFormat="1" ht="18" customHeight="1" thickBot="1" x14ac:dyDescent="0.3">
      <c r="A29" s="181"/>
      <c r="B29" s="397">
        <v>35</v>
      </c>
      <c r="C29" s="205"/>
      <c r="D29" s="693" t="s">
        <v>1804</v>
      </c>
      <c r="E29" s="403" t="s">
        <v>1820</v>
      </c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393"/>
      <c r="S29" s="393"/>
      <c r="T29" s="393"/>
    </row>
    <row r="30" spans="1:20" s="395" customFormat="1" ht="18" customHeight="1" thickBot="1" x14ac:dyDescent="0.3">
      <c r="A30" s="181"/>
      <c r="B30" s="750">
        <f>SUM(B28:B29)</f>
        <v>215</v>
      </c>
      <c r="C30" s="205"/>
      <c r="D30" s="276"/>
      <c r="E30" s="463"/>
      <c r="F30" s="400"/>
      <c r="G30" s="400"/>
      <c r="H30" s="400"/>
      <c r="I30" s="400"/>
      <c r="J30" s="400"/>
      <c r="K30" s="400"/>
      <c r="L30" s="400"/>
      <c r="M30" s="400"/>
      <c r="N30" s="400"/>
      <c r="O30" s="400"/>
      <c r="P30" s="400"/>
      <c r="Q30" s="401"/>
      <c r="R30" s="393"/>
      <c r="S30" s="393"/>
      <c r="T30" s="393"/>
    </row>
    <row r="31" spans="1:20" s="395" customFormat="1" ht="18" customHeight="1" x14ac:dyDescent="0.25">
      <c r="A31" s="181"/>
      <c r="B31" s="397"/>
      <c r="C31" s="205"/>
      <c r="D31" s="276"/>
      <c r="E31" s="403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393"/>
      <c r="S31" s="393"/>
      <c r="T31" s="393"/>
    </row>
    <row r="32" spans="1:20" s="395" customFormat="1" ht="18" customHeight="1" thickBot="1" x14ac:dyDescent="0.3">
      <c r="A32" s="181">
        <v>45298</v>
      </c>
      <c r="B32" s="397"/>
      <c r="C32" s="205"/>
      <c r="D32" s="582" t="s">
        <v>1811</v>
      </c>
      <c r="E32" s="403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393"/>
      <c r="S32" s="393"/>
      <c r="T32" s="393"/>
    </row>
    <row r="33" spans="1:20" s="395" customFormat="1" ht="18" customHeight="1" thickBot="1" x14ac:dyDescent="0.3">
      <c r="A33" s="181"/>
      <c r="B33" s="398"/>
      <c r="C33" s="205"/>
      <c r="D33" s="276"/>
      <c r="E33" s="463"/>
      <c r="F33" s="400"/>
      <c r="G33" s="400"/>
      <c r="H33" s="400"/>
      <c r="I33" s="400"/>
      <c r="J33" s="400"/>
      <c r="K33" s="400"/>
      <c r="L33" s="400"/>
      <c r="M33" s="400"/>
      <c r="N33" s="400"/>
      <c r="O33" s="400"/>
      <c r="P33" s="400"/>
      <c r="Q33" s="401"/>
      <c r="R33" s="393"/>
      <c r="S33" s="393"/>
      <c r="T33" s="393"/>
    </row>
    <row r="34" spans="1:20" s="395" customFormat="1" ht="18" customHeight="1" x14ac:dyDescent="0.25">
      <c r="A34" s="181">
        <v>45300</v>
      </c>
      <c r="B34" s="397">
        <v>40</v>
      </c>
      <c r="C34" s="205"/>
      <c r="D34" s="693" t="s">
        <v>1812</v>
      </c>
      <c r="E34" s="403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393"/>
      <c r="S34" s="393"/>
      <c r="T34" s="393"/>
    </row>
    <row r="35" spans="1:20" s="395" customFormat="1" ht="18" customHeight="1" x14ac:dyDescent="0.25">
      <c r="A35" s="181"/>
      <c r="B35" s="397"/>
      <c r="C35" s="205"/>
      <c r="D35" s="715" t="s">
        <v>1824</v>
      </c>
      <c r="E35" s="403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393"/>
      <c r="S35" s="393"/>
      <c r="T35" s="393"/>
    </row>
    <row r="36" spans="1:20" s="395" customFormat="1" ht="18" customHeight="1" x14ac:dyDescent="0.25">
      <c r="A36" s="181"/>
      <c r="B36" s="397"/>
      <c r="C36" s="205"/>
      <c r="D36" s="715" t="s">
        <v>1825</v>
      </c>
      <c r="E36" s="403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393"/>
      <c r="S36" s="393"/>
      <c r="T36" s="393"/>
    </row>
    <row r="37" spans="1:20" s="395" customFormat="1" ht="18" customHeight="1" x14ac:dyDescent="0.25">
      <c r="A37" s="181"/>
      <c r="B37" s="397"/>
      <c r="C37" s="205"/>
      <c r="D37" s="691" t="s">
        <v>1828</v>
      </c>
      <c r="E37" s="403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393"/>
      <c r="S37" s="393"/>
      <c r="T37" s="393"/>
    </row>
    <row r="38" spans="1:20" s="395" customFormat="1" ht="18" customHeight="1" x14ac:dyDescent="0.25">
      <c r="A38" s="181"/>
      <c r="B38" s="397"/>
      <c r="C38" s="205">
        <v>45</v>
      </c>
      <c r="D38" s="693" t="s">
        <v>1829</v>
      </c>
      <c r="E38" s="403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393"/>
      <c r="S38" s="393"/>
      <c r="T38" s="393"/>
    </row>
    <row r="39" spans="1:20" s="395" customFormat="1" ht="18" customHeight="1" thickBot="1" x14ac:dyDescent="0.3">
      <c r="A39" s="181"/>
      <c r="B39" s="397"/>
      <c r="C39" s="205">
        <v>55</v>
      </c>
      <c r="D39" s="693" t="s">
        <v>1830</v>
      </c>
      <c r="E39" s="403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393"/>
      <c r="S39" s="393"/>
      <c r="T39" s="393"/>
    </row>
    <row r="40" spans="1:20" s="395" customFormat="1" ht="18" customHeight="1" thickBot="1" x14ac:dyDescent="0.3">
      <c r="A40" s="181"/>
      <c r="B40" s="750">
        <f>SUM(B34:B39)</f>
        <v>40</v>
      </c>
      <c r="C40" s="397"/>
      <c r="D40" s="668"/>
      <c r="E40" s="463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1"/>
      <c r="R40" s="393"/>
      <c r="S40" s="393"/>
      <c r="T40" s="393"/>
    </row>
    <row r="41" spans="1:20" s="395" customFormat="1" ht="18" customHeight="1" x14ac:dyDescent="0.25">
      <c r="A41" s="181"/>
      <c r="B41" s="397"/>
      <c r="C41" s="205"/>
      <c r="D41" s="276"/>
      <c r="E41" s="403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393"/>
      <c r="S41" s="393"/>
      <c r="T41" s="393"/>
    </row>
    <row r="42" spans="1:20" s="395" customFormat="1" ht="18" customHeight="1" x14ac:dyDescent="0.25">
      <c r="A42" s="181">
        <v>45301</v>
      </c>
      <c r="B42" s="397">
        <v>150</v>
      </c>
      <c r="C42" s="205"/>
      <c r="D42" s="693" t="s">
        <v>1838</v>
      </c>
      <c r="E42" s="403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393"/>
      <c r="S42" s="393"/>
      <c r="T42" s="393"/>
    </row>
    <row r="43" spans="1:20" s="395" customFormat="1" ht="18" customHeight="1" thickBot="1" x14ac:dyDescent="0.3">
      <c r="A43" s="181"/>
      <c r="B43" s="397">
        <v>15</v>
      </c>
      <c r="C43" s="205"/>
      <c r="D43" s="693" t="s">
        <v>1844</v>
      </c>
      <c r="E43" s="403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393"/>
      <c r="S43" s="393"/>
      <c r="T43" s="393"/>
    </row>
    <row r="44" spans="1:20" s="395" customFormat="1" ht="18" customHeight="1" thickBot="1" x14ac:dyDescent="0.3">
      <c r="A44" s="181"/>
      <c r="B44" s="750">
        <f>SUM(B42:B43)</f>
        <v>165</v>
      </c>
      <c r="C44" s="205"/>
      <c r="D44" s="276"/>
      <c r="E44" s="463"/>
      <c r="F44" s="400"/>
      <c r="G44" s="400"/>
      <c r="H44" s="400"/>
      <c r="I44" s="400"/>
      <c r="J44" s="400"/>
      <c r="K44" s="400"/>
      <c r="L44" s="400"/>
      <c r="M44" s="400"/>
      <c r="N44" s="400"/>
      <c r="O44" s="400"/>
      <c r="P44" s="400"/>
      <c r="Q44" s="401"/>
      <c r="R44" s="393"/>
      <c r="S44" s="393"/>
      <c r="T44" s="393"/>
    </row>
    <row r="45" spans="1:20" s="395" customFormat="1" ht="18" customHeight="1" x14ac:dyDescent="0.25">
      <c r="A45" s="181"/>
      <c r="B45" s="397"/>
      <c r="C45" s="205"/>
      <c r="D45" s="276"/>
      <c r="E45" s="403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393"/>
      <c r="S45" s="393"/>
      <c r="T45" s="393"/>
    </row>
    <row r="46" spans="1:20" s="395" customFormat="1" ht="18" customHeight="1" x14ac:dyDescent="0.25">
      <c r="A46" s="181">
        <v>45302</v>
      </c>
      <c r="B46" s="397">
        <v>125</v>
      </c>
      <c r="C46" s="205"/>
      <c r="D46" s="693" t="s">
        <v>1839</v>
      </c>
      <c r="E46" s="403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393"/>
      <c r="S46" s="393"/>
      <c r="T46" s="393"/>
    </row>
    <row r="47" spans="1:20" s="395" customFormat="1" ht="18" customHeight="1" thickBot="1" x14ac:dyDescent="0.3">
      <c r="A47" s="181"/>
      <c r="B47" s="397">
        <v>55</v>
      </c>
      <c r="C47" s="205"/>
      <c r="D47" s="693" t="s">
        <v>1840</v>
      </c>
      <c r="E47" s="403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393"/>
      <c r="S47" s="393"/>
      <c r="T47" s="393"/>
    </row>
    <row r="48" spans="1:20" s="395" customFormat="1" ht="18" customHeight="1" thickBot="1" x14ac:dyDescent="0.3">
      <c r="A48" s="181"/>
      <c r="B48" s="750">
        <f>SUM(B46:B47)</f>
        <v>180</v>
      </c>
      <c r="C48" s="205"/>
      <c r="D48" s="276"/>
      <c r="E48" s="463"/>
      <c r="F48" s="400"/>
      <c r="G48" s="400"/>
      <c r="H48" s="400"/>
      <c r="I48" s="400"/>
      <c r="J48" s="400"/>
      <c r="K48" s="400"/>
      <c r="L48" s="400"/>
      <c r="M48" s="400"/>
      <c r="N48" s="400"/>
      <c r="O48" s="400"/>
      <c r="P48" s="400"/>
      <c r="Q48" s="401"/>
      <c r="R48" s="393"/>
      <c r="S48" s="393"/>
      <c r="T48" s="393"/>
    </row>
    <row r="49" spans="1:20" s="395" customFormat="1" ht="18" customHeight="1" thickBot="1" x14ac:dyDescent="0.3">
      <c r="A49" s="181"/>
      <c r="B49" s="397"/>
      <c r="C49" s="205"/>
      <c r="D49" s="276"/>
      <c r="E49" s="403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393"/>
      <c r="S49" s="393"/>
      <c r="T49" s="393"/>
    </row>
    <row r="50" spans="1:20" s="395" customFormat="1" ht="18" customHeight="1" thickBot="1" x14ac:dyDescent="0.3">
      <c r="A50" s="181">
        <v>45303</v>
      </c>
      <c r="B50" s="750">
        <v>5</v>
      </c>
      <c r="C50" s="205"/>
      <c r="D50" s="693" t="s">
        <v>1868</v>
      </c>
      <c r="E50" s="463"/>
      <c r="F50" s="400"/>
      <c r="G50" s="400"/>
      <c r="H50" s="400"/>
      <c r="I50" s="400"/>
      <c r="J50" s="400"/>
      <c r="K50" s="400"/>
      <c r="L50" s="400"/>
      <c r="M50" s="400"/>
      <c r="N50" s="400"/>
      <c r="O50" s="400"/>
      <c r="P50" s="400"/>
      <c r="Q50" s="401"/>
      <c r="R50" s="393"/>
      <c r="S50" s="393"/>
      <c r="T50" s="393"/>
    </row>
    <row r="51" spans="1:20" s="395" customFormat="1" ht="18" customHeight="1" x14ac:dyDescent="0.25">
      <c r="A51" s="181"/>
      <c r="B51" s="397"/>
      <c r="C51" s="205"/>
      <c r="D51" s="276"/>
      <c r="E51" s="403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393"/>
      <c r="S51" s="393"/>
      <c r="T51" s="393"/>
    </row>
    <row r="52" spans="1:20" s="395" customFormat="1" ht="18" customHeight="1" x14ac:dyDescent="0.25">
      <c r="A52" s="181">
        <v>45306</v>
      </c>
      <c r="B52" s="397">
        <v>20</v>
      </c>
      <c r="C52" s="205"/>
      <c r="D52" s="693" t="s">
        <v>1802</v>
      </c>
      <c r="E52" s="403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393"/>
      <c r="S52" s="393"/>
      <c r="T52" s="393"/>
    </row>
    <row r="53" spans="1:20" s="395" customFormat="1" ht="18" customHeight="1" thickBot="1" x14ac:dyDescent="0.3">
      <c r="A53" s="181"/>
      <c r="B53" s="397">
        <v>110</v>
      </c>
      <c r="C53" s="205"/>
      <c r="D53" s="693" t="s">
        <v>1848</v>
      </c>
      <c r="E53" s="403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393"/>
      <c r="S53" s="393"/>
      <c r="T53" s="393"/>
    </row>
    <row r="54" spans="1:20" s="395" customFormat="1" ht="18" customHeight="1" thickBot="1" x14ac:dyDescent="0.3">
      <c r="A54" s="181"/>
      <c r="B54" s="750">
        <f>SUM(B52:B53)</f>
        <v>130</v>
      </c>
      <c r="C54" s="205"/>
      <c r="D54" s="276"/>
      <c r="E54" s="463"/>
      <c r="F54" s="400"/>
      <c r="G54" s="400"/>
      <c r="H54" s="400"/>
      <c r="I54" s="400"/>
      <c r="J54" s="400"/>
      <c r="K54" s="400"/>
      <c r="L54" s="400"/>
      <c r="M54" s="400"/>
      <c r="N54" s="400"/>
      <c r="O54" s="400"/>
      <c r="P54" s="400"/>
      <c r="Q54" s="401"/>
      <c r="R54" s="393"/>
      <c r="S54" s="393"/>
      <c r="T54" s="393"/>
    </row>
    <row r="55" spans="1:20" s="395" customFormat="1" ht="18" customHeight="1" x14ac:dyDescent="0.25">
      <c r="A55" s="181"/>
      <c r="B55" s="397"/>
      <c r="C55" s="205"/>
      <c r="D55" s="276"/>
      <c r="E55" s="403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393"/>
      <c r="S55" s="393"/>
      <c r="T55" s="393"/>
    </row>
    <row r="56" spans="1:20" s="395" customFormat="1" ht="18" customHeight="1" x14ac:dyDescent="0.25">
      <c r="A56" s="181">
        <v>45307</v>
      </c>
      <c r="B56" s="397">
        <v>25</v>
      </c>
      <c r="C56" s="205"/>
      <c r="D56" s="693" t="s">
        <v>1855</v>
      </c>
      <c r="E56" s="403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393"/>
      <c r="S56" s="393"/>
      <c r="T56" s="393"/>
    </row>
    <row r="57" spans="1:20" s="395" customFormat="1" ht="18" customHeight="1" thickBot="1" x14ac:dyDescent="0.3">
      <c r="A57" s="181"/>
      <c r="B57" s="397">
        <v>200</v>
      </c>
      <c r="C57" s="205"/>
      <c r="D57" s="693" t="s">
        <v>1856</v>
      </c>
      <c r="E57" s="403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393"/>
      <c r="S57" s="393"/>
      <c r="T57" s="393"/>
    </row>
    <row r="58" spans="1:20" s="395" customFormat="1" ht="18" customHeight="1" thickBot="1" x14ac:dyDescent="0.3">
      <c r="A58" s="181"/>
      <c r="B58" s="750">
        <f>SUM(B56:B57)</f>
        <v>225</v>
      </c>
      <c r="C58" s="205"/>
      <c r="D58" s="276"/>
      <c r="E58" s="463"/>
      <c r="F58" s="400"/>
      <c r="G58" s="400"/>
      <c r="H58" s="400"/>
      <c r="I58" s="400"/>
      <c r="J58" s="400"/>
      <c r="K58" s="400"/>
      <c r="L58" s="400"/>
      <c r="M58" s="400"/>
      <c r="N58" s="400"/>
      <c r="O58" s="400"/>
      <c r="P58" s="400"/>
      <c r="Q58" s="401"/>
      <c r="R58" s="393"/>
      <c r="S58" s="393"/>
      <c r="T58" s="393"/>
    </row>
    <row r="59" spans="1:20" s="395" customFormat="1" ht="18" customHeight="1" x14ac:dyDescent="0.25">
      <c r="A59" s="181"/>
      <c r="B59" s="397"/>
      <c r="C59" s="205"/>
      <c r="D59" s="276"/>
      <c r="E59" s="403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393"/>
      <c r="S59" s="393"/>
      <c r="T59" s="393"/>
    </row>
    <row r="60" spans="1:20" s="395" customFormat="1" ht="18" customHeight="1" x14ac:dyDescent="0.25">
      <c r="A60" s="181">
        <v>45309</v>
      </c>
      <c r="B60" s="397">
        <v>10</v>
      </c>
      <c r="C60" s="205">
        <v>25</v>
      </c>
      <c r="D60" s="693" t="s">
        <v>1857</v>
      </c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393"/>
      <c r="S60" s="393"/>
      <c r="T60" s="393"/>
    </row>
    <row r="61" spans="1:20" s="395" customFormat="1" ht="18" customHeight="1" x14ac:dyDescent="0.25">
      <c r="A61" s="181"/>
      <c r="B61" s="397">
        <v>65</v>
      </c>
      <c r="C61" s="205"/>
      <c r="D61" s="693" t="s">
        <v>1858</v>
      </c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393"/>
      <c r="S61" s="393"/>
      <c r="T61" s="393"/>
    </row>
    <row r="62" spans="1:20" s="395" customFormat="1" ht="18" customHeight="1" x14ac:dyDescent="0.25">
      <c r="A62" s="181"/>
      <c r="B62" s="397">
        <v>50</v>
      </c>
      <c r="C62" s="205"/>
      <c r="D62" s="693" t="s">
        <v>1859</v>
      </c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393"/>
      <c r="S62" s="393"/>
      <c r="T62" s="393"/>
    </row>
    <row r="63" spans="1:20" s="395" customFormat="1" ht="18" customHeight="1" x14ac:dyDescent="0.25">
      <c r="A63" s="181"/>
      <c r="B63" s="397">
        <v>75</v>
      </c>
      <c r="C63" s="205"/>
      <c r="D63" s="693" t="s">
        <v>1863</v>
      </c>
      <c r="E63" s="403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393"/>
      <c r="S63" s="393"/>
      <c r="T63" s="393"/>
    </row>
    <row r="64" spans="1:20" s="395" customFormat="1" ht="18" customHeight="1" x14ac:dyDescent="0.25">
      <c r="A64" s="181"/>
      <c r="B64" s="397">
        <v>25</v>
      </c>
      <c r="C64" s="205">
        <v>150</v>
      </c>
      <c r="D64" s="693" t="s">
        <v>1864</v>
      </c>
      <c r="E64" s="403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393"/>
      <c r="S64" s="393"/>
      <c r="T64" s="393"/>
    </row>
    <row r="65" spans="1:20" s="395" customFormat="1" ht="18" customHeight="1" x14ac:dyDescent="0.25">
      <c r="A65" s="181"/>
      <c r="B65" s="397">
        <v>10</v>
      </c>
      <c r="C65" s="205"/>
      <c r="D65" s="693" t="s">
        <v>1875</v>
      </c>
      <c r="E65" s="403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393"/>
      <c r="S65" s="393"/>
      <c r="T65" s="393"/>
    </row>
    <row r="66" spans="1:20" s="395" customFormat="1" ht="18" customHeight="1" thickBot="1" x14ac:dyDescent="0.3">
      <c r="A66" s="181"/>
      <c r="B66" s="397">
        <v>25</v>
      </c>
      <c r="C66" s="205"/>
      <c r="D66" s="693" t="s">
        <v>1869</v>
      </c>
      <c r="E66" s="403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393"/>
      <c r="S66" s="393"/>
      <c r="T66" s="393"/>
    </row>
    <row r="67" spans="1:20" s="395" customFormat="1" ht="18" customHeight="1" thickBot="1" x14ac:dyDescent="0.3">
      <c r="A67" s="181"/>
      <c r="B67" s="750">
        <f>SUM(B60:B66)</f>
        <v>260</v>
      </c>
      <c r="C67" s="205"/>
      <c r="D67" s="276"/>
      <c r="E67" s="463"/>
      <c r="F67" s="400"/>
      <c r="G67" s="400"/>
      <c r="H67" s="400"/>
      <c r="I67" s="400"/>
      <c r="J67" s="400"/>
      <c r="K67" s="400"/>
      <c r="L67" s="400"/>
      <c r="M67" s="400"/>
      <c r="N67" s="400"/>
      <c r="O67" s="400"/>
      <c r="P67" s="400"/>
      <c r="Q67" s="401"/>
      <c r="R67" s="393"/>
      <c r="S67" s="393"/>
      <c r="T67" s="393"/>
    </row>
    <row r="68" spans="1:20" s="395" customFormat="1" ht="18" customHeight="1" x14ac:dyDescent="0.25">
      <c r="A68" s="181"/>
      <c r="B68" s="397"/>
      <c r="C68" s="205"/>
      <c r="D68" s="276"/>
      <c r="E68" s="403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393"/>
      <c r="S68" s="393"/>
      <c r="T68" s="393"/>
    </row>
    <row r="69" spans="1:20" s="395" customFormat="1" ht="18" customHeight="1" x14ac:dyDescent="0.25">
      <c r="A69" s="181">
        <v>45310</v>
      </c>
      <c r="B69" s="397">
        <v>120</v>
      </c>
      <c r="C69" s="205"/>
      <c r="D69" s="693" t="s">
        <v>1870</v>
      </c>
      <c r="E69" s="403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393"/>
      <c r="S69" s="393"/>
      <c r="T69" s="393"/>
    </row>
    <row r="70" spans="1:20" s="395" customFormat="1" ht="18" customHeight="1" x14ac:dyDescent="0.25">
      <c r="A70" s="181"/>
      <c r="B70" s="397">
        <v>40</v>
      </c>
      <c r="C70" s="205"/>
      <c r="D70" s="693" t="s">
        <v>1871</v>
      </c>
      <c r="E70" s="403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393"/>
      <c r="S70" s="393"/>
      <c r="T70" s="393"/>
    </row>
    <row r="71" spans="1:20" s="395" customFormat="1" ht="18" customHeight="1" x14ac:dyDescent="0.25">
      <c r="A71" s="181"/>
      <c r="B71" s="397">
        <v>90</v>
      </c>
      <c r="C71" s="205"/>
      <c r="D71" s="693" t="s">
        <v>1872</v>
      </c>
      <c r="E71" s="403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393"/>
      <c r="S71" s="393"/>
      <c r="T71" s="393"/>
    </row>
    <row r="72" spans="1:20" s="395" customFormat="1" ht="18" customHeight="1" thickBot="1" x14ac:dyDescent="0.3">
      <c r="A72" s="181"/>
      <c r="B72" s="397"/>
      <c r="C72" s="205"/>
      <c r="D72" s="276"/>
      <c r="E72" s="403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393"/>
      <c r="S72" s="393"/>
      <c r="T72" s="393"/>
    </row>
    <row r="73" spans="1:20" s="395" customFormat="1" ht="18" customHeight="1" thickBot="1" x14ac:dyDescent="0.3">
      <c r="A73" s="181"/>
      <c r="B73" s="750">
        <f>SUM(B69:B72)</f>
        <v>250</v>
      </c>
      <c r="C73" s="205"/>
      <c r="D73" s="276"/>
      <c r="E73" s="463"/>
      <c r="F73" s="400"/>
      <c r="G73" s="400"/>
      <c r="H73" s="400"/>
      <c r="I73" s="400"/>
      <c r="J73" s="400"/>
      <c r="K73" s="400"/>
      <c r="L73" s="400"/>
      <c r="M73" s="400"/>
      <c r="N73" s="400"/>
      <c r="O73" s="400"/>
      <c r="P73" s="400"/>
      <c r="Q73" s="401"/>
      <c r="R73" s="393"/>
      <c r="S73" s="393"/>
      <c r="T73" s="393"/>
    </row>
    <row r="74" spans="1:20" s="395" customFormat="1" ht="18" customHeight="1" x14ac:dyDescent="0.25">
      <c r="A74" s="181"/>
      <c r="B74" s="397"/>
      <c r="C74" s="205"/>
      <c r="D74" s="276"/>
      <c r="E74" s="403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393"/>
      <c r="S74" s="393"/>
      <c r="T74" s="393"/>
    </row>
    <row r="75" spans="1:20" s="395" customFormat="1" ht="18" customHeight="1" x14ac:dyDescent="0.25">
      <c r="A75" s="181">
        <v>45311</v>
      </c>
      <c r="B75" s="397">
        <v>45</v>
      </c>
      <c r="C75" s="205"/>
      <c r="D75" s="691" t="s">
        <v>1891</v>
      </c>
      <c r="E75" s="403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393"/>
      <c r="S75" s="393"/>
      <c r="T75" s="393"/>
    </row>
    <row r="76" spans="1:20" s="395" customFormat="1" ht="18" customHeight="1" thickBot="1" x14ac:dyDescent="0.3">
      <c r="A76" s="181"/>
      <c r="B76" s="397">
        <v>60</v>
      </c>
      <c r="C76" s="205"/>
      <c r="D76" s="693" t="s">
        <v>1877</v>
      </c>
      <c r="E76" s="403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393"/>
      <c r="S76" s="393"/>
      <c r="T76" s="393"/>
    </row>
    <row r="77" spans="1:20" s="395" customFormat="1" ht="18" customHeight="1" thickBot="1" x14ac:dyDescent="0.3">
      <c r="A77" s="181"/>
      <c r="B77" s="750">
        <f>SUM(B75:B76)</f>
        <v>105</v>
      </c>
      <c r="C77" s="205"/>
      <c r="D77" s="276"/>
      <c r="E77" s="463"/>
      <c r="F77" s="400"/>
      <c r="G77" s="400"/>
      <c r="H77" s="400"/>
      <c r="I77" s="400"/>
      <c r="J77" s="400"/>
      <c r="K77" s="400"/>
      <c r="L77" s="400"/>
      <c r="M77" s="400"/>
      <c r="N77" s="400"/>
      <c r="O77" s="400"/>
      <c r="P77" s="400"/>
      <c r="Q77" s="401"/>
      <c r="R77" s="393"/>
      <c r="S77" s="393"/>
      <c r="T77" s="393"/>
    </row>
    <row r="78" spans="1:20" s="395" customFormat="1" ht="18" customHeight="1" x14ac:dyDescent="0.25">
      <c r="A78" s="181"/>
      <c r="B78" s="397"/>
      <c r="C78" s="205"/>
      <c r="D78" s="276"/>
      <c r="E78" s="403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393"/>
      <c r="S78" s="393"/>
      <c r="T78" s="393"/>
    </row>
    <row r="79" spans="1:20" s="395" customFormat="1" ht="18" customHeight="1" x14ac:dyDescent="0.25">
      <c r="A79" s="181">
        <v>45313</v>
      </c>
      <c r="B79" s="397">
        <v>65</v>
      </c>
      <c r="C79" s="205">
        <v>125</v>
      </c>
      <c r="D79" s="693" t="s">
        <v>1878</v>
      </c>
      <c r="E79" s="403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393"/>
      <c r="S79" s="393"/>
      <c r="T79" s="393"/>
    </row>
    <row r="80" spans="1:20" s="395" customFormat="1" ht="18" customHeight="1" x14ac:dyDescent="0.25">
      <c r="A80" s="181"/>
      <c r="B80" s="397">
        <v>55</v>
      </c>
      <c r="C80" s="205"/>
      <c r="D80" s="693" t="s">
        <v>1879</v>
      </c>
      <c r="E80" s="403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393"/>
      <c r="S80" s="393"/>
      <c r="T80" s="393"/>
    </row>
    <row r="81" spans="1:20" s="395" customFormat="1" ht="18" customHeight="1" x14ac:dyDescent="0.25">
      <c r="A81" s="181"/>
      <c r="B81" s="397">
        <v>45</v>
      </c>
      <c r="C81" s="205"/>
      <c r="D81" s="693" t="s">
        <v>1880</v>
      </c>
      <c r="E81" s="403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393"/>
      <c r="S81" s="393"/>
      <c r="T81" s="393"/>
    </row>
    <row r="82" spans="1:20" s="395" customFormat="1" ht="18" customHeight="1" thickBot="1" x14ac:dyDescent="0.3">
      <c r="A82" s="181"/>
      <c r="B82" s="397">
        <v>20</v>
      </c>
      <c r="C82" s="205">
        <v>55</v>
      </c>
      <c r="D82" s="582" t="s">
        <v>1896</v>
      </c>
      <c r="E82" s="403" t="s">
        <v>1944</v>
      </c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393"/>
      <c r="S82" s="393"/>
      <c r="T82" s="393"/>
    </row>
    <row r="83" spans="1:20" s="395" customFormat="1" ht="18" customHeight="1" thickBot="1" x14ac:dyDescent="0.3">
      <c r="A83" s="181"/>
      <c r="B83" s="750">
        <f>SUM(B79:B82)</f>
        <v>185</v>
      </c>
      <c r="C83" s="205"/>
      <c r="D83" s="276"/>
      <c r="E83" s="463"/>
      <c r="F83" s="400"/>
      <c r="G83" s="400"/>
      <c r="H83" s="400"/>
      <c r="I83" s="400"/>
      <c r="J83" s="400"/>
      <c r="K83" s="400"/>
      <c r="L83" s="400"/>
      <c r="M83" s="400"/>
      <c r="N83" s="400"/>
      <c r="O83" s="400"/>
      <c r="P83" s="400"/>
      <c r="Q83" s="401"/>
      <c r="R83" s="393"/>
      <c r="S83" s="393"/>
      <c r="T83" s="393"/>
    </row>
    <row r="84" spans="1:20" s="395" customFormat="1" ht="18" customHeight="1" x14ac:dyDescent="0.25">
      <c r="A84" s="181"/>
      <c r="B84" s="397"/>
      <c r="C84" s="205"/>
      <c r="D84" s="276"/>
      <c r="E84" s="403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393"/>
      <c r="S84" s="393"/>
      <c r="T84" s="393"/>
    </row>
    <row r="85" spans="1:20" s="395" customFormat="1" ht="18" customHeight="1" x14ac:dyDescent="0.25">
      <c r="A85" s="181">
        <v>45314</v>
      </c>
      <c r="B85" s="397">
        <v>10</v>
      </c>
      <c r="C85" s="205"/>
      <c r="D85" s="693" t="s">
        <v>1881</v>
      </c>
      <c r="E85" s="403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393"/>
      <c r="S85" s="393"/>
      <c r="T85" s="393"/>
    </row>
    <row r="86" spans="1:20" s="395" customFormat="1" ht="18" customHeight="1" x14ac:dyDescent="0.25">
      <c r="A86" s="181"/>
      <c r="B86" s="397">
        <v>100</v>
      </c>
      <c r="C86" s="205"/>
      <c r="D86" s="693" t="s">
        <v>1882</v>
      </c>
      <c r="E86" s="403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393"/>
      <c r="S86" s="393"/>
      <c r="T86" s="393"/>
    </row>
    <row r="87" spans="1:20" s="395" customFormat="1" ht="18" customHeight="1" x14ac:dyDescent="0.25">
      <c r="A87" s="181"/>
      <c r="B87" s="397"/>
      <c r="C87" s="205">
        <v>150</v>
      </c>
      <c r="D87" s="276" t="s">
        <v>1883</v>
      </c>
      <c r="E87" s="403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393"/>
      <c r="S87" s="393"/>
      <c r="T87" s="393"/>
    </row>
    <row r="88" spans="1:20" s="395" customFormat="1" ht="18" customHeight="1" x14ac:dyDescent="0.25">
      <c r="A88" s="181"/>
      <c r="B88" s="397"/>
      <c r="C88" s="205">
        <v>125</v>
      </c>
      <c r="D88" s="693" t="s">
        <v>1884</v>
      </c>
      <c r="E88" s="403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393"/>
      <c r="S88" s="393"/>
      <c r="T88" s="393"/>
    </row>
    <row r="89" spans="1:20" s="395" customFormat="1" ht="18" customHeight="1" x14ac:dyDescent="0.25">
      <c r="A89" s="181"/>
      <c r="B89" s="397"/>
      <c r="C89" s="205">
        <v>125</v>
      </c>
      <c r="D89" s="693" t="s">
        <v>1885</v>
      </c>
      <c r="E89" s="403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393"/>
      <c r="S89" s="393"/>
      <c r="T89" s="393"/>
    </row>
    <row r="90" spans="1:20" s="395" customFormat="1" ht="18" customHeight="1" x14ac:dyDescent="0.25">
      <c r="A90" s="181"/>
      <c r="B90" s="397">
        <v>60</v>
      </c>
      <c r="C90" s="205"/>
      <c r="D90" s="693" t="s">
        <v>1886</v>
      </c>
      <c r="E90" s="403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393"/>
      <c r="S90" s="393"/>
      <c r="T90" s="393"/>
    </row>
    <row r="91" spans="1:20" s="395" customFormat="1" ht="18" customHeight="1" x14ac:dyDescent="0.25">
      <c r="A91" s="181"/>
      <c r="B91" s="397"/>
      <c r="C91" s="205">
        <v>35</v>
      </c>
      <c r="D91" s="693" t="s">
        <v>1902</v>
      </c>
      <c r="E91" s="403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393"/>
      <c r="S91" s="393"/>
      <c r="T91" s="393"/>
    </row>
    <row r="92" spans="1:20" s="395" customFormat="1" ht="18" customHeight="1" x14ac:dyDescent="0.25">
      <c r="A92" s="181"/>
      <c r="B92" s="397">
        <v>120</v>
      </c>
      <c r="C92" s="205"/>
      <c r="D92" s="693" t="s">
        <v>1887</v>
      </c>
      <c r="E92" s="403">
        <v>-5</v>
      </c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393"/>
      <c r="S92" s="393"/>
      <c r="T92" s="393"/>
    </row>
    <row r="93" spans="1:20" s="395" customFormat="1" ht="18" customHeight="1" thickBot="1" x14ac:dyDescent="0.3">
      <c r="A93" s="181"/>
      <c r="B93" s="397">
        <v>100</v>
      </c>
      <c r="C93" s="205"/>
      <c r="D93" s="693" t="s">
        <v>1888</v>
      </c>
      <c r="E93" s="403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393"/>
      <c r="S93" s="393"/>
      <c r="T93" s="393"/>
    </row>
    <row r="94" spans="1:20" s="395" customFormat="1" ht="18" customHeight="1" thickBot="1" x14ac:dyDescent="0.3">
      <c r="A94" s="181"/>
      <c r="B94" s="750">
        <f>SUM(B85:B93)</f>
        <v>390</v>
      </c>
      <c r="C94" s="205"/>
      <c r="D94" s="276"/>
      <c r="E94" s="463">
        <f>SUM(E92:E93)</f>
        <v>-5</v>
      </c>
      <c r="F94" s="400"/>
      <c r="G94" s="400"/>
      <c r="H94" s="400"/>
      <c r="I94" s="400"/>
      <c r="J94" s="400"/>
      <c r="K94" s="400"/>
      <c r="L94" s="400"/>
      <c r="M94" s="400"/>
      <c r="N94" s="400"/>
      <c r="O94" s="400"/>
      <c r="P94" s="400"/>
      <c r="Q94" s="401"/>
      <c r="R94" s="393"/>
      <c r="S94" s="393"/>
      <c r="T94" s="393"/>
    </row>
    <row r="95" spans="1:20" s="395" customFormat="1" ht="18" customHeight="1" x14ac:dyDescent="0.25">
      <c r="A95" s="181"/>
      <c r="B95" s="397"/>
      <c r="C95" s="205"/>
      <c r="D95" s="276"/>
      <c r="E95" s="403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393"/>
      <c r="S95" s="393"/>
      <c r="T95" s="393"/>
    </row>
    <row r="96" spans="1:20" s="395" customFormat="1" ht="18" customHeight="1" x14ac:dyDescent="0.25">
      <c r="A96" s="181">
        <v>45315</v>
      </c>
      <c r="B96" s="397">
        <v>25</v>
      </c>
      <c r="C96" s="205"/>
      <c r="D96" s="693" t="s">
        <v>1897</v>
      </c>
      <c r="E96" s="403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393"/>
      <c r="S96" s="393"/>
      <c r="T96" s="393"/>
    </row>
    <row r="97" spans="1:20" s="395" customFormat="1" ht="18" customHeight="1" x14ac:dyDescent="0.25">
      <c r="A97" s="181"/>
      <c r="B97" s="397">
        <v>10</v>
      </c>
      <c r="C97" s="205"/>
      <c r="D97" s="693" t="s">
        <v>1900</v>
      </c>
      <c r="E97" s="330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393"/>
      <c r="S97" s="393"/>
      <c r="T97" s="393"/>
    </row>
    <row r="98" spans="1:20" s="395" customFormat="1" ht="18" customHeight="1" thickBot="1" x14ac:dyDescent="0.3">
      <c r="A98" s="181"/>
      <c r="B98" s="397">
        <v>10</v>
      </c>
      <c r="C98" s="205"/>
      <c r="D98" s="693" t="s">
        <v>1898</v>
      </c>
      <c r="E98" s="403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393"/>
      <c r="S98" s="393"/>
      <c r="T98" s="393"/>
    </row>
    <row r="99" spans="1:20" s="395" customFormat="1" ht="18" customHeight="1" thickBot="1" x14ac:dyDescent="0.3">
      <c r="A99" s="181"/>
      <c r="B99" s="750">
        <f>SUM(B96:B98)</f>
        <v>45</v>
      </c>
      <c r="C99" s="205"/>
      <c r="D99" s="276"/>
      <c r="E99" s="463"/>
      <c r="F99" s="400"/>
      <c r="G99" s="400"/>
      <c r="H99" s="400"/>
      <c r="I99" s="400"/>
      <c r="J99" s="400"/>
      <c r="K99" s="400"/>
      <c r="L99" s="400"/>
      <c r="M99" s="400"/>
      <c r="N99" s="400"/>
      <c r="O99" s="400"/>
      <c r="P99" s="400"/>
      <c r="Q99" s="401"/>
      <c r="R99" s="393"/>
      <c r="S99" s="393"/>
      <c r="T99" s="393"/>
    </row>
    <row r="100" spans="1:20" s="395" customFormat="1" ht="18" customHeight="1" x14ac:dyDescent="0.25">
      <c r="A100" s="181"/>
      <c r="B100" s="397"/>
      <c r="C100" s="205"/>
      <c r="D100" s="276"/>
      <c r="E100" s="403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393"/>
      <c r="S100" s="393"/>
      <c r="T100" s="393"/>
    </row>
    <row r="101" spans="1:20" s="395" customFormat="1" ht="18" customHeight="1" x14ac:dyDescent="0.25">
      <c r="A101" s="181"/>
      <c r="B101" s="397"/>
      <c r="C101" s="205"/>
      <c r="D101" s="693" t="s">
        <v>1903</v>
      </c>
      <c r="E101" s="403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393"/>
      <c r="S101" s="393"/>
      <c r="T101" s="393"/>
    </row>
    <row r="102" spans="1:20" s="395" customFormat="1" ht="18" customHeight="1" x14ac:dyDescent="0.25">
      <c r="A102" s="181"/>
      <c r="B102" s="397"/>
      <c r="C102" s="205">
        <v>65</v>
      </c>
      <c r="D102" s="693" t="s">
        <v>1904</v>
      </c>
      <c r="E102" s="403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393"/>
      <c r="S102" s="393"/>
      <c r="T102" s="393"/>
    </row>
    <row r="103" spans="1:20" s="395" customFormat="1" ht="18" customHeight="1" x14ac:dyDescent="0.25">
      <c r="A103" s="181"/>
      <c r="B103" s="397"/>
      <c r="C103" s="205">
        <v>55</v>
      </c>
      <c r="D103" s="691" t="s">
        <v>1905</v>
      </c>
      <c r="E103" s="403" t="s">
        <v>1909</v>
      </c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393"/>
      <c r="S103" s="393"/>
      <c r="T103" s="393"/>
    </row>
    <row r="104" spans="1:20" s="395" customFormat="1" ht="18" customHeight="1" thickBot="1" x14ac:dyDescent="0.3">
      <c r="A104" s="181"/>
      <c r="B104" s="397"/>
      <c r="C104" s="205">
        <v>35</v>
      </c>
      <c r="D104" s="691" t="s">
        <v>1906</v>
      </c>
      <c r="E104" s="403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393"/>
      <c r="S104" s="393"/>
      <c r="T104" s="393"/>
    </row>
    <row r="105" spans="1:20" s="395" customFormat="1" ht="18" customHeight="1" thickBot="1" x14ac:dyDescent="0.3">
      <c r="A105" s="181"/>
      <c r="B105" s="398"/>
      <c r="C105" s="205"/>
      <c r="D105" s="276"/>
      <c r="E105" s="463"/>
      <c r="F105" s="400"/>
      <c r="G105" s="400"/>
      <c r="H105" s="400"/>
      <c r="I105" s="400"/>
      <c r="J105" s="400"/>
      <c r="K105" s="400"/>
      <c r="L105" s="400"/>
      <c r="M105" s="400"/>
      <c r="N105" s="400"/>
      <c r="O105" s="400"/>
      <c r="P105" s="400"/>
      <c r="Q105" s="401"/>
      <c r="R105" s="393"/>
      <c r="S105" s="393"/>
      <c r="T105" s="393"/>
    </row>
    <row r="106" spans="1:20" s="395" customFormat="1" ht="18" customHeight="1" x14ac:dyDescent="0.25">
      <c r="A106" s="181"/>
      <c r="B106" s="397"/>
      <c r="C106" s="205"/>
      <c r="D106" s="276"/>
      <c r="E106" s="403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393"/>
      <c r="S106" s="393"/>
      <c r="T106" s="393"/>
    </row>
    <row r="107" spans="1:20" s="395" customFormat="1" ht="18" customHeight="1" x14ac:dyDescent="0.25">
      <c r="A107" s="495">
        <v>45318</v>
      </c>
      <c r="B107" s="397">
        <v>20</v>
      </c>
      <c r="C107" s="205"/>
      <c r="D107" s="751" t="s">
        <v>1910</v>
      </c>
      <c r="E107" s="403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393"/>
      <c r="S107" s="393"/>
      <c r="T107" s="393"/>
    </row>
    <row r="108" spans="1:20" s="395" customFormat="1" ht="18" customHeight="1" x14ac:dyDescent="0.25">
      <c r="A108" s="495"/>
      <c r="B108" s="397">
        <v>90</v>
      </c>
      <c r="C108" s="205"/>
      <c r="D108" s="751" t="s">
        <v>1919</v>
      </c>
      <c r="E108" s="403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393"/>
      <c r="S108" s="393"/>
      <c r="T108" s="393"/>
    </row>
    <row r="109" spans="1:20" s="395" customFormat="1" ht="18" customHeight="1" x14ac:dyDescent="0.25">
      <c r="A109" s="181"/>
      <c r="B109" s="397">
        <v>35</v>
      </c>
      <c r="C109" s="205"/>
      <c r="D109" s="693" t="s">
        <v>1911</v>
      </c>
      <c r="E109" s="403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393"/>
      <c r="S109" s="393"/>
      <c r="T109" s="393"/>
    </row>
    <row r="110" spans="1:20" s="395" customFormat="1" ht="18" customHeight="1" x14ac:dyDescent="0.25">
      <c r="A110" s="181"/>
      <c r="B110" s="397">
        <v>35</v>
      </c>
      <c r="C110" s="205"/>
      <c r="D110" s="693" t="s">
        <v>1912</v>
      </c>
      <c r="E110" s="403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393"/>
      <c r="S110" s="393"/>
      <c r="T110" s="393"/>
    </row>
    <row r="111" spans="1:20" s="395" customFormat="1" ht="18" customHeight="1" x14ac:dyDescent="0.25">
      <c r="A111" s="181"/>
      <c r="B111" s="397">
        <v>35</v>
      </c>
      <c r="C111" s="205"/>
      <c r="D111" s="693" t="s">
        <v>1913</v>
      </c>
      <c r="E111" s="403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393"/>
      <c r="S111" s="393"/>
      <c r="T111" s="393"/>
    </row>
    <row r="112" spans="1:20" s="395" customFormat="1" ht="18" customHeight="1" x14ac:dyDescent="0.25">
      <c r="A112" s="181"/>
      <c r="B112" s="397">
        <v>115</v>
      </c>
      <c r="C112" s="205"/>
      <c r="D112" s="693" t="s">
        <v>1914</v>
      </c>
      <c r="E112" s="403">
        <v>-10</v>
      </c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393"/>
      <c r="S112" s="393"/>
      <c r="T112" s="393"/>
    </row>
    <row r="113" spans="1:20" s="395" customFormat="1" ht="18" customHeight="1" thickBot="1" x14ac:dyDescent="0.3">
      <c r="A113" s="181"/>
      <c r="B113" s="397"/>
      <c r="C113" s="205"/>
      <c r="D113" s="754" t="s">
        <v>1929</v>
      </c>
      <c r="E113" s="755">
        <v>-10</v>
      </c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393"/>
      <c r="S113" s="393"/>
      <c r="T113" s="393"/>
    </row>
    <row r="114" spans="1:20" s="395" customFormat="1" ht="18" customHeight="1" thickBot="1" x14ac:dyDescent="0.3">
      <c r="A114" s="181"/>
      <c r="B114" s="750">
        <f>SUM(B107:B112)</f>
        <v>330</v>
      </c>
      <c r="C114" s="205"/>
      <c r="D114" s="276"/>
      <c r="E114" s="463">
        <f>SUM(E112:E113)</f>
        <v>-20</v>
      </c>
      <c r="F114" s="400"/>
      <c r="G114" s="400"/>
      <c r="H114" s="400"/>
      <c r="I114" s="400"/>
      <c r="J114" s="400"/>
      <c r="K114" s="400"/>
      <c r="L114" s="400"/>
      <c r="M114" s="400"/>
      <c r="N114" s="400"/>
      <c r="O114" s="400"/>
      <c r="P114" s="400"/>
      <c r="Q114" s="401"/>
      <c r="R114" s="393"/>
      <c r="S114" s="393"/>
      <c r="T114" s="393"/>
    </row>
    <row r="115" spans="1:20" s="395" customFormat="1" ht="18" customHeight="1" x14ac:dyDescent="0.25">
      <c r="A115" s="181"/>
      <c r="B115" s="397"/>
      <c r="C115" s="205"/>
      <c r="D115" s="276"/>
      <c r="E115" s="403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393"/>
      <c r="S115" s="393"/>
      <c r="T115" s="393"/>
    </row>
    <row r="116" spans="1:20" s="395" customFormat="1" ht="18" customHeight="1" x14ac:dyDescent="0.25">
      <c r="A116" s="181">
        <v>45320</v>
      </c>
      <c r="B116" s="397">
        <v>10</v>
      </c>
      <c r="C116" s="205"/>
      <c r="D116" s="693" t="s">
        <v>1915</v>
      </c>
      <c r="E116" s="403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393"/>
      <c r="S116" s="393"/>
      <c r="T116" s="393"/>
    </row>
    <row r="117" spans="1:20" s="395" customFormat="1" ht="18" customHeight="1" x14ac:dyDescent="0.25">
      <c r="A117" s="181"/>
      <c r="B117" s="397">
        <v>30</v>
      </c>
      <c r="C117" s="205"/>
      <c r="D117" s="693" t="s">
        <v>1916</v>
      </c>
      <c r="E117" s="403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393"/>
      <c r="S117" s="393"/>
      <c r="T117" s="393"/>
    </row>
    <row r="118" spans="1:20" s="395" customFormat="1" ht="18" customHeight="1" x14ac:dyDescent="0.25">
      <c r="A118" s="181"/>
      <c r="B118" s="397"/>
      <c r="C118" s="205">
        <v>45</v>
      </c>
      <c r="D118" s="693" t="s">
        <v>1917</v>
      </c>
      <c r="E118" s="403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393"/>
      <c r="S118" s="393"/>
      <c r="T118" s="393"/>
    </row>
    <row r="119" spans="1:20" s="395" customFormat="1" ht="18" customHeight="1" thickBot="1" x14ac:dyDescent="0.3">
      <c r="A119" s="181"/>
      <c r="B119" s="397"/>
      <c r="C119" s="205">
        <v>10</v>
      </c>
      <c r="D119" s="693" t="s">
        <v>1918</v>
      </c>
      <c r="E119" s="403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393"/>
      <c r="S119" s="393"/>
      <c r="T119" s="393"/>
    </row>
    <row r="120" spans="1:20" s="395" customFormat="1" ht="18" customHeight="1" thickBot="1" x14ac:dyDescent="0.3">
      <c r="A120" s="181"/>
      <c r="B120" s="750">
        <f>SUM(B116:B119)</f>
        <v>40</v>
      </c>
      <c r="C120" s="205"/>
      <c r="D120" s="276"/>
      <c r="E120" s="463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1"/>
      <c r="R120" s="393"/>
      <c r="S120" s="393"/>
      <c r="T120" s="393"/>
    </row>
    <row r="121" spans="1:20" s="395" customFormat="1" ht="18" customHeight="1" x14ac:dyDescent="0.25">
      <c r="A121" s="181"/>
      <c r="B121" s="397"/>
      <c r="C121" s="205"/>
      <c r="D121" s="276"/>
      <c r="E121" s="403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393"/>
      <c r="S121" s="393"/>
      <c r="T121" s="393"/>
    </row>
    <row r="122" spans="1:20" s="395" customFormat="1" ht="18" customHeight="1" x14ac:dyDescent="0.25">
      <c r="A122" s="181">
        <v>45321</v>
      </c>
      <c r="B122" s="397">
        <v>10</v>
      </c>
      <c r="C122" s="205"/>
      <c r="D122" s="693" t="s">
        <v>1881</v>
      </c>
      <c r="E122" s="403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393"/>
      <c r="S122" s="393"/>
      <c r="T122" s="393"/>
    </row>
    <row r="123" spans="1:20" s="395" customFormat="1" ht="18" customHeight="1" x14ac:dyDescent="0.25">
      <c r="A123" s="181"/>
      <c r="B123" s="397">
        <v>25</v>
      </c>
      <c r="C123" s="205"/>
      <c r="D123" s="693" t="s">
        <v>1927</v>
      </c>
      <c r="E123" s="403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393"/>
      <c r="S123" s="393"/>
      <c r="T123" s="393"/>
    </row>
    <row r="124" spans="1:20" s="395" customFormat="1" ht="18" customHeight="1" thickBot="1" x14ac:dyDescent="0.3">
      <c r="A124" s="181"/>
      <c r="B124" s="397">
        <v>25</v>
      </c>
      <c r="C124" s="205"/>
      <c r="D124" s="693" t="s">
        <v>1978</v>
      </c>
      <c r="E124" s="403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393"/>
      <c r="S124" s="393"/>
      <c r="T124" s="393"/>
    </row>
    <row r="125" spans="1:20" s="395" customFormat="1" ht="18" customHeight="1" thickBot="1" x14ac:dyDescent="0.3">
      <c r="A125" s="181"/>
      <c r="B125" s="398">
        <f>SUM(B122:B124)</f>
        <v>60</v>
      </c>
      <c r="C125" s="205"/>
      <c r="D125" s="276"/>
      <c r="E125" s="463"/>
      <c r="F125" s="400"/>
      <c r="G125" s="400"/>
      <c r="H125" s="400"/>
      <c r="I125" s="400"/>
      <c r="J125" s="400"/>
      <c r="K125" s="400"/>
      <c r="L125" s="400"/>
      <c r="M125" s="400"/>
      <c r="N125" s="400"/>
      <c r="O125" s="400"/>
      <c r="P125" s="400"/>
      <c r="Q125" s="401"/>
      <c r="R125" s="393"/>
      <c r="S125" s="393"/>
      <c r="T125" s="393"/>
    </row>
    <row r="126" spans="1:20" s="395" customFormat="1" ht="18" customHeight="1" thickBot="1" x14ac:dyDescent="0.3">
      <c r="A126" s="181"/>
      <c r="B126" s="397"/>
      <c r="C126" s="205"/>
      <c r="D126" s="276"/>
      <c r="E126" s="403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393"/>
      <c r="S126" s="393"/>
      <c r="T126" s="393"/>
    </row>
    <row r="127" spans="1:20" s="395" customFormat="1" ht="18" customHeight="1" thickBot="1" x14ac:dyDescent="0.3">
      <c r="A127" s="181">
        <v>45322</v>
      </c>
      <c r="B127" s="398">
        <v>10</v>
      </c>
      <c r="C127" s="205"/>
      <c r="D127" s="693" t="s">
        <v>1928</v>
      </c>
      <c r="E127" s="463"/>
      <c r="F127" s="400"/>
      <c r="G127" s="400"/>
      <c r="H127" s="400"/>
      <c r="I127" s="400"/>
      <c r="J127" s="400"/>
      <c r="K127" s="400"/>
      <c r="L127" s="400"/>
      <c r="M127" s="400"/>
      <c r="N127" s="400"/>
      <c r="O127" s="400"/>
      <c r="P127" s="400"/>
      <c r="Q127" s="401"/>
      <c r="R127" s="393"/>
      <c r="S127" s="393"/>
      <c r="T127" s="393"/>
    </row>
    <row r="128" spans="1:20" s="395" customFormat="1" ht="18" customHeight="1" x14ac:dyDescent="0.25">
      <c r="A128" s="181"/>
      <c r="B128" s="397"/>
      <c r="C128" s="205"/>
      <c r="D128" s="276"/>
      <c r="E128" s="403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393"/>
      <c r="S128" s="393"/>
      <c r="T128" s="393"/>
    </row>
    <row r="129" spans="1:20" s="395" customFormat="1" ht="18" customHeight="1" x14ac:dyDescent="0.25">
      <c r="A129" s="181"/>
      <c r="B129" s="397"/>
      <c r="C129" s="205"/>
      <c r="D129" s="276"/>
      <c r="E129" s="403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393"/>
      <c r="S129" s="393"/>
      <c r="T129" s="393"/>
    </row>
    <row r="130" spans="1:20" s="395" customFormat="1" ht="18" hidden="1" customHeight="1" x14ac:dyDescent="0.25">
      <c r="A130" s="181"/>
      <c r="B130" s="397"/>
      <c r="C130" s="205"/>
      <c r="D130" s="276"/>
      <c r="E130" s="403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393"/>
      <c r="S130" s="393"/>
      <c r="T130" s="393"/>
    </row>
    <row r="131" spans="1:20" s="395" customFormat="1" ht="18" hidden="1" customHeight="1" x14ac:dyDescent="0.25">
      <c r="A131" s="181"/>
      <c r="B131" s="397"/>
      <c r="C131" s="205"/>
      <c r="D131" s="276"/>
      <c r="E131" s="403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393"/>
      <c r="S131" s="393"/>
      <c r="T131" s="393"/>
    </row>
    <row r="132" spans="1:20" s="395" customFormat="1" ht="18" hidden="1" customHeight="1" x14ac:dyDescent="0.25">
      <c r="A132" s="181"/>
      <c r="B132" s="397"/>
      <c r="C132" s="205"/>
      <c r="D132" s="276"/>
      <c r="E132" s="403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393"/>
      <c r="S132" s="393"/>
      <c r="T132" s="393"/>
    </row>
    <row r="133" spans="1:20" s="395" customFormat="1" ht="18" hidden="1" customHeight="1" x14ac:dyDescent="0.25">
      <c r="A133" s="181"/>
      <c r="B133" s="397"/>
      <c r="C133" s="205"/>
      <c r="D133" s="276"/>
      <c r="E133" s="403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393"/>
      <c r="S133" s="393"/>
      <c r="T133" s="393"/>
    </row>
    <row r="134" spans="1:20" s="395" customFormat="1" ht="18" hidden="1" customHeight="1" x14ac:dyDescent="0.25">
      <c r="A134" s="181"/>
      <c r="B134" s="397"/>
      <c r="C134" s="205"/>
      <c r="D134" s="276"/>
      <c r="E134" s="403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393"/>
      <c r="S134" s="393"/>
      <c r="T134" s="393"/>
    </row>
    <row r="135" spans="1:20" s="395" customFormat="1" ht="18" hidden="1" customHeight="1" x14ac:dyDescent="0.25">
      <c r="A135" s="181"/>
      <c r="B135" s="397"/>
      <c r="C135" s="205"/>
      <c r="D135" s="276"/>
      <c r="E135" s="403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393"/>
      <c r="S135" s="393"/>
      <c r="T135" s="393"/>
    </row>
    <row r="136" spans="1:20" s="395" customFormat="1" ht="18" hidden="1" customHeight="1" x14ac:dyDescent="0.25">
      <c r="A136" s="181"/>
      <c r="B136" s="397"/>
      <c r="C136" s="205"/>
      <c r="D136" s="276"/>
      <c r="E136" s="403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393"/>
      <c r="S136" s="393"/>
      <c r="T136" s="393"/>
    </row>
    <row r="137" spans="1:20" s="395" customFormat="1" ht="18" hidden="1" customHeight="1" x14ac:dyDescent="0.25">
      <c r="A137" s="181"/>
      <c r="B137" s="397"/>
      <c r="C137" s="205"/>
      <c r="D137" s="276"/>
      <c r="E137" s="403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393"/>
      <c r="S137" s="393"/>
      <c r="T137" s="393"/>
    </row>
    <row r="138" spans="1:20" s="395" customFormat="1" ht="18" hidden="1" customHeight="1" x14ac:dyDescent="0.25">
      <c r="A138" s="181"/>
      <c r="B138" s="397"/>
      <c r="C138" s="205"/>
      <c r="D138" s="276"/>
      <c r="E138" s="403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393"/>
      <c r="S138" s="393"/>
      <c r="T138" s="393"/>
    </row>
    <row r="139" spans="1:20" s="166" customFormat="1" ht="18" customHeight="1" x14ac:dyDescent="0.25">
      <c r="A139" s="181" t="s">
        <v>706</v>
      </c>
      <c r="B139" s="397">
        <f>+B7+B11+B18+B26+B30+B33+B40+B44+B48+B50+B54+B58+B67+73+B77+B83+B94+B99+B105+B114+B120+B125+B127</f>
        <v>3230</v>
      </c>
      <c r="C139" s="397"/>
      <c r="D139" s="397"/>
      <c r="E139" s="756">
        <f>+E11+E26+E94+E114</f>
        <v>-40</v>
      </c>
      <c r="F139" s="757" t="s">
        <v>1930</v>
      </c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4"/>
      <c r="S139" s="164"/>
      <c r="T139" s="164"/>
    </row>
    <row r="140" spans="1:20" s="166" customFormat="1" ht="18" customHeight="1" x14ac:dyDescent="0.25">
      <c r="A140" s="181" t="s">
        <v>707</v>
      </c>
      <c r="B140" s="397"/>
      <c r="C140" s="205"/>
      <c r="D140" s="276"/>
      <c r="E140" s="403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4"/>
      <c r="S140" s="164"/>
      <c r="T140" s="164"/>
    </row>
    <row r="141" spans="1:20" s="166" customFormat="1" ht="18" customHeight="1" thickBot="1" x14ac:dyDescent="0.3">
      <c r="A141" s="181" t="s">
        <v>708</v>
      </c>
      <c r="B141" s="397"/>
      <c r="C141" s="205"/>
      <c r="D141" s="276"/>
      <c r="E141" s="403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4"/>
      <c r="S141" s="164"/>
      <c r="T141" s="164"/>
    </row>
    <row r="142" spans="1:20" s="166" customFormat="1" ht="18" customHeight="1" thickBot="1" x14ac:dyDescent="0.3">
      <c r="A142" s="181" t="s">
        <v>710</v>
      </c>
      <c r="B142" s="398">
        <f>SUM(B139:B141)</f>
        <v>3230</v>
      </c>
      <c r="C142" s="205"/>
      <c r="D142" s="276"/>
      <c r="E142" s="403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4"/>
      <c r="S142" s="164"/>
      <c r="T142" s="164"/>
    </row>
    <row r="143" spans="1:20" s="166" customFormat="1" ht="18" customHeight="1" thickBot="1" x14ac:dyDescent="0.3">
      <c r="A143" s="181" t="s">
        <v>711</v>
      </c>
      <c r="B143" s="397">
        <f>-6500+B142</f>
        <v>-3270</v>
      </c>
      <c r="C143" s="205"/>
      <c r="D143" s="276"/>
      <c r="E143" s="403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4"/>
      <c r="S143" s="164"/>
      <c r="T143" s="164"/>
    </row>
    <row r="144" spans="1:20" s="166" customFormat="1" ht="18" customHeight="1" thickBot="1" x14ac:dyDescent="0.3">
      <c r="A144" s="181" t="s">
        <v>239</v>
      </c>
      <c r="B144" s="398">
        <f>+B143*0.01</f>
        <v>-32.700000000000003</v>
      </c>
      <c r="C144" s="205"/>
      <c r="D144" s="276"/>
      <c r="E144" s="403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4"/>
      <c r="S144" s="164"/>
      <c r="T144" s="164"/>
    </row>
    <row r="145" spans="1:20" s="166" customFormat="1" ht="18" customHeight="1" x14ac:dyDescent="0.25">
      <c r="A145" s="181"/>
      <c r="B145" s="397"/>
      <c r="C145" s="205"/>
      <c r="D145" s="276"/>
      <c r="E145" s="403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4"/>
      <c r="S145" s="164"/>
      <c r="T145" s="164"/>
    </row>
    <row r="146" spans="1:20" s="166" customFormat="1" ht="18" customHeight="1" x14ac:dyDescent="0.25">
      <c r="A146" s="181"/>
      <c r="B146" s="397"/>
      <c r="C146" s="205"/>
      <c r="D146" s="276"/>
      <c r="E146" s="403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4"/>
      <c r="S146" s="164"/>
      <c r="T146" s="164"/>
    </row>
    <row r="147" spans="1:20" s="166" customFormat="1" ht="18" customHeight="1" x14ac:dyDescent="0.25">
      <c r="A147" s="181"/>
      <c r="B147" s="397"/>
      <c r="C147" s="205"/>
      <c r="D147" s="276"/>
      <c r="E147" s="403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4"/>
      <c r="S147" s="164"/>
      <c r="T147" s="164"/>
    </row>
    <row r="148" spans="1:20" s="366" customFormat="1" ht="18" customHeight="1" x14ac:dyDescent="0.35">
      <c r="A148" s="236"/>
      <c r="B148" s="204"/>
      <c r="C148" s="459"/>
      <c r="D148" s="593" t="s">
        <v>731</v>
      </c>
      <c r="E148" s="431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2"/>
      <c r="S148" s="192"/>
      <c r="T148" s="192"/>
    </row>
    <row r="149" spans="1:20" s="395" customFormat="1" ht="18" customHeight="1" thickBot="1" x14ac:dyDescent="0.3">
      <c r="A149" s="181"/>
      <c r="B149" s="393"/>
      <c r="C149" s="205"/>
      <c r="D149" s="594"/>
      <c r="E149" s="330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393"/>
      <c r="S149" s="393"/>
      <c r="T149" s="393"/>
    </row>
    <row r="150" spans="1:20" s="395" customFormat="1" ht="18" customHeight="1" thickBot="1" x14ac:dyDescent="0.3">
      <c r="A150" s="181">
        <v>45323</v>
      </c>
      <c r="B150" s="758">
        <v>25</v>
      </c>
      <c r="C150" s="205"/>
      <c r="D150" s="764" t="s">
        <v>1931</v>
      </c>
      <c r="E150" s="759"/>
      <c r="F150" s="400"/>
      <c r="G150" s="400"/>
      <c r="H150" s="400"/>
      <c r="I150" s="400"/>
      <c r="J150" s="400"/>
      <c r="K150" s="400"/>
      <c r="L150" s="400"/>
      <c r="M150" s="400"/>
      <c r="N150" s="400"/>
      <c r="O150" s="400"/>
      <c r="P150" s="400"/>
      <c r="Q150" s="400"/>
      <c r="R150" s="176"/>
      <c r="S150" s="176"/>
      <c r="T150" s="760"/>
    </row>
    <row r="151" spans="1:20" s="395" customFormat="1" ht="18" customHeight="1" x14ac:dyDescent="0.25">
      <c r="A151" s="181"/>
      <c r="B151" s="393"/>
      <c r="C151" s="205"/>
      <c r="D151" s="594"/>
      <c r="E151" s="330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393"/>
      <c r="S151" s="393"/>
      <c r="T151" s="393"/>
    </row>
    <row r="152" spans="1:20" s="395" customFormat="1" ht="18" customHeight="1" x14ac:dyDescent="0.25">
      <c r="A152" s="181">
        <v>45324</v>
      </c>
      <c r="B152" s="393">
        <v>100</v>
      </c>
      <c r="C152" s="205"/>
      <c r="D152" s="764" t="s">
        <v>1942</v>
      </c>
      <c r="E152" s="330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393"/>
      <c r="S152" s="393"/>
      <c r="T152" s="393"/>
    </row>
    <row r="153" spans="1:20" s="395" customFormat="1" ht="18" customHeight="1" x14ac:dyDescent="0.25">
      <c r="B153" s="393"/>
      <c r="C153" s="205"/>
      <c r="D153" s="765" t="s">
        <v>1938</v>
      </c>
      <c r="E153" s="330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393"/>
      <c r="S153" s="393"/>
      <c r="T153" s="393"/>
    </row>
    <row r="154" spans="1:20" s="395" customFormat="1" ht="18" customHeight="1" x14ac:dyDescent="0.25">
      <c r="A154" s="181"/>
      <c r="B154" s="393">
        <v>25</v>
      </c>
      <c r="C154" s="205"/>
      <c r="D154" s="764" t="s">
        <v>1939</v>
      </c>
      <c r="E154" s="330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393"/>
      <c r="S154" s="393"/>
      <c r="T154" s="393"/>
    </row>
    <row r="155" spans="1:20" s="395" customFormat="1" ht="18" customHeight="1" x14ac:dyDescent="0.25">
      <c r="A155" s="181"/>
      <c r="B155" s="393">
        <v>20</v>
      </c>
      <c r="C155" s="205"/>
      <c r="D155" s="764" t="s">
        <v>1940</v>
      </c>
      <c r="E155" s="330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393"/>
      <c r="S155" s="393"/>
      <c r="T155" s="393"/>
    </row>
    <row r="156" spans="1:20" s="395" customFormat="1" ht="18" customHeight="1" x14ac:dyDescent="0.25">
      <c r="A156" s="181"/>
      <c r="B156" s="393">
        <v>10</v>
      </c>
      <c r="C156" s="205"/>
      <c r="D156" s="764" t="s">
        <v>1941</v>
      </c>
      <c r="E156" s="330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393"/>
      <c r="S156" s="393"/>
      <c r="T156" s="393"/>
    </row>
    <row r="157" spans="1:20" s="395" customFormat="1" ht="18" customHeight="1" x14ac:dyDescent="0.25">
      <c r="B157" s="393">
        <v>45</v>
      </c>
      <c r="C157" s="205"/>
      <c r="D157" s="764" t="s">
        <v>1932</v>
      </c>
      <c r="E157" s="330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393"/>
      <c r="S157" s="393"/>
      <c r="T157" s="393"/>
    </row>
    <row r="158" spans="1:20" s="395" customFormat="1" ht="18" customHeight="1" thickBot="1" x14ac:dyDescent="0.3">
      <c r="A158" s="181"/>
      <c r="B158" s="393">
        <v>40</v>
      </c>
      <c r="C158" s="205"/>
      <c r="D158" s="764" t="s">
        <v>1933</v>
      </c>
      <c r="E158" s="330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393"/>
      <c r="S158" s="393"/>
      <c r="T158" s="393"/>
    </row>
    <row r="159" spans="1:20" s="395" customFormat="1" ht="18" customHeight="1" x14ac:dyDescent="0.25">
      <c r="A159" s="181"/>
      <c r="B159" s="393">
        <v>105</v>
      </c>
      <c r="C159" s="205"/>
      <c r="D159" s="764" t="s">
        <v>1934</v>
      </c>
      <c r="E159" s="761">
        <v>-5</v>
      </c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393"/>
      <c r="S159" s="393"/>
      <c r="T159" s="393"/>
    </row>
    <row r="160" spans="1:20" s="395" customFormat="1" ht="18" customHeight="1" x14ac:dyDescent="0.25">
      <c r="A160" s="181"/>
      <c r="B160" s="393">
        <v>115</v>
      </c>
      <c r="C160" s="205"/>
      <c r="D160" s="764" t="s">
        <v>1935</v>
      </c>
      <c r="E160" s="762">
        <v>-10</v>
      </c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393"/>
      <c r="S160" s="393"/>
      <c r="T160" s="393"/>
    </row>
    <row r="161" spans="1:20" s="395" customFormat="1" ht="18" customHeight="1" thickBot="1" x14ac:dyDescent="0.3">
      <c r="A161" s="181"/>
      <c r="B161" s="393">
        <v>50</v>
      </c>
      <c r="C161" s="205"/>
      <c r="D161" s="764" t="s">
        <v>1936</v>
      </c>
      <c r="E161" s="763">
        <v>-5</v>
      </c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393"/>
      <c r="S161" s="393"/>
      <c r="T161" s="393"/>
    </row>
    <row r="162" spans="1:20" s="395" customFormat="1" ht="18" customHeight="1" x14ac:dyDescent="0.25">
      <c r="A162" s="181"/>
      <c r="B162" s="393">
        <v>35</v>
      </c>
      <c r="C162" s="205"/>
      <c r="D162" s="764" t="s">
        <v>1992</v>
      </c>
      <c r="E162" s="330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393"/>
      <c r="S162" s="393"/>
      <c r="T162" s="393"/>
    </row>
    <row r="163" spans="1:20" s="395" customFormat="1" ht="18" customHeight="1" thickBot="1" x14ac:dyDescent="0.3">
      <c r="A163" s="181"/>
      <c r="B163" s="393">
        <v>40</v>
      </c>
      <c r="C163" s="205"/>
      <c r="D163" s="764" t="s">
        <v>1937</v>
      </c>
      <c r="E163" s="330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393"/>
      <c r="S163" s="393"/>
      <c r="T163" s="393"/>
    </row>
    <row r="164" spans="1:20" s="395" customFormat="1" ht="18" customHeight="1" thickBot="1" x14ac:dyDescent="0.3">
      <c r="A164" s="181"/>
      <c r="B164" s="758">
        <f>SUM(B152:B163)</f>
        <v>585</v>
      </c>
      <c r="C164" s="205"/>
      <c r="D164" s="594"/>
      <c r="E164" s="767">
        <f>SUM(E159:E163)</f>
        <v>-20</v>
      </c>
      <c r="F164" s="400"/>
      <c r="G164" s="400"/>
      <c r="H164" s="400"/>
      <c r="I164" s="400"/>
      <c r="J164" s="400"/>
      <c r="K164" s="400"/>
      <c r="L164" s="400"/>
      <c r="M164" s="400"/>
      <c r="N164" s="400"/>
      <c r="O164" s="400"/>
      <c r="P164" s="400"/>
      <c r="Q164" s="400"/>
      <c r="R164" s="176"/>
      <c r="S164" s="176"/>
      <c r="T164" s="760"/>
    </row>
    <row r="165" spans="1:20" s="395" customFormat="1" ht="18" customHeight="1" x14ac:dyDescent="0.25">
      <c r="A165" s="181"/>
      <c r="B165" s="393"/>
      <c r="C165" s="205"/>
      <c r="D165" s="594"/>
      <c r="E165" s="330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393"/>
      <c r="S165" s="393"/>
      <c r="T165" s="393"/>
    </row>
    <row r="166" spans="1:20" s="395" customFormat="1" ht="18" customHeight="1" x14ac:dyDescent="0.25">
      <c r="A166" s="181">
        <v>45325</v>
      </c>
      <c r="B166" s="393">
        <v>50</v>
      </c>
      <c r="C166" s="205"/>
      <c r="D166" s="764" t="s">
        <v>1947</v>
      </c>
      <c r="E166" s="330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393"/>
      <c r="S166" s="393"/>
      <c r="T166" s="393"/>
    </row>
    <row r="167" spans="1:20" s="395" customFormat="1" ht="18" customHeight="1" x14ac:dyDescent="0.25">
      <c r="A167" s="181"/>
      <c r="B167" s="393">
        <v>70</v>
      </c>
      <c r="C167" s="205"/>
      <c r="D167" s="764" t="s">
        <v>1948</v>
      </c>
      <c r="E167" s="330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393"/>
      <c r="S167" s="393"/>
      <c r="T167" s="393"/>
    </row>
    <row r="168" spans="1:20" s="395" customFormat="1" ht="18" customHeight="1" thickBot="1" x14ac:dyDescent="0.3">
      <c r="A168" s="181"/>
      <c r="B168" s="393">
        <v>65</v>
      </c>
      <c r="C168" s="205"/>
      <c r="D168" s="764" t="s">
        <v>1949</v>
      </c>
      <c r="E168" s="330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393"/>
      <c r="S168" s="393"/>
      <c r="T168" s="393"/>
    </row>
    <row r="169" spans="1:20" s="395" customFormat="1" ht="18" customHeight="1" thickBot="1" x14ac:dyDescent="0.3">
      <c r="A169" s="181"/>
      <c r="B169" s="758">
        <f>SUM(B166:B168)</f>
        <v>185</v>
      </c>
      <c r="C169" s="205"/>
      <c r="D169" s="594"/>
      <c r="E169" s="759"/>
      <c r="F169" s="400"/>
      <c r="G169" s="400"/>
      <c r="H169" s="400"/>
      <c r="I169" s="400"/>
      <c r="J169" s="400"/>
      <c r="K169" s="400"/>
      <c r="L169" s="400"/>
      <c r="M169" s="400"/>
      <c r="N169" s="400"/>
      <c r="O169" s="400"/>
      <c r="P169" s="400"/>
      <c r="Q169" s="400"/>
      <c r="R169" s="176"/>
      <c r="S169" s="176"/>
      <c r="T169" s="760"/>
    </row>
    <row r="170" spans="1:20" s="395" customFormat="1" ht="18" customHeight="1" x14ac:dyDescent="0.25">
      <c r="A170" s="181"/>
      <c r="B170" s="393"/>
      <c r="C170" s="205"/>
      <c r="D170" s="594"/>
      <c r="E170" s="330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393"/>
      <c r="S170" s="393"/>
      <c r="T170" s="393"/>
    </row>
    <row r="171" spans="1:20" s="395" customFormat="1" ht="18" customHeight="1" x14ac:dyDescent="0.25">
      <c r="A171" s="181">
        <v>45329</v>
      </c>
      <c r="B171" s="393">
        <v>200</v>
      </c>
      <c r="C171" s="205"/>
      <c r="D171" s="764" t="s">
        <v>1964</v>
      </c>
      <c r="E171" s="330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393"/>
      <c r="S171" s="393"/>
      <c r="T171" s="393"/>
    </row>
    <row r="172" spans="1:20" s="395" customFormat="1" ht="18" customHeight="1" x14ac:dyDescent="0.25">
      <c r="A172" s="181"/>
      <c r="B172" s="393">
        <v>200</v>
      </c>
      <c r="C172" s="205"/>
      <c r="D172" s="764" t="s">
        <v>1965</v>
      </c>
      <c r="E172" s="330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393"/>
      <c r="S172" s="393"/>
      <c r="T172" s="393"/>
    </row>
    <row r="173" spans="1:20" s="395" customFormat="1" ht="18" customHeight="1" thickBot="1" x14ac:dyDescent="0.3">
      <c r="A173" s="181"/>
      <c r="B173" s="393">
        <v>60</v>
      </c>
      <c r="C173" s="205"/>
      <c r="D173" s="764" t="s">
        <v>1966</v>
      </c>
      <c r="E173" s="330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393"/>
      <c r="S173" s="393"/>
      <c r="T173" s="393"/>
    </row>
    <row r="174" spans="1:20" s="395" customFormat="1" ht="18" customHeight="1" thickBot="1" x14ac:dyDescent="0.3">
      <c r="A174" s="181"/>
      <c r="B174" s="758">
        <f>SUM(B171:B173)</f>
        <v>460</v>
      </c>
      <c r="C174" s="205"/>
      <c r="D174" s="594"/>
      <c r="E174" s="759"/>
      <c r="F174" s="400"/>
      <c r="G174" s="400"/>
      <c r="H174" s="400"/>
      <c r="I174" s="400"/>
      <c r="J174" s="400"/>
      <c r="K174" s="400"/>
      <c r="L174" s="400"/>
      <c r="M174" s="400"/>
      <c r="N174" s="400"/>
      <c r="O174" s="400"/>
      <c r="P174" s="400"/>
      <c r="Q174" s="400"/>
      <c r="R174" s="176"/>
      <c r="S174" s="176"/>
      <c r="T174" s="760"/>
    </row>
    <row r="175" spans="1:20" s="395" customFormat="1" ht="18" customHeight="1" x14ac:dyDescent="0.25">
      <c r="A175" s="181"/>
      <c r="B175" s="393"/>
      <c r="C175" s="205"/>
      <c r="D175" s="594"/>
      <c r="E175" s="330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393"/>
      <c r="S175" s="393"/>
      <c r="T175" s="393"/>
    </row>
    <row r="176" spans="1:20" s="395" customFormat="1" ht="18" customHeight="1" x14ac:dyDescent="0.25">
      <c r="A176" s="181">
        <v>45330</v>
      </c>
      <c r="B176" s="393">
        <v>25</v>
      </c>
      <c r="C176" s="205"/>
      <c r="D176" s="764" t="s">
        <v>1967</v>
      </c>
      <c r="E176" s="330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393"/>
      <c r="S176" s="393"/>
      <c r="T176" s="393"/>
    </row>
    <row r="177" spans="1:20" s="395" customFormat="1" ht="18" customHeight="1" x14ac:dyDescent="0.25">
      <c r="A177" s="181"/>
      <c r="B177" s="393">
        <v>100</v>
      </c>
      <c r="C177" s="205"/>
      <c r="D177" s="764" t="s">
        <v>1968</v>
      </c>
      <c r="E177" s="330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393"/>
      <c r="S177" s="393"/>
      <c r="T177" s="393"/>
    </row>
    <row r="178" spans="1:20" s="395" customFormat="1" ht="18" customHeight="1" x14ac:dyDescent="0.25">
      <c r="A178" s="181"/>
      <c r="B178" s="393"/>
      <c r="C178" s="205">
        <v>45</v>
      </c>
      <c r="D178" s="764" t="s">
        <v>1969</v>
      </c>
      <c r="E178" s="330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393"/>
      <c r="S178" s="393"/>
      <c r="T178" s="393"/>
    </row>
    <row r="179" spans="1:20" s="395" customFormat="1" ht="18" customHeight="1" x14ac:dyDescent="0.25">
      <c r="A179" s="181"/>
      <c r="B179" s="393"/>
      <c r="C179" s="205">
        <v>90</v>
      </c>
      <c r="D179" s="783" t="s">
        <v>1970</v>
      </c>
      <c r="E179" s="330" t="s">
        <v>820</v>
      </c>
      <c r="F179" s="167" t="s">
        <v>1980</v>
      </c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393"/>
      <c r="S179" s="393"/>
      <c r="T179" s="393"/>
    </row>
    <row r="180" spans="1:20" s="395" customFormat="1" ht="18" customHeight="1" x14ac:dyDescent="0.25">
      <c r="A180" s="181"/>
      <c r="B180" s="393">
        <v>75</v>
      </c>
      <c r="C180" s="205"/>
      <c r="D180" s="764" t="s">
        <v>1971</v>
      </c>
      <c r="E180" s="330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393"/>
      <c r="S180" s="393"/>
      <c r="T180" s="393"/>
    </row>
    <row r="181" spans="1:20" s="395" customFormat="1" ht="18" customHeight="1" thickBot="1" x14ac:dyDescent="0.3">
      <c r="A181" s="181"/>
      <c r="B181" s="393">
        <v>35</v>
      </c>
      <c r="C181" s="205"/>
      <c r="D181" s="764" t="s">
        <v>1972</v>
      </c>
      <c r="E181" s="330" t="s">
        <v>1909</v>
      </c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393"/>
      <c r="S181" s="393"/>
      <c r="T181" s="393"/>
    </row>
    <row r="182" spans="1:20" s="395" customFormat="1" ht="18" customHeight="1" thickBot="1" x14ac:dyDescent="0.3">
      <c r="A182" s="181"/>
      <c r="B182" s="781">
        <f>SUM(B176:B181)</f>
        <v>235</v>
      </c>
      <c r="C182" s="205"/>
      <c r="D182" s="594"/>
      <c r="E182" s="759"/>
      <c r="F182" s="400"/>
      <c r="G182" s="400"/>
      <c r="H182" s="400"/>
      <c r="I182" s="400"/>
      <c r="J182" s="400"/>
      <c r="K182" s="400"/>
      <c r="L182" s="400"/>
      <c r="M182" s="400"/>
      <c r="N182" s="400"/>
      <c r="O182" s="400"/>
      <c r="P182" s="400"/>
      <c r="Q182" s="400"/>
      <c r="R182" s="176"/>
      <c r="S182" s="176"/>
      <c r="T182" s="760"/>
    </row>
    <row r="183" spans="1:20" s="395" customFormat="1" ht="18" customHeight="1" thickBot="1" x14ac:dyDescent="0.3">
      <c r="A183" s="181"/>
      <c r="B183" s="393"/>
      <c r="C183" s="205"/>
      <c r="D183" s="594"/>
      <c r="E183" s="330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393"/>
      <c r="S183" s="393"/>
      <c r="T183" s="393"/>
    </row>
    <row r="184" spans="1:20" s="395" customFormat="1" ht="18" customHeight="1" thickBot="1" x14ac:dyDescent="0.3">
      <c r="A184" s="181">
        <v>45331</v>
      </c>
      <c r="B184" s="781">
        <v>100</v>
      </c>
      <c r="C184" s="205"/>
      <c r="D184" s="764" t="s">
        <v>1973</v>
      </c>
      <c r="E184" s="759"/>
      <c r="F184" s="400"/>
      <c r="G184" s="400"/>
      <c r="H184" s="400"/>
      <c r="I184" s="400"/>
      <c r="J184" s="400"/>
      <c r="K184" s="400"/>
      <c r="L184" s="400"/>
      <c r="M184" s="400"/>
      <c r="N184" s="400"/>
      <c r="O184" s="400"/>
      <c r="P184" s="400"/>
      <c r="Q184" s="400"/>
      <c r="R184" s="176"/>
      <c r="S184" s="176"/>
      <c r="T184" s="760"/>
    </row>
    <row r="185" spans="1:20" s="395" customFormat="1" ht="18" customHeight="1" x14ac:dyDescent="0.25">
      <c r="A185" s="181"/>
      <c r="B185" s="393"/>
      <c r="C185" s="205"/>
      <c r="D185" s="594"/>
      <c r="E185" s="330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393"/>
      <c r="S185" s="393"/>
      <c r="T185" s="393"/>
    </row>
    <row r="186" spans="1:20" s="395" customFormat="1" ht="18" customHeight="1" x14ac:dyDescent="0.25">
      <c r="A186" s="181">
        <v>45332</v>
      </c>
      <c r="B186" s="393">
        <v>60</v>
      </c>
      <c r="C186" s="205">
        <v>110</v>
      </c>
      <c r="D186" s="764" t="s">
        <v>1974</v>
      </c>
      <c r="E186" s="330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393"/>
      <c r="S186" s="393"/>
      <c r="T186" s="393"/>
    </row>
    <row r="187" spans="1:20" s="395" customFormat="1" ht="18" customHeight="1" thickBot="1" x14ac:dyDescent="0.3">
      <c r="A187" s="181"/>
      <c r="B187" s="393">
        <v>40</v>
      </c>
      <c r="C187" s="205">
        <v>125</v>
      </c>
      <c r="D187" s="764" t="s">
        <v>1981</v>
      </c>
      <c r="E187" s="330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393"/>
      <c r="S187" s="393"/>
      <c r="T187" s="393"/>
    </row>
    <row r="188" spans="1:20" s="395" customFormat="1" ht="18" customHeight="1" thickBot="1" x14ac:dyDescent="0.3">
      <c r="A188" s="181"/>
      <c r="B188" s="758">
        <f>SUM(B186:B187)</f>
        <v>100</v>
      </c>
      <c r="C188" s="205"/>
      <c r="D188" s="594"/>
      <c r="E188" s="759"/>
      <c r="F188" s="400"/>
      <c r="G188" s="400"/>
      <c r="H188" s="400"/>
      <c r="I188" s="400"/>
      <c r="J188" s="400"/>
      <c r="K188" s="400"/>
      <c r="L188" s="400"/>
      <c r="M188" s="400"/>
      <c r="N188" s="400"/>
      <c r="O188" s="400"/>
      <c r="P188" s="400"/>
      <c r="Q188" s="400"/>
      <c r="R188" s="176"/>
      <c r="S188" s="176"/>
      <c r="T188" s="760"/>
    </row>
    <row r="189" spans="1:20" s="395" customFormat="1" ht="18" customHeight="1" x14ac:dyDescent="0.25">
      <c r="A189" s="181"/>
      <c r="B189" s="393"/>
      <c r="C189" s="205"/>
      <c r="D189" s="594"/>
      <c r="E189" s="330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393"/>
      <c r="S189" s="393"/>
      <c r="T189" s="393"/>
    </row>
    <row r="190" spans="1:20" s="395" customFormat="1" ht="18" customHeight="1" x14ac:dyDescent="0.25">
      <c r="A190" s="181">
        <v>45334</v>
      </c>
      <c r="B190" s="393">
        <v>150</v>
      </c>
      <c r="C190" s="205"/>
      <c r="D190" s="764" t="s">
        <v>1982</v>
      </c>
      <c r="E190" s="330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393"/>
      <c r="S190" s="393"/>
      <c r="T190" s="393"/>
    </row>
    <row r="191" spans="1:20" s="395" customFormat="1" ht="18" customHeight="1" x14ac:dyDescent="0.25">
      <c r="A191" s="181"/>
      <c r="B191" s="393">
        <v>100</v>
      </c>
      <c r="C191" s="205"/>
      <c r="D191" s="764" t="s">
        <v>1983</v>
      </c>
      <c r="E191" s="330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393"/>
      <c r="S191" s="393"/>
      <c r="T191" s="393"/>
    </row>
    <row r="192" spans="1:20" s="395" customFormat="1" ht="18" customHeight="1" thickBot="1" x14ac:dyDescent="0.3">
      <c r="A192" s="181"/>
      <c r="B192" s="393"/>
      <c r="C192" s="205">
        <v>140</v>
      </c>
      <c r="D192" s="764" t="s">
        <v>1984</v>
      </c>
      <c r="E192" s="330">
        <v>10</v>
      </c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393"/>
      <c r="S192" s="393"/>
      <c r="T192" s="393"/>
    </row>
    <row r="193" spans="1:20" s="395" customFormat="1" ht="18" customHeight="1" thickBot="1" x14ac:dyDescent="0.3">
      <c r="A193" s="181"/>
      <c r="B193" s="758">
        <f>SUM(B190:B192)</f>
        <v>250</v>
      </c>
      <c r="C193" s="205"/>
      <c r="D193" s="594"/>
      <c r="E193" s="759"/>
      <c r="F193" s="400"/>
      <c r="G193" s="400"/>
      <c r="H193" s="400"/>
      <c r="I193" s="400"/>
      <c r="J193" s="400"/>
      <c r="K193" s="400"/>
      <c r="L193" s="400"/>
      <c r="M193" s="400"/>
      <c r="N193" s="400"/>
      <c r="O193" s="400"/>
      <c r="P193" s="400"/>
      <c r="Q193" s="400"/>
      <c r="R193" s="176"/>
      <c r="S193" s="176"/>
      <c r="T193" s="760"/>
    </row>
    <row r="194" spans="1:20" s="395" customFormat="1" ht="18" customHeight="1" x14ac:dyDescent="0.25">
      <c r="A194" s="181"/>
      <c r="B194" s="393"/>
      <c r="C194" s="205"/>
      <c r="D194" s="594"/>
      <c r="E194" s="330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393"/>
      <c r="S194" s="393"/>
      <c r="T194" s="393"/>
    </row>
    <row r="195" spans="1:20" s="395" customFormat="1" ht="18" customHeight="1" x14ac:dyDescent="0.25">
      <c r="A195" s="181">
        <v>45335</v>
      </c>
      <c r="B195" s="393">
        <v>50</v>
      </c>
      <c r="C195" s="205"/>
      <c r="D195" s="764" t="s">
        <v>1990</v>
      </c>
      <c r="E195" s="330">
        <v>20</v>
      </c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393"/>
      <c r="S195" s="393"/>
      <c r="T195" s="393"/>
    </row>
    <row r="196" spans="1:20" s="395" customFormat="1" ht="18" customHeight="1" thickBot="1" x14ac:dyDescent="0.3">
      <c r="A196" s="181"/>
      <c r="B196" s="393">
        <v>40</v>
      </c>
      <c r="C196" s="205"/>
      <c r="D196" s="764" t="s">
        <v>1991</v>
      </c>
      <c r="E196" s="330">
        <v>5</v>
      </c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393"/>
      <c r="S196" s="393"/>
      <c r="T196" s="393"/>
    </row>
    <row r="197" spans="1:20" s="395" customFormat="1" ht="18" customHeight="1" thickBot="1" x14ac:dyDescent="0.3">
      <c r="A197" s="181"/>
      <c r="B197" s="758">
        <f>SUM(B195:B196)</f>
        <v>90</v>
      </c>
      <c r="C197" s="205"/>
      <c r="D197" s="594"/>
      <c r="E197" s="759"/>
      <c r="F197" s="400"/>
      <c r="G197" s="400"/>
      <c r="H197" s="400"/>
      <c r="I197" s="400"/>
      <c r="J197" s="400"/>
      <c r="K197" s="400"/>
      <c r="L197" s="400"/>
      <c r="M197" s="400"/>
      <c r="N197" s="400"/>
      <c r="O197" s="400"/>
      <c r="P197" s="400"/>
      <c r="Q197" s="400"/>
      <c r="R197" s="176"/>
      <c r="S197" s="176"/>
      <c r="T197" s="760"/>
    </row>
    <row r="198" spans="1:20" s="395" customFormat="1" ht="18" customHeight="1" x14ac:dyDescent="0.25">
      <c r="A198" s="181"/>
      <c r="B198" s="393"/>
      <c r="C198" s="205"/>
      <c r="D198" s="594"/>
      <c r="E198" s="330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393"/>
      <c r="S198" s="393"/>
      <c r="T198" s="393"/>
    </row>
    <row r="199" spans="1:20" s="395" customFormat="1" ht="18" customHeight="1" x14ac:dyDescent="0.25">
      <c r="A199" s="181">
        <v>45336</v>
      </c>
      <c r="B199" s="393"/>
      <c r="C199" s="205"/>
      <c r="D199" s="787" t="s">
        <v>1985</v>
      </c>
      <c r="E199" s="330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393"/>
      <c r="S199" s="393"/>
      <c r="T199" s="393"/>
    </row>
    <row r="200" spans="1:20" s="395" customFormat="1" ht="18" customHeight="1" x14ac:dyDescent="0.25">
      <c r="A200" s="181"/>
      <c r="B200" s="393"/>
      <c r="C200" s="205">
        <v>45</v>
      </c>
      <c r="D200" s="764" t="s">
        <v>1986</v>
      </c>
      <c r="E200" s="330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393"/>
      <c r="S200" s="393"/>
      <c r="T200" s="393"/>
    </row>
    <row r="201" spans="1:20" s="395" customFormat="1" ht="18" customHeight="1" x14ac:dyDescent="0.25">
      <c r="A201" s="181"/>
      <c r="B201" s="393"/>
      <c r="C201" s="205">
        <v>45</v>
      </c>
      <c r="D201" s="764" t="s">
        <v>1987</v>
      </c>
      <c r="E201" s="330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393"/>
      <c r="S201" s="393"/>
      <c r="T201" s="393"/>
    </row>
    <row r="202" spans="1:20" s="395" customFormat="1" ht="18" customHeight="1" x14ac:dyDescent="0.25">
      <c r="A202" s="181"/>
      <c r="B202" s="393"/>
      <c r="C202" s="205">
        <v>85</v>
      </c>
      <c r="D202" s="764" t="s">
        <v>1988</v>
      </c>
      <c r="E202" s="330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393"/>
      <c r="S202" s="393"/>
      <c r="T202" s="393"/>
    </row>
    <row r="203" spans="1:20" s="395" customFormat="1" ht="18" customHeight="1" x14ac:dyDescent="0.25">
      <c r="A203" s="181"/>
      <c r="B203" s="393"/>
      <c r="D203" s="785" t="s">
        <v>1989</v>
      </c>
      <c r="E203" s="330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393"/>
      <c r="S203" s="393"/>
      <c r="T203" s="393"/>
    </row>
    <row r="204" spans="1:20" s="395" customFormat="1" ht="18" customHeight="1" thickBot="1" x14ac:dyDescent="0.3">
      <c r="A204" s="181"/>
      <c r="B204" s="393"/>
      <c r="C204" s="205"/>
      <c r="D204" s="765" t="s">
        <v>2006</v>
      </c>
      <c r="E204" s="330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393"/>
      <c r="S204" s="393"/>
      <c r="T204" s="393"/>
    </row>
    <row r="205" spans="1:20" s="395" customFormat="1" ht="18" customHeight="1" thickBot="1" x14ac:dyDescent="0.3">
      <c r="A205" s="181"/>
      <c r="B205" s="758"/>
      <c r="C205" s="205"/>
      <c r="D205" s="594"/>
      <c r="E205" s="759"/>
      <c r="F205" s="400"/>
      <c r="G205" s="400"/>
      <c r="H205" s="400"/>
      <c r="I205" s="400"/>
      <c r="J205" s="400"/>
      <c r="K205" s="400"/>
      <c r="L205" s="400"/>
      <c r="M205" s="400"/>
      <c r="N205" s="400"/>
      <c r="O205" s="400"/>
      <c r="P205" s="400"/>
      <c r="Q205" s="400"/>
      <c r="R205" s="176"/>
      <c r="S205" s="176"/>
      <c r="T205" s="760"/>
    </row>
    <row r="206" spans="1:20" s="395" customFormat="1" ht="18" customHeight="1" x14ac:dyDescent="0.25">
      <c r="A206" s="181"/>
      <c r="B206" s="393"/>
      <c r="C206" s="205"/>
      <c r="D206" s="594"/>
      <c r="E206" s="330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393"/>
      <c r="S206" s="393"/>
      <c r="T206" s="393"/>
    </row>
    <row r="207" spans="1:20" s="395" customFormat="1" ht="18" customHeight="1" x14ac:dyDescent="0.25">
      <c r="A207" s="181">
        <v>45337</v>
      </c>
      <c r="B207" s="393">
        <v>100</v>
      </c>
      <c r="C207" s="205">
        <v>125</v>
      </c>
      <c r="D207" s="764" t="s">
        <v>2005</v>
      </c>
      <c r="E207" s="330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393"/>
      <c r="S207" s="393"/>
      <c r="T207" s="393"/>
    </row>
    <row r="208" spans="1:20" s="395" customFormat="1" ht="18" customHeight="1" x14ac:dyDescent="0.25">
      <c r="A208" s="181"/>
      <c r="B208" s="393">
        <v>20</v>
      </c>
      <c r="C208" s="205">
        <v>55</v>
      </c>
      <c r="D208" s="764" t="s">
        <v>1997</v>
      </c>
      <c r="E208" s="330" t="s">
        <v>1909</v>
      </c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393"/>
      <c r="S208" s="393"/>
      <c r="T208" s="393"/>
    </row>
    <row r="209" spans="1:20" s="395" customFormat="1" ht="18" customHeight="1" x14ac:dyDescent="0.25">
      <c r="A209" s="181"/>
      <c r="B209" s="393">
        <v>55</v>
      </c>
      <c r="C209" s="205"/>
      <c r="D209" s="764" t="s">
        <v>1998</v>
      </c>
      <c r="E209" s="330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393"/>
      <c r="S209" s="393"/>
      <c r="T209" s="393"/>
    </row>
    <row r="210" spans="1:20" s="395" customFormat="1" ht="18" customHeight="1" thickBot="1" x14ac:dyDescent="0.3">
      <c r="A210" s="181"/>
      <c r="B210" s="393">
        <v>55</v>
      </c>
      <c r="C210" s="205"/>
      <c r="D210" s="764" t="s">
        <v>1999</v>
      </c>
      <c r="E210" s="330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393"/>
      <c r="S210" s="393"/>
      <c r="T210" s="393"/>
    </row>
    <row r="211" spans="1:20" s="395" customFormat="1" ht="18" customHeight="1" thickBot="1" x14ac:dyDescent="0.3">
      <c r="A211" s="181"/>
      <c r="B211" s="758">
        <f>SUM(B207:B210)</f>
        <v>230</v>
      </c>
      <c r="C211" s="205"/>
      <c r="D211" s="594"/>
      <c r="E211" s="759"/>
      <c r="F211" s="400"/>
      <c r="G211" s="400"/>
      <c r="H211" s="400"/>
      <c r="I211" s="400"/>
      <c r="J211" s="400"/>
      <c r="K211" s="400"/>
      <c r="L211" s="400"/>
      <c r="M211" s="400"/>
      <c r="N211" s="400"/>
      <c r="O211" s="400"/>
      <c r="P211" s="400"/>
      <c r="Q211" s="400"/>
      <c r="R211" s="176"/>
      <c r="S211" s="176"/>
      <c r="T211" s="760"/>
    </row>
    <row r="212" spans="1:20" s="395" customFormat="1" ht="18" customHeight="1" x14ac:dyDescent="0.25">
      <c r="A212" s="181"/>
      <c r="B212" s="393"/>
      <c r="C212" s="205"/>
      <c r="D212" s="594"/>
      <c r="E212" s="330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393"/>
      <c r="S212" s="393"/>
      <c r="T212" s="393"/>
    </row>
    <row r="213" spans="1:20" s="395" customFormat="1" ht="18" customHeight="1" x14ac:dyDescent="0.25">
      <c r="A213" s="181">
        <v>45339</v>
      </c>
      <c r="B213" s="393">
        <v>30</v>
      </c>
      <c r="C213" s="205"/>
      <c r="D213" s="764" t="s">
        <v>1919</v>
      </c>
      <c r="E213" s="330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393"/>
      <c r="S213" s="393"/>
      <c r="T213" s="393"/>
    </row>
    <row r="214" spans="1:20" s="395" customFormat="1" ht="18" customHeight="1" x14ac:dyDescent="0.25">
      <c r="A214" s="181"/>
      <c r="B214" s="393">
        <v>30</v>
      </c>
      <c r="C214" s="205"/>
      <c r="D214" s="787" t="s">
        <v>2000</v>
      </c>
      <c r="E214" s="330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393"/>
      <c r="S214" s="393"/>
      <c r="T214" s="393"/>
    </row>
    <row r="215" spans="1:20" s="395" customFormat="1" ht="18" customHeight="1" x14ac:dyDescent="0.25">
      <c r="A215" s="181"/>
      <c r="B215" s="393"/>
      <c r="C215" s="205">
        <v>75</v>
      </c>
      <c r="D215" s="764" t="s">
        <v>2001</v>
      </c>
      <c r="E215" s="330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393"/>
      <c r="S215" s="393"/>
      <c r="T215" s="393"/>
    </row>
    <row r="216" spans="1:20" s="395" customFormat="1" ht="18" customHeight="1" thickBot="1" x14ac:dyDescent="0.3">
      <c r="A216" s="181"/>
      <c r="B216" s="393"/>
      <c r="C216" s="395">
        <v>20</v>
      </c>
      <c r="D216" s="789" t="s">
        <v>2002</v>
      </c>
      <c r="E216" s="330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393"/>
      <c r="S216" s="393"/>
      <c r="T216" s="393"/>
    </row>
    <row r="217" spans="1:20" s="395" customFormat="1" ht="18" customHeight="1" thickBot="1" x14ac:dyDescent="0.3">
      <c r="A217" s="181"/>
      <c r="B217" s="758">
        <f>SUM(B213:B216)</f>
        <v>60</v>
      </c>
      <c r="C217" s="205"/>
      <c r="D217" s="594"/>
      <c r="E217" s="759"/>
      <c r="F217" s="400"/>
      <c r="G217" s="400"/>
      <c r="H217" s="400"/>
      <c r="I217" s="400"/>
      <c r="J217" s="400"/>
      <c r="K217" s="400"/>
      <c r="L217" s="400"/>
      <c r="M217" s="400"/>
      <c r="N217" s="400"/>
      <c r="O217" s="400"/>
      <c r="P217" s="400"/>
      <c r="Q217" s="400"/>
      <c r="R217" s="176"/>
      <c r="S217" s="176"/>
      <c r="T217" s="760"/>
    </row>
    <row r="218" spans="1:20" s="395" customFormat="1" ht="18" customHeight="1" x14ac:dyDescent="0.25">
      <c r="A218" s="181"/>
      <c r="B218" s="393"/>
      <c r="C218" s="205"/>
      <c r="D218" s="594"/>
      <c r="E218" s="330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393"/>
      <c r="S218" s="393"/>
      <c r="T218" s="393"/>
    </row>
    <row r="219" spans="1:20" s="395" customFormat="1" ht="18" customHeight="1" x14ac:dyDescent="0.25">
      <c r="A219" s="181">
        <v>45341</v>
      </c>
      <c r="B219" s="393">
        <v>160</v>
      </c>
      <c r="C219" s="205"/>
      <c r="D219" s="764" t="s">
        <v>2003</v>
      </c>
      <c r="E219" s="330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393"/>
      <c r="S219" s="393"/>
      <c r="T219" s="393"/>
    </row>
    <row r="220" spans="1:20" s="395" customFormat="1" ht="18" customHeight="1" x14ac:dyDescent="0.25">
      <c r="A220" s="181"/>
      <c r="B220" s="393">
        <v>50</v>
      </c>
      <c r="C220" s="205"/>
      <c r="D220" s="764" t="s">
        <v>2004</v>
      </c>
      <c r="E220" s="330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393"/>
      <c r="S220" s="393"/>
      <c r="T220" s="393"/>
    </row>
    <row r="221" spans="1:20" s="395" customFormat="1" ht="18" customHeight="1" thickBot="1" x14ac:dyDescent="0.3">
      <c r="A221" s="181"/>
      <c r="B221" s="393">
        <v>40</v>
      </c>
      <c r="C221" s="205"/>
      <c r="D221" s="764" t="s">
        <v>2030</v>
      </c>
      <c r="E221" s="330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393"/>
      <c r="S221" s="393"/>
      <c r="T221" s="393"/>
    </row>
    <row r="222" spans="1:20" s="395" customFormat="1" ht="18" customHeight="1" thickBot="1" x14ac:dyDescent="0.3">
      <c r="A222" s="181"/>
      <c r="B222" s="758">
        <f>SUM(B219:B221)</f>
        <v>250</v>
      </c>
      <c r="C222" s="205"/>
      <c r="D222" s="594"/>
      <c r="E222" s="759"/>
      <c r="F222" s="400"/>
      <c r="G222" s="400"/>
      <c r="H222" s="400"/>
      <c r="I222" s="400"/>
      <c r="J222" s="400"/>
      <c r="K222" s="400"/>
      <c r="L222" s="400"/>
      <c r="M222" s="400"/>
      <c r="N222" s="400"/>
      <c r="O222" s="400"/>
      <c r="P222" s="400"/>
      <c r="Q222" s="400"/>
      <c r="R222" s="176"/>
      <c r="S222" s="176"/>
      <c r="T222" s="760"/>
    </row>
    <row r="223" spans="1:20" s="395" customFormat="1" ht="18" customHeight="1" x14ac:dyDescent="0.25">
      <c r="A223" s="181"/>
      <c r="B223" s="393"/>
      <c r="C223" s="205"/>
      <c r="D223" s="594"/>
      <c r="E223" s="330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393"/>
      <c r="S223" s="393"/>
      <c r="T223" s="393"/>
    </row>
    <row r="224" spans="1:20" s="395" customFormat="1" ht="18" customHeight="1" x14ac:dyDescent="0.25">
      <c r="A224" s="181">
        <v>45342</v>
      </c>
      <c r="B224" s="393"/>
      <c r="C224" s="205"/>
      <c r="D224" s="787" t="s">
        <v>2031</v>
      </c>
      <c r="E224" s="330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393"/>
      <c r="S224" s="393"/>
      <c r="T224" s="393"/>
    </row>
    <row r="225" spans="1:20" s="395" customFormat="1" ht="18" customHeight="1" x14ac:dyDescent="0.25">
      <c r="A225" s="181"/>
      <c r="B225" s="393"/>
      <c r="C225" s="205">
        <v>90</v>
      </c>
      <c r="D225" s="764" t="s">
        <v>2032</v>
      </c>
      <c r="E225" s="330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393"/>
      <c r="S225" s="393"/>
      <c r="T225" s="393"/>
    </row>
    <row r="226" spans="1:20" s="395" customFormat="1" ht="18" customHeight="1" x14ac:dyDescent="0.25">
      <c r="A226" s="181"/>
      <c r="B226" s="393"/>
      <c r="C226" s="205">
        <v>30</v>
      </c>
      <c r="D226" s="764" t="s">
        <v>2033</v>
      </c>
      <c r="E226" s="330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393"/>
      <c r="S226" s="393"/>
      <c r="T226" s="393"/>
    </row>
    <row r="227" spans="1:20" s="395" customFormat="1" ht="18" customHeight="1" x14ac:dyDescent="0.25">
      <c r="A227" s="181"/>
      <c r="B227" s="393"/>
      <c r="C227" s="205">
        <v>55</v>
      </c>
      <c r="D227" s="764" t="s">
        <v>2034</v>
      </c>
      <c r="E227" s="330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393"/>
      <c r="S227" s="393"/>
      <c r="T227" s="393"/>
    </row>
    <row r="228" spans="1:20" s="395" customFormat="1" ht="18" customHeight="1" thickBot="1" x14ac:dyDescent="0.3">
      <c r="A228" s="181"/>
      <c r="B228" s="393"/>
      <c r="C228" s="205">
        <v>10</v>
      </c>
      <c r="D228" s="764" t="s">
        <v>2035</v>
      </c>
      <c r="E228" s="330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393"/>
      <c r="S228" s="393"/>
      <c r="T228" s="393"/>
    </row>
    <row r="229" spans="1:20" s="395" customFormat="1" ht="18" customHeight="1" thickBot="1" x14ac:dyDescent="0.3">
      <c r="A229" s="181"/>
      <c r="B229" s="758"/>
      <c r="C229" s="205"/>
      <c r="D229" s="594"/>
      <c r="E229" s="759"/>
      <c r="F229" s="400"/>
      <c r="G229" s="400"/>
      <c r="H229" s="400"/>
      <c r="I229" s="400"/>
      <c r="J229" s="400"/>
      <c r="K229" s="400"/>
      <c r="L229" s="400"/>
      <c r="M229" s="400"/>
      <c r="N229" s="400"/>
      <c r="O229" s="400"/>
      <c r="P229" s="400"/>
      <c r="Q229" s="400"/>
      <c r="R229" s="176"/>
      <c r="S229" s="176"/>
      <c r="T229" s="760"/>
    </row>
    <row r="230" spans="1:20" s="395" customFormat="1" ht="18" customHeight="1" thickBot="1" x14ac:dyDescent="0.3">
      <c r="A230" s="181"/>
      <c r="B230" s="393"/>
      <c r="C230" s="205"/>
      <c r="D230" s="594"/>
      <c r="E230" s="330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393"/>
      <c r="S230" s="393"/>
      <c r="T230" s="393"/>
    </row>
    <row r="231" spans="1:20" s="395" customFormat="1" ht="18" customHeight="1" thickBot="1" x14ac:dyDescent="0.3">
      <c r="A231" s="181">
        <v>45344</v>
      </c>
      <c r="B231" s="758">
        <v>25</v>
      </c>
      <c r="C231" s="205"/>
      <c r="D231" s="764" t="s">
        <v>2036</v>
      </c>
      <c r="E231" s="759"/>
      <c r="F231" s="400"/>
      <c r="G231" s="400"/>
      <c r="H231" s="400"/>
      <c r="I231" s="400"/>
      <c r="J231" s="400"/>
      <c r="K231" s="400"/>
      <c r="L231" s="400"/>
      <c r="M231" s="400"/>
      <c r="N231" s="400"/>
      <c r="O231" s="400"/>
      <c r="P231" s="400"/>
      <c r="Q231" s="400"/>
      <c r="R231" s="176"/>
      <c r="S231" s="176"/>
      <c r="T231" s="760"/>
    </row>
    <row r="232" spans="1:20" s="395" customFormat="1" ht="18" customHeight="1" thickBot="1" x14ac:dyDescent="0.3">
      <c r="A232" s="181"/>
      <c r="B232" s="393"/>
      <c r="C232" s="205"/>
      <c r="D232" s="594"/>
      <c r="E232" s="330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393"/>
      <c r="S232" s="393"/>
      <c r="T232" s="393"/>
    </row>
    <row r="233" spans="1:20" s="395" customFormat="1" ht="18" customHeight="1" thickBot="1" x14ac:dyDescent="0.3">
      <c r="A233" s="181">
        <v>45345</v>
      </c>
      <c r="B233" s="758">
        <v>55</v>
      </c>
      <c r="C233" s="205"/>
      <c r="D233" s="764" t="s">
        <v>2042</v>
      </c>
      <c r="E233" s="759"/>
      <c r="F233" s="400"/>
      <c r="G233" s="400"/>
      <c r="H233" s="400"/>
      <c r="I233" s="400"/>
      <c r="J233" s="400"/>
      <c r="K233" s="400"/>
      <c r="L233" s="400"/>
      <c r="M233" s="400"/>
      <c r="N233" s="400"/>
      <c r="O233" s="400"/>
      <c r="P233" s="400"/>
      <c r="Q233" s="400"/>
      <c r="R233" s="176"/>
      <c r="S233" s="176"/>
      <c r="T233" s="760"/>
    </row>
    <row r="234" spans="1:20" s="395" customFormat="1" ht="18" customHeight="1" x14ac:dyDescent="0.25">
      <c r="A234" s="181"/>
      <c r="B234" s="393"/>
      <c r="C234" s="205"/>
      <c r="D234" s="594"/>
      <c r="E234" s="330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393"/>
      <c r="S234" s="393"/>
      <c r="T234" s="393"/>
    </row>
    <row r="235" spans="1:20" s="395" customFormat="1" ht="18" customHeight="1" x14ac:dyDescent="0.25">
      <c r="A235" s="181">
        <v>45347</v>
      </c>
      <c r="B235" s="393">
        <v>20</v>
      </c>
      <c r="C235" s="205"/>
      <c r="D235" s="764" t="s">
        <v>2043</v>
      </c>
      <c r="E235" s="330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393"/>
      <c r="S235" s="393"/>
      <c r="T235" s="393"/>
    </row>
    <row r="236" spans="1:20" s="395" customFormat="1" ht="18" customHeight="1" x14ac:dyDescent="0.25">
      <c r="A236" s="181"/>
      <c r="B236" s="393">
        <v>85</v>
      </c>
      <c r="C236" s="205"/>
      <c r="D236" s="764" t="s">
        <v>2063</v>
      </c>
      <c r="E236" s="330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393"/>
      <c r="S236" s="393"/>
      <c r="T236" s="393"/>
    </row>
    <row r="237" spans="1:20" s="395" customFormat="1" ht="18" customHeight="1" x14ac:dyDescent="0.25">
      <c r="A237" s="181"/>
      <c r="B237" s="393">
        <v>45</v>
      </c>
      <c r="C237" s="205"/>
      <c r="D237" s="764" t="s">
        <v>2044</v>
      </c>
      <c r="E237" s="330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393"/>
      <c r="S237" s="393"/>
      <c r="T237" s="393"/>
    </row>
    <row r="238" spans="1:20" s="395" customFormat="1" ht="18" customHeight="1" x14ac:dyDescent="0.25">
      <c r="A238" s="181"/>
      <c r="B238" s="393">
        <v>65</v>
      </c>
      <c r="C238" s="205"/>
      <c r="D238" s="764" t="s">
        <v>2045</v>
      </c>
      <c r="E238" s="330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393"/>
      <c r="S238" s="393"/>
      <c r="T238" s="393"/>
    </row>
    <row r="239" spans="1:20" s="395" customFormat="1" ht="18" customHeight="1" thickBot="1" x14ac:dyDescent="0.3">
      <c r="A239" s="181"/>
      <c r="B239" s="393">
        <v>50</v>
      </c>
      <c r="C239" s="205"/>
      <c r="D239" s="764" t="s">
        <v>2046</v>
      </c>
      <c r="E239" s="792" t="s">
        <v>2051</v>
      </c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393"/>
      <c r="S239" s="393"/>
      <c r="T239" s="393"/>
    </row>
    <row r="240" spans="1:20" s="395" customFormat="1" ht="18" customHeight="1" thickBot="1" x14ac:dyDescent="0.3">
      <c r="A240" s="181"/>
      <c r="B240" s="758">
        <f>SUM(B235:B239)</f>
        <v>265</v>
      </c>
      <c r="C240" s="205"/>
      <c r="D240" s="594"/>
      <c r="E240" s="759"/>
      <c r="F240" s="400"/>
      <c r="G240" s="400"/>
      <c r="H240" s="400"/>
      <c r="I240" s="400"/>
      <c r="J240" s="400"/>
      <c r="K240" s="400"/>
      <c r="L240" s="400"/>
      <c r="M240" s="400"/>
      <c r="N240" s="400"/>
      <c r="O240" s="400"/>
      <c r="P240" s="400"/>
      <c r="Q240" s="400"/>
      <c r="R240" s="176"/>
      <c r="S240" s="176"/>
      <c r="T240" s="760"/>
    </row>
    <row r="241" spans="1:20" s="395" customFormat="1" ht="18" customHeight="1" x14ac:dyDescent="0.25">
      <c r="A241" s="181"/>
      <c r="B241" s="393"/>
      <c r="C241" s="205"/>
      <c r="D241" s="594"/>
      <c r="E241" s="330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393"/>
      <c r="S241" s="393"/>
      <c r="T241" s="393"/>
    </row>
    <row r="242" spans="1:20" s="395" customFormat="1" ht="18" customHeight="1" x14ac:dyDescent="0.25">
      <c r="A242" s="181">
        <v>45349</v>
      </c>
      <c r="B242" s="393">
        <v>185</v>
      </c>
      <c r="C242" s="205"/>
      <c r="D242" s="764" t="s">
        <v>2052</v>
      </c>
      <c r="E242" s="330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393"/>
      <c r="S242" s="393"/>
      <c r="T242" s="393"/>
    </row>
    <row r="243" spans="1:20" s="395" customFormat="1" ht="18" customHeight="1" x14ac:dyDescent="0.25">
      <c r="A243" s="181"/>
      <c r="B243" s="393">
        <v>85</v>
      </c>
      <c r="C243" s="205"/>
      <c r="D243" s="764" t="s">
        <v>2054</v>
      </c>
      <c r="E243" s="330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393"/>
      <c r="S243" s="393"/>
      <c r="T243" s="393"/>
    </row>
    <row r="244" spans="1:20" s="395" customFormat="1" ht="18" customHeight="1" x14ac:dyDescent="0.25">
      <c r="A244" s="181"/>
      <c r="B244" s="393">
        <v>45</v>
      </c>
      <c r="C244" s="205"/>
      <c r="D244" s="764" t="s">
        <v>1994</v>
      </c>
      <c r="E244" s="330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393"/>
      <c r="S244" s="393"/>
      <c r="T244" s="393"/>
    </row>
    <row r="245" spans="1:20" s="395" customFormat="1" ht="18" customHeight="1" x14ac:dyDescent="0.25">
      <c r="A245" s="181"/>
      <c r="B245" s="393"/>
      <c r="C245" s="205">
        <v>110</v>
      </c>
      <c r="D245" s="764" t="s">
        <v>2053</v>
      </c>
      <c r="E245" s="330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393"/>
      <c r="S245" s="393"/>
      <c r="T245" s="393"/>
    </row>
    <row r="246" spans="1:20" s="395" customFormat="1" ht="18" customHeight="1" thickBot="1" x14ac:dyDescent="0.3">
      <c r="A246" s="181"/>
      <c r="B246" s="393"/>
      <c r="C246" s="205">
        <v>100</v>
      </c>
      <c r="D246" s="764" t="s">
        <v>2055</v>
      </c>
      <c r="E246" s="330">
        <v>-10</v>
      </c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393"/>
      <c r="S246" s="393"/>
      <c r="T246" s="393"/>
    </row>
    <row r="247" spans="1:20" s="395" customFormat="1" ht="18" customHeight="1" thickBot="1" x14ac:dyDescent="0.3">
      <c r="A247" s="181"/>
      <c r="B247" s="758">
        <f>SUM(B242:B246)</f>
        <v>315</v>
      </c>
      <c r="C247" s="205"/>
      <c r="D247" s="594"/>
      <c r="E247" s="759"/>
      <c r="F247" s="400"/>
      <c r="G247" s="400"/>
      <c r="H247" s="400"/>
      <c r="I247" s="400"/>
      <c r="J247" s="400"/>
      <c r="K247" s="400"/>
      <c r="L247" s="400"/>
      <c r="M247" s="400"/>
      <c r="N247" s="400"/>
      <c r="O247" s="400"/>
      <c r="P247" s="400"/>
      <c r="Q247" s="400"/>
      <c r="R247" s="176"/>
      <c r="S247" s="176"/>
      <c r="T247" s="760"/>
    </row>
    <row r="248" spans="1:20" s="395" customFormat="1" ht="18" customHeight="1" x14ac:dyDescent="0.25">
      <c r="A248" s="181"/>
      <c r="B248" s="393"/>
      <c r="C248" s="205"/>
      <c r="D248" s="594"/>
      <c r="E248" s="330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393"/>
      <c r="S248" s="393"/>
      <c r="T248" s="393"/>
    </row>
    <row r="249" spans="1:20" s="395" customFormat="1" ht="18" customHeight="1" x14ac:dyDescent="0.25">
      <c r="A249" s="181">
        <v>45350</v>
      </c>
      <c r="B249" s="393">
        <v>40</v>
      </c>
      <c r="C249" s="205"/>
      <c r="D249" s="764" t="s">
        <v>2056</v>
      </c>
      <c r="E249" s="330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393"/>
      <c r="S249" s="393"/>
      <c r="T249" s="393"/>
    </row>
    <row r="250" spans="1:20" s="395" customFormat="1" ht="18" customHeight="1" x14ac:dyDescent="0.25">
      <c r="A250" s="181"/>
      <c r="B250" s="393">
        <v>40</v>
      </c>
      <c r="C250" s="205"/>
      <c r="D250" s="764" t="s">
        <v>2060</v>
      </c>
      <c r="E250" s="330">
        <v>5</v>
      </c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393"/>
      <c r="S250" s="393"/>
      <c r="T250" s="393"/>
    </row>
    <row r="251" spans="1:20" s="395" customFormat="1" ht="18" customHeight="1" x14ac:dyDescent="0.25">
      <c r="A251" s="181"/>
      <c r="B251" s="393">
        <v>65</v>
      </c>
      <c r="C251" s="205"/>
      <c r="D251" s="764" t="s">
        <v>2058</v>
      </c>
      <c r="E251" s="330" t="s">
        <v>1225</v>
      </c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393"/>
      <c r="S251" s="393"/>
      <c r="T251" s="393"/>
    </row>
    <row r="252" spans="1:20" s="395" customFormat="1" ht="18" customHeight="1" thickBot="1" x14ac:dyDescent="0.3">
      <c r="A252" s="181"/>
      <c r="B252" s="393"/>
      <c r="C252" s="205">
        <v>125</v>
      </c>
      <c r="D252" s="764" t="s">
        <v>2059</v>
      </c>
      <c r="E252" s="330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393"/>
      <c r="S252" s="393"/>
      <c r="T252" s="393"/>
    </row>
    <row r="253" spans="1:20" s="395" customFormat="1" ht="18" customHeight="1" thickBot="1" x14ac:dyDescent="0.3">
      <c r="A253" s="181"/>
      <c r="B253" s="758">
        <f>SUM(B249:B252)</f>
        <v>145</v>
      </c>
      <c r="C253" s="205"/>
      <c r="D253" s="594"/>
      <c r="E253" s="759"/>
      <c r="F253" s="400"/>
      <c r="G253" s="400"/>
      <c r="H253" s="400"/>
      <c r="I253" s="400"/>
      <c r="J253" s="400"/>
      <c r="K253" s="400"/>
      <c r="L253" s="400"/>
      <c r="M253" s="400"/>
      <c r="N253" s="400"/>
      <c r="O253" s="400"/>
      <c r="P253" s="400"/>
      <c r="Q253" s="400"/>
      <c r="R253" s="176"/>
      <c r="S253" s="176"/>
      <c r="T253" s="760"/>
    </row>
    <row r="254" spans="1:20" s="395" customFormat="1" ht="18" customHeight="1" x14ac:dyDescent="0.25">
      <c r="A254" s="181"/>
      <c r="B254" s="393"/>
      <c r="C254" s="205"/>
      <c r="D254" s="594"/>
      <c r="E254" s="330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393"/>
      <c r="S254" s="393"/>
      <c r="T254" s="393"/>
    </row>
    <row r="255" spans="1:20" s="395" customFormat="1" ht="18" customHeight="1" x14ac:dyDescent="0.25">
      <c r="A255" s="181">
        <v>45320</v>
      </c>
      <c r="B255" s="393">
        <v>60</v>
      </c>
      <c r="C255" s="205"/>
      <c r="D255" s="764" t="s">
        <v>2064</v>
      </c>
      <c r="E255" s="330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393"/>
      <c r="S255" s="393"/>
      <c r="T255" s="393"/>
    </row>
    <row r="256" spans="1:20" s="395" customFormat="1" ht="18" customHeight="1" x14ac:dyDescent="0.25">
      <c r="A256" s="181"/>
      <c r="B256" s="393"/>
      <c r="C256" s="205">
        <v>80</v>
      </c>
      <c r="D256" s="764" t="s">
        <v>2065</v>
      </c>
      <c r="E256" s="330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393"/>
      <c r="S256" s="393"/>
      <c r="T256" s="393"/>
    </row>
    <row r="257" spans="1:20" s="395" customFormat="1" ht="18" customHeight="1" x14ac:dyDescent="0.25">
      <c r="A257" s="181"/>
      <c r="B257" s="393"/>
      <c r="C257" s="205">
        <v>60</v>
      </c>
      <c r="D257" s="764" t="s">
        <v>2066</v>
      </c>
      <c r="E257" s="330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393"/>
      <c r="S257" s="393"/>
      <c r="T257" s="393"/>
    </row>
    <row r="258" spans="1:20" s="395" customFormat="1" ht="18" customHeight="1" x14ac:dyDescent="0.25">
      <c r="A258" s="181"/>
      <c r="B258" s="393">
        <v>25</v>
      </c>
      <c r="C258" s="205"/>
      <c r="D258" s="764" t="s">
        <v>2067</v>
      </c>
      <c r="E258" s="330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393"/>
      <c r="S258" s="393"/>
      <c r="T258" s="393"/>
    </row>
    <row r="259" spans="1:20" s="395" customFormat="1" ht="18" customHeight="1" x14ac:dyDescent="0.25">
      <c r="A259" s="181"/>
      <c r="B259" s="393"/>
      <c r="C259" s="205"/>
      <c r="D259" s="798" t="s">
        <v>2070</v>
      </c>
      <c r="E259" s="330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393"/>
      <c r="S259" s="393"/>
      <c r="T259" s="393"/>
    </row>
    <row r="260" spans="1:20" s="395" customFormat="1" ht="18" customHeight="1" x14ac:dyDescent="0.25">
      <c r="A260" s="181"/>
      <c r="B260" s="393"/>
      <c r="C260" s="205"/>
      <c r="D260" s="798" t="s">
        <v>2071</v>
      </c>
      <c r="E260" s="330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393"/>
      <c r="S260" s="393"/>
      <c r="T260" s="393"/>
    </row>
    <row r="261" spans="1:20" s="395" customFormat="1" ht="18" customHeight="1" thickBot="1" x14ac:dyDescent="0.3">
      <c r="A261" s="181"/>
      <c r="B261" s="393">
        <v>20</v>
      </c>
      <c r="C261" s="205"/>
      <c r="D261" s="764" t="s">
        <v>2073</v>
      </c>
      <c r="E261" s="330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393"/>
      <c r="S261" s="393"/>
      <c r="T261" s="393"/>
    </row>
    <row r="262" spans="1:20" s="395" customFormat="1" ht="18" customHeight="1" thickBot="1" x14ac:dyDescent="0.3">
      <c r="A262" s="181"/>
      <c r="B262" s="758">
        <f>SUM(B255:B261)</f>
        <v>105</v>
      </c>
      <c r="C262" s="205"/>
      <c r="D262" s="594"/>
      <c r="E262" s="759"/>
      <c r="F262" s="400"/>
      <c r="G262" s="400"/>
      <c r="H262" s="400"/>
      <c r="I262" s="400"/>
      <c r="J262" s="400"/>
      <c r="K262" s="400"/>
      <c r="L262" s="400"/>
      <c r="M262" s="400"/>
      <c r="N262" s="400"/>
      <c r="O262" s="400"/>
      <c r="P262" s="400"/>
      <c r="Q262" s="400"/>
      <c r="R262" s="176"/>
      <c r="S262" s="760"/>
      <c r="T262" s="758"/>
    </row>
    <row r="263" spans="1:20" s="395" customFormat="1" ht="18" customHeight="1" x14ac:dyDescent="0.25">
      <c r="A263" s="181"/>
      <c r="B263" s="393"/>
      <c r="C263" s="205"/>
      <c r="D263" s="594"/>
      <c r="E263" s="330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393"/>
      <c r="S263" s="393"/>
      <c r="T263" s="393"/>
    </row>
    <row r="264" spans="1:20" s="169" customFormat="1" ht="18" customHeight="1" x14ac:dyDescent="0.25">
      <c r="A264" s="237" t="s">
        <v>706</v>
      </c>
      <c r="B264" s="397">
        <f>+B150+B164+B169+B174+B182+B188+B193+B197+B205+B211+B217+B222+B229+B231+B233+B240+B247+B253+B262</f>
        <v>3380</v>
      </c>
      <c r="C264" s="205"/>
      <c r="D264" s="413"/>
      <c r="E264" s="329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58"/>
      <c r="S264" s="158"/>
      <c r="T264" s="158"/>
    </row>
    <row r="265" spans="1:20" s="169" customFormat="1" ht="18" customHeight="1" x14ac:dyDescent="0.25">
      <c r="A265" s="354" t="s">
        <v>707</v>
      </c>
      <c r="B265" s="206"/>
      <c r="C265" s="205"/>
      <c r="D265" s="581"/>
      <c r="E265" s="33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58"/>
      <c r="S265" s="158"/>
      <c r="T265" s="158"/>
    </row>
    <row r="266" spans="1:20" s="169" customFormat="1" ht="18" customHeight="1" x14ac:dyDescent="0.25">
      <c r="A266" s="354" t="s">
        <v>708</v>
      </c>
      <c r="B266" s="397"/>
      <c r="C266" s="205"/>
      <c r="D266" s="581"/>
      <c r="E266" s="33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58"/>
      <c r="S266" s="158"/>
      <c r="T266" s="158"/>
    </row>
    <row r="267" spans="1:20" s="169" customFormat="1" ht="18" customHeight="1" x14ac:dyDescent="0.25">
      <c r="A267" s="354" t="s">
        <v>709</v>
      </c>
      <c r="B267" s="206"/>
      <c r="C267" s="205"/>
      <c r="D267" s="413"/>
      <c r="E267" s="329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58"/>
      <c r="S267" s="158"/>
      <c r="T267" s="158"/>
    </row>
    <row r="268" spans="1:20" s="169" customFormat="1" ht="18" customHeight="1" x14ac:dyDescent="0.25">
      <c r="A268" s="354" t="s">
        <v>710</v>
      </c>
      <c r="B268" s="206">
        <f>SUM(B264:B267)</f>
        <v>3380</v>
      </c>
      <c r="C268" s="205"/>
      <c r="D268" s="413"/>
      <c r="E268" s="329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58"/>
      <c r="S268" s="158"/>
      <c r="T268" s="158"/>
    </row>
    <row r="269" spans="1:20" s="169" customFormat="1" ht="18" customHeight="1" x14ac:dyDescent="0.25">
      <c r="A269" s="354" t="s">
        <v>711</v>
      </c>
      <c r="B269" s="206"/>
      <c r="C269" s="205"/>
      <c r="D269" s="581"/>
      <c r="E269" s="33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58"/>
      <c r="S269" s="158"/>
      <c r="T269" s="158"/>
    </row>
    <row r="270" spans="1:20" s="169" customFormat="1" ht="18" customHeight="1" x14ac:dyDescent="0.25">
      <c r="A270" s="354" t="s">
        <v>712</v>
      </c>
      <c r="B270" s="397"/>
      <c r="C270" s="205"/>
      <c r="D270" s="581"/>
      <c r="E270" s="33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58"/>
      <c r="S270" s="158"/>
      <c r="T270" s="158"/>
    </row>
    <row r="271" spans="1:20" s="169" customFormat="1" ht="18" customHeight="1" x14ac:dyDescent="0.25">
      <c r="A271" s="354" t="s">
        <v>713</v>
      </c>
      <c r="B271" s="397"/>
      <c r="C271" s="205"/>
      <c r="D271" s="581"/>
      <c r="E271" s="33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58"/>
      <c r="S271" s="158"/>
      <c r="T271" s="158"/>
    </row>
    <row r="272" spans="1:20" s="169" customFormat="1" ht="18" customHeight="1" x14ac:dyDescent="0.25">
      <c r="A272" s="354"/>
      <c r="B272" s="397"/>
      <c r="C272" s="205"/>
      <c r="D272" s="581"/>
      <c r="E272" s="33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58"/>
      <c r="S272" s="158"/>
      <c r="T272" s="158"/>
    </row>
    <row r="273" spans="1:20" s="169" customFormat="1" ht="18" customHeight="1" x14ac:dyDescent="0.25">
      <c r="A273" s="354"/>
      <c r="B273" s="397"/>
      <c r="C273" s="205"/>
      <c r="D273" s="581"/>
      <c r="E273" s="33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58"/>
      <c r="S273" s="158"/>
      <c r="T273" s="158"/>
    </row>
    <row r="274" spans="1:20" s="369" customFormat="1" ht="18" customHeight="1" x14ac:dyDescent="0.35">
      <c r="A274" s="367"/>
      <c r="B274" s="204"/>
      <c r="C274" s="459"/>
      <c r="D274" s="595" t="s">
        <v>753</v>
      </c>
      <c r="E274" s="432"/>
      <c r="F274" s="368"/>
      <c r="K274" s="370"/>
      <c r="M274" s="371"/>
      <c r="R274" s="372"/>
      <c r="S274" s="372"/>
      <c r="T274" s="372"/>
    </row>
    <row r="275" spans="1:20" s="169" customFormat="1" ht="18" customHeight="1" x14ac:dyDescent="0.35">
      <c r="A275" s="579"/>
      <c r="B275" s="397"/>
      <c r="C275" s="205"/>
      <c r="D275" s="596"/>
      <c r="E275" s="432"/>
      <c r="F275" s="180"/>
      <c r="K275" s="580"/>
      <c r="M275" s="170"/>
      <c r="R275" s="158"/>
      <c r="S275" s="158"/>
      <c r="T275" s="158"/>
    </row>
    <row r="276" spans="1:20" s="149" customFormat="1" ht="18" customHeight="1" x14ac:dyDescent="0.25">
      <c r="A276" s="335">
        <v>45352</v>
      </c>
      <c r="B276" s="807">
        <v>20</v>
      </c>
      <c r="C276" s="461"/>
      <c r="D276" s="808" t="s">
        <v>2074</v>
      </c>
      <c r="E276" s="336"/>
      <c r="F276" s="151"/>
      <c r="K276" s="201"/>
      <c r="M276" s="151"/>
      <c r="R276" s="154"/>
      <c r="S276" s="154"/>
      <c r="T276" s="154"/>
    </row>
    <row r="277" spans="1:20" s="149" customFormat="1" ht="18" customHeight="1" x14ac:dyDescent="0.25">
      <c r="A277" s="335"/>
      <c r="B277" s="203">
        <v>25</v>
      </c>
      <c r="C277" s="461"/>
      <c r="D277" s="808" t="s">
        <v>2075</v>
      </c>
      <c r="E277" s="336"/>
      <c r="F277" s="151"/>
      <c r="K277" s="201"/>
      <c r="M277" s="151"/>
      <c r="R277" s="154"/>
      <c r="S277" s="154"/>
      <c r="T277" s="154"/>
    </row>
    <row r="278" spans="1:20" s="149" customFormat="1" ht="18" customHeight="1" thickBot="1" x14ac:dyDescent="0.3">
      <c r="A278" s="335"/>
      <c r="B278" s="203"/>
      <c r="C278" s="461"/>
      <c r="D278" s="808" t="s">
        <v>2076</v>
      </c>
      <c r="E278" s="336"/>
      <c r="F278" s="151"/>
      <c r="K278" s="201"/>
      <c r="M278" s="151"/>
      <c r="R278" s="154"/>
      <c r="S278" s="154"/>
      <c r="T278" s="154"/>
    </row>
    <row r="279" spans="1:20" s="149" customFormat="1" ht="18" customHeight="1" thickBot="1" x14ac:dyDescent="0.3">
      <c r="A279" s="335"/>
      <c r="B279" s="398">
        <f>SUM(B276:B278)</f>
        <v>45</v>
      </c>
      <c r="C279" s="461"/>
      <c r="D279" s="597"/>
      <c r="E279" s="463"/>
      <c r="F279" s="352"/>
      <c r="G279" s="350"/>
      <c r="H279" s="350"/>
      <c r="I279" s="350"/>
      <c r="J279" s="350"/>
      <c r="K279" s="351"/>
      <c r="L279" s="350"/>
      <c r="M279" s="352"/>
      <c r="N279" s="350"/>
      <c r="O279" s="350"/>
      <c r="P279" s="350"/>
      <c r="Q279" s="350"/>
      <c r="R279" s="176"/>
      <c r="S279" s="176"/>
      <c r="T279" s="760"/>
    </row>
    <row r="280" spans="1:20" s="149" customFormat="1" ht="18" customHeight="1" x14ac:dyDescent="0.25">
      <c r="A280" s="335"/>
      <c r="B280" s="203"/>
      <c r="C280" s="461"/>
      <c r="D280" s="597"/>
      <c r="E280" s="336"/>
      <c r="F280" s="151"/>
      <c r="K280" s="201"/>
      <c r="M280" s="151"/>
      <c r="R280" s="154"/>
      <c r="S280" s="154"/>
      <c r="T280" s="154"/>
    </row>
    <row r="281" spans="1:20" s="149" customFormat="1" ht="18" customHeight="1" x14ac:dyDescent="0.25">
      <c r="A281" s="335">
        <v>45353</v>
      </c>
      <c r="B281" s="149">
        <v>10</v>
      </c>
      <c r="D281" s="810" t="s">
        <v>2078</v>
      </c>
      <c r="E281" s="336"/>
      <c r="F281" s="151"/>
      <c r="K281" s="201"/>
      <c r="M281" s="151"/>
      <c r="R281" s="154"/>
      <c r="S281" s="154"/>
      <c r="T281" s="154"/>
    </row>
    <row r="282" spans="1:20" s="149" customFormat="1" ht="18" customHeight="1" x14ac:dyDescent="0.25">
      <c r="A282" s="335"/>
      <c r="B282" s="203">
        <v>110</v>
      </c>
      <c r="C282" s="461"/>
      <c r="D282" s="808" t="s">
        <v>2077</v>
      </c>
      <c r="E282" s="336" t="s">
        <v>2081</v>
      </c>
      <c r="F282" s="151"/>
      <c r="K282" s="201"/>
      <c r="M282" s="151"/>
      <c r="R282" s="154"/>
      <c r="S282" s="154"/>
      <c r="T282" s="154"/>
    </row>
    <row r="283" spans="1:20" s="149" customFormat="1" ht="18" customHeight="1" x14ac:dyDescent="0.25">
      <c r="A283" s="335"/>
      <c r="B283" s="203">
        <v>70</v>
      </c>
      <c r="C283" s="461"/>
      <c r="D283" s="808" t="s">
        <v>2079</v>
      </c>
      <c r="E283" s="336"/>
      <c r="F283" s="151"/>
      <c r="K283" s="201"/>
      <c r="M283" s="151"/>
      <c r="R283" s="154"/>
      <c r="S283" s="154"/>
      <c r="T283" s="154"/>
    </row>
    <row r="284" spans="1:20" s="149" customFormat="1" ht="18" customHeight="1" x14ac:dyDescent="0.25">
      <c r="A284" s="335"/>
      <c r="B284" s="203">
        <v>20</v>
      </c>
      <c r="C284" s="461"/>
      <c r="D284" s="808" t="s">
        <v>2080</v>
      </c>
      <c r="E284" s="336"/>
      <c r="F284" s="151"/>
      <c r="K284" s="201"/>
      <c r="M284" s="151"/>
      <c r="R284" s="154"/>
      <c r="S284" s="154"/>
      <c r="T284" s="154"/>
    </row>
    <row r="285" spans="1:20" s="149" customFormat="1" ht="18" customHeight="1" thickBot="1" x14ac:dyDescent="0.3">
      <c r="A285" s="335"/>
      <c r="B285" s="203"/>
      <c r="C285" s="461"/>
      <c r="D285" s="821" t="s">
        <v>2092</v>
      </c>
      <c r="E285" s="336"/>
      <c r="F285" s="151"/>
      <c r="K285" s="201"/>
      <c r="M285" s="151"/>
      <c r="R285" s="154"/>
      <c r="S285" s="154"/>
      <c r="T285" s="154"/>
    </row>
    <row r="286" spans="1:20" s="149" customFormat="1" ht="18" customHeight="1" thickBot="1" x14ac:dyDescent="0.3">
      <c r="A286" s="335"/>
      <c r="B286" s="398">
        <f>SUM(B281:B284)</f>
        <v>210</v>
      </c>
      <c r="C286" s="461"/>
      <c r="D286" s="597"/>
      <c r="E286" s="805"/>
      <c r="F286" s="350"/>
      <c r="G286" s="806"/>
      <c r="H286" s="352"/>
      <c r="I286" s="350"/>
      <c r="J286" s="350"/>
      <c r="K286" s="350"/>
      <c r="L286" s="350"/>
      <c r="M286" s="351"/>
      <c r="N286" s="350"/>
      <c r="O286" s="350"/>
      <c r="P286" s="350"/>
      <c r="Q286" s="350"/>
      <c r="R286" s="176"/>
      <c r="S286" s="176"/>
      <c r="T286" s="760"/>
    </row>
    <row r="287" spans="1:20" s="149" customFormat="1" ht="18" customHeight="1" x14ac:dyDescent="0.25">
      <c r="A287" s="335"/>
      <c r="B287" s="203"/>
      <c r="C287" s="461"/>
      <c r="D287" s="597"/>
      <c r="E287" s="336"/>
      <c r="F287" s="151"/>
      <c r="K287" s="201"/>
      <c r="M287" s="151"/>
      <c r="R287" s="154"/>
      <c r="S287" s="154"/>
      <c r="T287" s="154"/>
    </row>
    <row r="288" spans="1:20" s="149" customFormat="1" ht="18" customHeight="1" x14ac:dyDescent="0.25">
      <c r="A288" s="335">
        <v>45355</v>
      </c>
      <c r="B288" s="203">
        <v>75</v>
      </c>
      <c r="C288" s="461"/>
      <c r="D288" s="808" t="s">
        <v>2093</v>
      </c>
      <c r="E288" s="336"/>
      <c r="F288" s="151"/>
      <c r="K288" s="201"/>
      <c r="M288" s="151"/>
      <c r="R288" s="154"/>
      <c r="S288" s="154"/>
      <c r="T288" s="154"/>
    </row>
    <row r="289" spans="1:20" s="149" customFormat="1" ht="18" customHeight="1" thickBot="1" x14ac:dyDescent="0.3">
      <c r="A289" s="335"/>
      <c r="B289" s="203">
        <v>110</v>
      </c>
      <c r="C289" s="461"/>
      <c r="D289" s="808" t="s">
        <v>2094</v>
      </c>
      <c r="E289" s="336"/>
      <c r="F289" s="151"/>
      <c r="K289" s="201"/>
      <c r="M289" s="151"/>
      <c r="R289" s="154"/>
      <c r="S289" s="154"/>
      <c r="T289" s="154"/>
    </row>
    <row r="290" spans="1:20" s="149" customFormat="1" ht="18" customHeight="1" thickBot="1" x14ac:dyDescent="0.3">
      <c r="A290" s="335"/>
      <c r="B290" s="398">
        <f>SUM(B288:B289)</f>
        <v>185</v>
      </c>
      <c r="C290" s="461"/>
      <c r="D290" s="597"/>
      <c r="E290" s="463"/>
      <c r="F290" s="352"/>
      <c r="G290" s="350"/>
      <c r="H290" s="350"/>
      <c r="I290" s="350"/>
      <c r="J290" s="350"/>
      <c r="K290" s="351"/>
      <c r="L290" s="350"/>
      <c r="M290" s="352"/>
      <c r="N290" s="350"/>
      <c r="O290" s="350"/>
      <c r="P290" s="350"/>
      <c r="Q290" s="350"/>
      <c r="R290" s="176"/>
      <c r="S290" s="176"/>
      <c r="T290" s="760"/>
    </row>
    <row r="291" spans="1:20" s="149" customFormat="1" ht="18" customHeight="1" x14ac:dyDescent="0.25">
      <c r="A291" s="335"/>
      <c r="B291" s="203"/>
      <c r="C291" s="461"/>
      <c r="D291" s="597"/>
      <c r="E291" s="336"/>
      <c r="F291" s="151"/>
      <c r="K291" s="201"/>
      <c r="M291" s="151"/>
      <c r="R291" s="154"/>
      <c r="S291" s="154"/>
      <c r="T291" s="154"/>
    </row>
    <row r="292" spans="1:20" s="149" customFormat="1" ht="18" customHeight="1" x14ac:dyDescent="0.25">
      <c r="A292" s="335">
        <v>45356</v>
      </c>
      <c r="B292" s="203">
        <v>190</v>
      </c>
      <c r="C292" s="461"/>
      <c r="D292" s="808" t="s">
        <v>2193</v>
      </c>
      <c r="E292" s="336" t="s">
        <v>2171</v>
      </c>
      <c r="F292" s="151"/>
      <c r="K292" s="201"/>
      <c r="M292" s="151"/>
      <c r="R292" s="154"/>
      <c r="S292" s="154"/>
      <c r="T292" s="154"/>
    </row>
    <row r="293" spans="1:20" s="149" customFormat="1" ht="18" customHeight="1" x14ac:dyDescent="0.25">
      <c r="A293" s="335"/>
      <c r="B293" s="203">
        <v>35</v>
      </c>
      <c r="C293" s="461"/>
      <c r="D293" s="808" t="s">
        <v>2095</v>
      </c>
      <c r="E293" s="336"/>
      <c r="F293" s="151"/>
      <c r="K293" s="201"/>
      <c r="M293" s="151"/>
      <c r="R293" s="154"/>
      <c r="S293" s="154"/>
      <c r="T293" s="154"/>
    </row>
    <row r="294" spans="1:20" s="149" customFormat="1" ht="18" customHeight="1" x14ac:dyDescent="0.25">
      <c r="A294" s="335"/>
      <c r="B294" s="203">
        <v>25</v>
      </c>
      <c r="C294" s="461"/>
      <c r="D294" s="808" t="s">
        <v>2096</v>
      </c>
      <c r="E294" s="336"/>
      <c r="F294" s="151"/>
      <c r="K294" s="201"/>
      <c r="M294" s="151"/>
      <c r="R294" s="154"/>
      <c r="S294" s="154"/>
      <c r="T294" s="154"/>
    </row>
    <row r="295" spans="1:20" s="149" customFormat="1" ht="18" customHeight="1" thickBot="1" x14ac:dyDescent="0.3">
      <c r="A295" s="335"/>
      <c r="B295" s="203">
        <v>10</v>
      </c>
      <c r="C295" s="461"/>
      <c r="D295" s="808" t="s">
        <v>2195</v>
      </c>
      <c r="E295" s="336"/>
      <c r="F295" s="151"/>
      <c r="K295" s="201"/>
      <c r="M295" s="151"/>
      <c r="R295" s="154"/>
      <c r="S295" s="154"/>
      <c r="T295" s="154"/>
    </row>
    <row r="296" spans="1:20" s="149" customFormat="1" ht="18" customHeight="1" thickBot="1" x14ac:dyDescent="0.3">
      <c r="A296" s="335"/>
      <c r="B296" s="398">
        <f>SUM(B292:B295)</f>
        <v>260</v>
      </c>
      <c r="C296" s="461"/>
      <c r="D296" s="597"/>
      <c r="E296" s="463"/>
      <c r="F296" s="352"/>
      <c r="G296" s="350"/>
      <c r="H296" s="350"/>
      <c r="I296" s="350"/>
      <c r="J296" s="350"/>
      <c r="K296" s="351"/>
      <c r="L296" s="350"/>
      <c r="M296" s="352"/>
      <c r="N296" s="350"/>
      <c r="O296" s="350"/>
      <c r="P296" s="350"/>
      <c r="Q296" s="350"/>
      <c r="R296" s="176"/>
      <c r="S296" s="176"/>
      <c r="T296" s="760"/>
    </row>
    <row r="297" spans="1:20" s="149" customFormat="1" ht="18" customHeight="1" x14ac:dyDescent="0.25">
      <c r="A297" s="335"/>
      <c r="B297" s="203"/>
      <c r="C297" s="461"/>
      <c r="D297" s="597"/>
      <c r="E297" s="336"/>
      <c r="F297" s="151"/>
      <c r="K297" s="201"/>
      <c r="M297" s="151"/>
      <c r="R297" s="154"/>
      <c r="S297" s="154"/>
      <c r="T297" s="154"/>
    </row>
    <row r="298" spans="1:20" s="149" customFormat="1" ht="18" customHeight="1" x14ac:dyDescent="0.25">
      <c r="A298" s="335">
        <v>45357</v>
      </c>
      <c r="B298" s="203">
        <v>150</v>
      </c>
      <c r="C298" s="461"/>
      <c r="D298" s="808" t="s">
        <v>2097</v>
      </c>
      <c r="E298" s="336"/>
      <c r="F298" s="151"/>
      <c r="K298" s="201"/>
      <c r="M298" s="151"/>
      <c r="R298" s="154"/>
      <c r="S298" s="154"/>
      <c r="T298" s="154"/>
    </row>
    <row r="299" spans="1:20" s="149" customFormat="1" ht="18" customHeight="1" x14ac:dyDescent="0.25">
      <c r="A299" s="335"/>
      <c r="B299" s="203">
        <v>50</v>
      </c>
      <c r="C299" s="461"/>
      <c r="D299" s="808" t="s">
        <v>1966</v>
      </c>
      <c r="E299" s="336"/>
      <c r="F299" s="151"/>
      <c r="K299" s="201"/>
      <c r="M299" s="151"/>
      <c r="R299" s="154"/>
      <c r="S299" s="154"/>
      <c r="T299" s="154"/>
    </row>
    <row r="300" spans="1:20" s="149" customFormat="1" ht="18" customHeight="1" x14ac:dyDescent="0.25">
      <c r="A300" s="335"/>
      <c r="B300" s="203">
        <v>110</v>
      </c>
      <c r="C300" s="461"/>
      <c r="D300" s="808" t="s">
        <v>2098</v>
      </c>
      <c r="E300" s="336"/>
      <c r="F300" s="151"/>
      <c r="K300" s="201"/>
      <c r="M300" s="151"/>
      <c r="R300" s="154"/>
      <c r="S300" s="154"/>
      <c r="T300" s="154"/>
    </row>
    <row r="301" spans="1:20" s="149" customFormat="1" ht="18" customHeight="1" x14ac:dyDescent="0.25">
      <c r="A301" s="335"/>
      <c r="B301" s="203">
        <v>25</v>
      </c>
      <c r="C301" s="461"/>
      <c r="D301" s="808" t="s">
        <v>2099</v>
      </c>
      <c r="E301" s="336"/>
      <c r="F301" s="151"/>
      <c r="K301" s="201"/>
      <c r="M301" s="151"/>
      <c r="R301" s="154"/>
      <c r="S301" s="154"/>
      <c r="T301" s="154"/>
    </row>
    <row r="302" spans="1:20" s="149" customFormat="1" ht="18" customHeight="1" x14ac:dyDescent="0.25">
      <c r="A302" s="335"/>
      <c r="B302" s="203">
        <v>5</v>
      </c>
      <c r="C302" s="461"/>
      <c r="D302" s="808" t="s">
        <v>1868</v>
      </c>
      <c r="E302" s="336" t="s">
        <v>2173</v>
      </c>
      <c r="F302" s="151"/>
      <c r="K302" s="201"/>
      <c r="M302" s="151"/>
      <c r="R302" s="154"/>
      <c r="S302" s="154"/>
      <c r="T302" s="154"/>
    </row>
    <row r="303" spans="1:20" s="149" customFormat="1" ht="18" customHeight="1" thickBot="1" x14ac:dyDescent="0.3">
      <c r="A303" s="335"/>
      <c r="B303" s="203">
        <v>10</v>
      </c>
      <c r="C303" s="461"/>
      <c r="D303" s="808" t="s">
        <v>2196</v>
      </c>
      <c r="E303" s="336"/>
      <c r="F303" s="151"/>
      <c r="K303" s="201"/>
      <c r="M303" s="151"/>
      <c r="R303" s="154"/>
      <c r="S303" s="154"/>
      <c r="T303" s="154"/>
    </row>
    <row r="304" spans="1:20" s="149" customFormat="1" ht="18" customHeight="1" thickBot="1" x14ac:dyDescent="0.3">
      <c r="A304" s="335"/>
      <c r="B304" s="398">
        <f>SUM(B298:B303)</f>
        <v>350</v>
      </c>
      <c r="C304" s="461"/>
      <c r="D304" s="597"/>
      <c r="E304" s="463"/>
      <c r="F304" s="352"/>
      <c r="G304" s="350"/>
      <c r="H304" s="350"/>
      <c r="I304" s="350"/>
      <c r="J304" s="350"/>
      <c r="K304" s="351"/>
      <c r="L304" s="350"/>
      <c r="M304" s="352"/>
      <c r="N304" s="350"/>
      <c r="O304" s="350"/>
      <c r="P304" s="350"/>
      <c r="Q304" s="350"/>
      <c r="R304" s="176"/>
      <c r="S304" s="176"/>
      <c r="T304" s="760"/>
    </row>
    <row r="305" spans="1:20" s="149" customFormat="1" ht="18" customHeight="1" x14ac:dyDescent="0.25">
      <c r="A305" s="335"/>
      <c r="B305" s="397"/>
      <c r="C305" s="461"/>
      <c r="D305" s="597"/>
      <c r="E305" s="403"/>
      <c r="F305" s="394"/>
      <c r="G305" s="395"/>
      <c r="H305" s="395"/>
      <c r="I305" s="395"/>
      <c r="J305" s="395"/>
      <c r="K305" s="396"/>
      <c r="L305" s="395"/>
      <c r="M305" s="394"/>
      <c r="N305" s="395"/>
      <c r="O305" s="395"/>
      <c r="P305" s="395"/>
      <c r="Q305" s="395"/>
      <c r="R305" s="393"/>
      <c r="S305" s="393"/>
      <c r="T305" s="393"/>
    </row>
    <row r="306" spans="1:20" s="149" customFormat="1" ht="18" customHeight="1" x14ac:dyDescent="0.25">
      <c r="A306" s="335">
        <v>45358</v>
      </c>
      <c r="B306" s="397">
        <v>90</v>
      </c>
      <c r="C306" s="461"/>
      <c r="D306" s="808" t="s">
        <v>2100</v>
      </c>
      <c r="E306" s="403"/>
      <c r="F306" s="394"/>
      <c r="G306" s="395"/>
      <c r="H306" s="395"/>
      <c r="I306" s="395"/>
      <c r="J306" s="395"/>
      <c r="K306" s="396"/>
      <c r="L306" s="395"/>
      <c r="M306" s="394"/>
      <c r="N306" s="395"/>
      <c r="O306" s="395"/>
      <c r="P306" s="395"/>
      <c r="Q306" s="395"/>
      <c r="R306" s="393"/>
      <c r="S306" s="393"/>
      <c r="T306" s="393"/>
    </row>
    <row r="307" spans="1:20" s="149" customFormat="1" ht="18" customHeight="1" thickBot="1" x14ac:dyDescent="0.3">
      <c r="A307" s="335"/>
      <c r="B307" s="397">
        <v>20</v>
      </c>
      <c r="C307" s="461"/>
      <c r="D307" s="808" t="s">
        <v>2197</v>
      </c>
      <c r="E307" s="403"/>
      <c r="F307" s="394"/>
      <c r="G307" s="395"/>
      <c r="H307" s="395"/>
      <c r="I307" s="395"/>
      <c r="J307" s="395"/>
      <c r="K307" s="396"/>
      <c r="L307" s="395"/>
      <c r="M307" s="394"/>
      <c r="N307" s="395"/>
      <c r="O307" s="395"/>
      <c r="P307" s="395"/>
      <c r="Q307" s="395"/>
      <c r="R307" s="393"/>
      <c r="S307" s="393"/>
      <c r="T307" s="393"/>
    </row>
    <row r="308" spans="1:20" s="149" customFormat="1" ht="18" customHeight="1" thickBot="1" x14ac:dyDescent="0.3">
      <c r="A308" s="335"/>
      <c r="B308" s="398">
        <f>SUM(B306:B307)</f>
        <v>110</v>
      </c>
      <c r="C308" s="461"/>
      <c r="D308" s="597"/>
      <c r="E308" s="463"/>
      <c r="F308" s="352"/>
      <c r="G308" s="350"/>
      <c r="H308" s="350"/>
      <c r="I308" s="350"/>
      <c r="J308" s="350"/>
      <c r="K308" s="351"/>
      <c r="L308" s="350"/>
      <c r="M308" s="352"/>
      <c r="N308" s="350"/>
      <c r="O308" s="350"/>
      <c r="P308" s="350"/>
      <c r="Q308" s="350"/>
      <c r="R308" s="176"/>
      <c r="S308" s="176"/>
      <c r="T308" s="760"/>
    </row>
    <row r="309" spans="1:20" s="149" customFormat="1" ht="18" customHeight="1" x14ac:dyDescent="0.25">
      <c r="A309" s="335"/>
      <c r="B309" s="397"/>
      <c r="C309" s="461"/>
      <c r="D309" s="597"/>
      <c r="E309" s="403"/>
      <c r="F309" s="394"/>
      <c r="G309" s="395"/>
      <c r="H309" s="395"/>
      <c r="I309" s="395"/>
      <c r="J309" s="395"/>
      <c r="K309" s="396"/>
      <c r="L309" s="395"/>
      <c r="M309" s="394"/>
      <c r="N309" s="395"/>
      <c r="O309" s="395"/>
      <c r="P309" s="395"/>
      <c r="Q309" s="395"/>
      <c r="R309" s="393"/>
      <c r="S309" s="393"/>
      <c r="T309" s="393"/>
    </row>
    <row r="310" spans="1:20" s="149" customFormat="1" ht="18" customHeight="1" x14ac:dyDescent="0.25">
      <c r="A310" s="335">
        <v>45359</v>
      </c>
      <c r="B310" s="397">
        <v>100</v>
      </c>
      <c r="C310" s="461"/>
      <c r="D310" s="808" t="s">
        <v>2179</v>
      </c>
      <c r="E310" s="403"/>
      <c r="F310" s="394"/>
      <c r="G310" s="395"/>
      <c r="H310" s="395"/>
      <c r="I310" s="395"/>
      <c r="J310" s="395"/>
      <c r="K310" s="396"/>
      <c r="L310" s="395"/>
      <c r="M310" s="394"/>
      <c r="N310" s="395"/>
      <c r="O310" s="395"/>
      <c r="P310" s="395"/>
      <c r="Q310" s="395"/>
      <c r="R310" s="393"/>
      <c r="S310" s="393"/>
      <c r="T310" s="393"/>
    </row>
    <row r="311" spans="1:20" s="149" customFormat="1" ht="18" customHeight="1" x14ac:dyDescent="0.25">
      <c r="A311" s="335"/>
      <c r="B311" s="397">
        <v>100</v>
      </c>
      <c r="C311" s="461"/>
      <c r="D311" s="808" t="s">
        <v>2101</v>
      </c>
      <c r="E311" s="403"/>
      <c r="F311" s="394"/>
      <c r="G311" s="395"/>
      <c r="H311" s="395"/>
      <c r="I311" s="395"/>
      <c r="J311" s="395"/>
      <c r="K311" s="396"/>
      <c r="L311" s="395"/>
      <c r="M311" s="394"/>
      <c r="N311" s="395"/>
      <c r="O311" s="395"/>
      <c r="P311" s="395"/>
      <c r="Q311" s="395"/>
      <c r="R311" s="393"/>
      <c r="S311" s="393"/>
      <c r="T311" s="393"/>
    </row>
    <row r="312" spans="1:20" s="149" customFormat="1" ht="18" customHeight="1" x14ac:dyDescent="0.25">
      <c r="A312" s="335"/>
      <c r="B312" s="397"/>
      <c r="C312" s="461"/>
      <c r="D312" s="829" t="s">
        <v>2189</v>
      </c>
      <c r="E312" s="403"/>
      <c r="F312" s="394"/>
      <c r="G312" s="395"/>
      <c r="H312" s="395"/>
      <c r="I312" s="395"/>
      <c r="J312" s="395"/>
      <c r="K312" s="396"/>
      <c r="L312" s="395"/>
      <c r="M312" s="394"/>
      <c r="N312" s="395"/>
      <c r="O312" s="395"/>
      <c r="P312" s="395"/>
      <c r="Q312" s="395"/>
      <c r="R312" s="393"/>
      <c r="S312" s="393"/>
      <c r="T312" s="393"/>
    </row>
    <row r="313" spans="1:20" s="149" customFormat="1" ht="18" customHeight="1" x14ac:dyDescent="0.25">
      <c r="A313" s="335"/>
      <c r="B313" s="397"/>
      <c r="C313" s="461">
        <v>110</v>
      </c>
      <c r="D313" s="808" t="s">
        <v>2399</v>
      </c>
      <c r="E313" s="403"/>
      <c r="F313" s="394"/>
      <c r="G313" s="395"/>
      <c r="H313" s="395"/>
      <c r="I313" s="395"/>
      <c r="J313" s="395"/>
      <c r="K313" s="396"/>
      <c r="L313" s="395"/>
      <c r="M313" s="394"/>
      <c r="N313" s="395"/>
      <c r="O313" s="395"/>
      <c r="P313" s="395"/>
      <c r="Q313" s="395"/>
      <c r="R313" s="393"/>
      <c r="S313" s="393"/>
      <c r="T313" s="393"/>
    </row>
    <row r="314" spans="1:20" s="149" customFormat="1" ht="18" customHeight="1" x14ac:dyDescent="0.25">
      <c r="A314" s="335"/>
      <c r="B314" s="397"/>
      <c r="C314" s="461">
        <v>110</v>
      </c>
      <c r="D314" s="808" t="s">
        <v>2190</v>
      </c>
      <c r="E314" s="403"/>
      <c r="F314" s="394"/>
      <c r="G314" s="395"/>
      <c r="H314" s="395"/>
      <c r="I314" s="395"/>
      <c r="J314" s="395"/>
      <c r="K314" s="396"/>
      <c r="L314" s="395"/>
      <c r="M314" s="394"/>
      <c r="N314" s="395"/>
      <c r="O314" s="395"/>
      <c r="P314" s="395"/>
      <c r="Q314" s="395"/>
      <c r="R314" s="393"/>
      <c r="S314" s="393"/>
      <c r="T314" s="393"/>
    </row>
    <row r="315" spans="1:20" s="149" customFormat="1" ht="18" customHeight="1" x14ac:dyDescent="0.25">
      <c r="A315" s="335"/>
      <c r="B315" s="397"/>
      <c r="C315" s="461">
        <v>75</v>
      </c>
      <c r="D315" s="808" t="s">
        <v>2191</v>
      </c>
      <c r="E315" s="403"/>
      <c r="F315" s="394"/>
      <c r="G315" s="395"/>
      <c r="H315" s="395"/>
      <c r="I315" s="395"/>
      <c r="J315" s="395"/>
      <c r="K315" s="396"/>
      <c r="L315" s="395"/>
      <c r="M315" s="394"/>
      <c r="N315" s="395"/>
      <c r="O315" s="395"/>
      <c r="P315" s="395"/>
      <c r="Q315" s="395"/>
      <c r="R315" s="393"/>
      <c r="S315" s="393"/>
      <c r="T315" s="393"/>
    </row>
    <row r="316" spans="1:20" s="149" customFormat="1" ht="18" customHeight="1" x14ac:dyDescent="0.25">
      <c r="A316" s="335"/>
      <c r="B316" s="397"/>
      <c r="C316" s="461">
        <v>55</v>
      </c>
      <c r="D316" s="808" t="s">
        <v>2192</v>
      </c>
      <c r="E316" s="403"/>
      <c r="F316" s="394"/>
      <c r="G316" s="395"/>
      <c r="H316" s="395"/>
      <c r="I316" s="395"/>
      <c r="J316" s="395"/>
      <c r="K316" s="396"/>
      <c r="L316" s="395"/>
      <c r="M316" s="394"/>
      <c r="N316" s="395"/>
      <c r="O316" s="395"/>
      <c r="P316" s="395"/>
      <c r="Q316" s="395"/>
      <c r="R316" s="393"/>
      <c r="S316" s="393"/>
      <c r="T316" s="393"/>
    </row>
    <row r="317" spans="1:20" s="149" customFormat="1" ht="18" customHeight="1" x14ac:dyDescent="0.25">
      <c r="A317" s="335"/>
      <c r="B317" s="397"/>
      <c r="C317" s="461"/>
      <c r="D317" s="597"/>
      <c r="E317" s="403"/>
      <c r="F317" s="394"/>
      <c r="G317" s="395"/>
      <c r="H317" s="395"/>
      <c r="I317" s="395"/>
      <c r="J317" s="395"/>
      <c r="K317" s="396"/>
      <c r="L317" s="395"/>
      <c r="M317" s="394"/>
      <c r="N317" s="395"/>
      <c r="O317" s="395"/>
      <c r="P317" s="395"/>
      <c r="Q317" s="395"/>
      <c r="R317" s="393"/>
      <c r="S317" s="393"/>
      <c r="T317" s="393"/>
    </row>
    <row r="318" spans="1:20" s="149" customFormat="1" ht="18" customHeight="1" thickBot="1" x14ac:dyDescent="0.3">
      <c r="A318" s="335"/>
      <c r="B318" s="397"/>
      <c r="C318" s="461"/>
      <c r="D318" s="597"/>
      <c r="E318" s="403"/>
      <c r="F318" s="394"/>
      <c r="G318" s="395"/>
      <c r="H318" s="395"/>
      <c r="I318" s="395"/>
      <c r="J318" s="395"/>
      <c r="K318" s="396"/>
      <c r="L318" s="395"/>
      <c r="M318" s="394"/>
      <c r="N318" s="395"/>
      <c r="O318" s="395"/>
      <c r="P318" s="395"/>
      <c r="Q318" s="395"/>
      <c r="R318" s="393"/>
      <c r="S318" s="393"/>
      <c r="T318" s="393"/>
    </row>
    <row r="319" spans="1:20" s="149" customFormat="1" ht="18" customHeight="1" thickBot="1" x14ac:dyDescent="0.3">
      <c r="A319" s="335"/>
      <c r="B319" s="398">
        <f>SUM(B310:B311)</f>
        <v>200</v>
      </c>
      <c r="C319" s="461"/>
      <c r="D319" s="597"/>
      <c r="E319" s="463"/>
      <c r="F319" s="352"/>
      <c r="G319" s="350"/>
      <c r="H319" s="350"/>
      <c r="I319" s="350"/>
      <c r="J319" s="350"/>
      <c r="K319" s="351"/>
      <c r="L319" s="350"/>
      <c r="M319" s="352"/>
      <c r="N319" s="350"/>
      <c r="O319" s="350"/>
      <c r="P319" s="350"/>
      <c r="Q319" s="350"/>
      <c r="R319" s="176"/>
      <c r="S319" s="176"/>
      <c r="T319" s="760"/>
    </row>
    <row r="320" spans="1:20" s="149" customFormat="1" ht="18" customHeight="1" x14ac:dyDescent="0.25">
      <c r="A320" s="335"/>
      <c r="B320" s="397"/>
      <c r="C320" s="461"/>
      <c r="D320" s="597"/>
      <c r="E320" s="403"/>
      <c r="F320" s="394"/>
      <c r="G320" s="395"/>
      <c r="H320" s="395"/>
      <c r="I320" s="395"/>
      <c r="J320" s="395"/>
      <c r="K320" s="396"/>
      <c r="L320" s="395"/>
      <c r="M320" s="394"/>
      <c r="N320" s="395"/>
      <c r="O320" s="395"/>
      <c r="P320" s="395"/>
      <c r="Q320" s="395"/>
      <c r="R320" s="393"/>
      <c r="S320" s="393"/>
      <c r="T320" s="393"/>
    </row>
    <row r="321" spans="1:20" s="149" customFormat="1" ht="18" customHeight="1" x14ac:dyDescent="0.25">
      <c r="A321" s="335">
        <v>45360</v>
      </c>
      <c r="B321" s="203">
        <v>65</v>
      </c>
      <c r="C321" s="461"/>
      <c r="D321" s="808" t="s">
        <v>2102</v>
      </c>
      <c r="E321" s="336"/>
      <c r="F321" s="151"/>
      <c r="K321" s="201"/>
      <c r="M321" s="151"/>
      <c r="R321" s="154"/>
      <c r="S321" s="154"/>
      <c r="T321" s="154"/>
    </row>
    <row r="322" spans="1:20" s="149" customFormat="1" ht="18" customHeight="1" x14ac:dyDescent="0.25">
      <c r="A322" s="335"/>
      <c r="B322" s="203">
        <v>50</v>
      </c>
      <c r="C322" s="461"/>
      <c r="D322" s="808" t="s">
        <v>2103</v>
      </c>
      <c r="E322" s="336"/>
      <c r="F322" s="151"/>
      <c r="K322" s="201"/>
      <c r="M322" s="151"/>
      <c r="R322" s="154"/>
      <c r="S322" s="154"/>
      <c r="T322" s="154"/>
    </row>
    <row r="323" spans="1:20" s="149" customFormat="1" ht="18" customHeight="1" thickBot="1" x14ac:dyDescent="0.3">
      <c r="A323" s="335"/>
      <c r="B323" s="203">
        <v>45</v>
      </c>
      <c r="C323" s="461"/>
      <c r="D323" s="808" t="s">
        <v>2104</v>
      </c>
      <c r="E323" s="336"/>
      <c r="F323" s="151"/>
      <c r="K323" s="201"/>
      <c r="M323" s="151"/>
      <c r="R323" s="154"/>
      <c r="S323" s="154"/>
      <c r="T323" s="154"/>
    </row>
    <row r="324" spans="1:20" s="149" customFormat="1" ht="18" customHeight="1" thickBot="1" x14ac:dyDescent="0.3">
      <c r="A324" s="335"/>
      <c r="B324" s="398">
        <f>SUM(B321:B323)</f>
        <v>160</v>
      </c>
      <c r="C324" s="461"/>
      <c r="D324" s="597"/>
      <c r="E324" s="463"/>
      <c r="F324" s="352"/>
      <c r="G324" s="350"/>
      <c r="H324" s="350"/>
      <c r="I324" s="350"/>
      <c r="J324" s="350"/>
      <c r="K324" s="351"/>
      <c r="L324" s="350"/>
      <c r="M324" s="352"/>
      <c r="N324" s="350"/>
      <c r="O324" s="350"/>
      <c r="P324" s="350"/>
      <c r="Q324" s="350"/>
      <c r="R324" s="176"/>
      <c r="S324" s="176"/>
      <c r="T324" s="760"/>
    </row>
    <row r="325" spans="1:20" s="149" customFormat="1" ht="18" customHeight="1" x14ac:dyDescent="0.25">
      <c r="A325" s="335"/>
      <c r="B325" s="203"/>
      <c r="C325" s="461"/>
      <c r="D325" s="597"/>
      <c r="E325" s="336"/>
      <c r="F325" s="151"/>
      <c r="K325" s="201"/>
      <c r="M325" s="151"/>
      <c r="R325" s="154"/>
      <c r="S325" s="154"/>
      <c r="T325" s="154"/>
    </row>
    <row r="326" spans="1:20" s="149" customFormat="1" ht="18" customHeight="1" x14ac:dyDescent="0.25">
      <c r="A326" s="335">
        <v>45362</v>
      </c>
      <c r="B326" s="203"/>
      <c r="C326" s="461"/>
      <c r="D326" s="829" t="s">
        <v>2105</v>
      </c>
      <c r="E326" s="336"/>
      <c r="F326" s="151"/>
      <c r="K326" s="201"/>
      <c r="M326" s="151"/>
      <c r="R326" s="154"/>
      <c r="S326" s="154"/>
      <c r="T326" s="154"/>
    </row>
    <row r="327" spans="1:20" s="149" customFormat="1" ht="18" customHeight="1" x14ac:dyDescent="0.25">
      <c r="A327" s="335"/>
      <c r="B327" s="203"/>
      <c r="C327" s="461">
        <v>90</v>
      </c>
      <c r="D327" s="808" t="s">
        <v>2183</v>
      </c>
      <c r="E327" s="336"/>
      <c r="F327" s="151"/>
      <c r="K327" s="201"/>
      <c r="M327" s="151"/>
      <c r="R327" s="154"/>
      <c r="S327" s="154"/>
      <c r="T327" s="154"/>
    </row>
    <row r="328" spans="1:20" s="149" customFormat="1" ht="18" customHeight="1" x14ac:dyDescent="0.25">
      <c r="A328" s="335"/>
      <c r="B328" s="203"/>
      <c r="C328" s="461">
        <v>90</v>
      </c>
      <c r="D328" s="808" t="s">
        <v>2106</v>
      </c>
      <c r="E328" s="336"/>
      <c r="F328" s="151"/>
      <c r="K328" s="201"/>
      <c r="M328" s="151"/>
      <c r="R328" s="154"/>
      <c r="S328" s="154"/>
      <c r="T328" s="154"/>
    </row>
    <row r="329" spans="1:20" s="149" customFormat="1" ht="18" customHeight="1" thickBot="1" x14ac:dyDescent="0.3">
      <c r="A329" s="335"/>
      <c r="B329" s="203">
        <v>10</v>
      </c>
      <c r="C329" s="461"/>
      <c r="D329" s="808" t="s">
        <v>2185</v>
      </c>
      <c r="E329" s="336"/>
      <c r="F329" s="151"/>
      <c r="K329" s="201"/>
      <c r="M329" s="151"/>
      <c r="R329" s="154"/>
      <c r="S329" s="154"/>
      <c r="T329" s="154"/>
    </row>
    <row r="330" spans="1:20" s="149" customFormat="1" ht="18" customHeight="1" thickBot="1" x14ac:dyDescent="0.3">
      <c r="A330" s="335"/>
      <c r="B330" s="398"/>
      <c r="C330" s="461"/>
      <c r="D330" s="597"/>
      <c r="E330" s="463"/>
      <c r="F330" s="352"/>
      <c r="G330" s="350"/>
      <c r="H330" s="350"/>
      <c r="I330" s="350"/>
      <c r="J330" s="350"/>
      <c r="K330" s="351"/>
      <c r="L330" s="350"/>
      <c r="M330" s="352"/>
      <c r="N330" s="350"/>
      <c r="O330" s="350"/>
      <c r="P330" s="350"/>
      <c r="Q330" s="350"/>
      <c r="R330" s="176"/>
      <c r="S330" s="176"/>
      <c r="T330" s="760"/>
    </row>
    <row r="331" spans="1:20" s="149" customFormat="1" ht="18" customHeight="1" x14ac:dyDescent="0.25">
      <c r="A331" s="335"/>
      <c r="B331" s="203"/>
      <c r="C331" s="461"/>
      <c r="D331" s="597"/>
      <c r="E331" s="336"/>
      <c r="F331" s="151"/>
      <c r="K331" s="201"/>
      <c r="M331" s="151"/>
      <c r="R331" s="154"/>
      <c r="S331" s="154"/>
      <c r="T331" s="154"/>
    </row>
    <row r="332" spans="1:20" s="149" customFormat="1" ht="18" customHeight="1" x14ac:dyDescent="0.25">
      <c r="A332" s="335">
        <v>45363</v>
      </c>
      <c r="B332" s="203">
        <v>20</v>
      </c>
      <c r="C332" s="461"/>
      <c r="D332" s="597" t="s">
        <v>2107</v>
      </c>
      <c r="E332" s="336"/>
      <c r="F332" s="151"/>
      <c r="K332" s="201"/>
      <c r="M332" s="151"/>
      <c r="R332" s="154"/>
      <c r="S332" s="154"/>
      <c r="T332" s="154"/>
    </row>
    <row r="333" spans="1:20" s="149" customFormat="1" ht="18" customHeight="1" x14ac:dyDescent="0.25">
      <c r="A333" s="335"/>
      <c r="B333" s="203">
        <v>90</v>
      </c>
      <c r="C333" s="461"/>
      <c r="D333" s="808" t="s">
        <v>1856</v>
      </c>
      <c r="E333" s="336"/>
      <c r="F333" s="151"/>
      <c r="K333" s="201"/>
      <c r="M333" s="151"/>
      <c r="R333" s="154"/>
      <c r="S333" s="154"/>
      <c r="T333" s="154"/>
    </row>
    <row r="334" spans="1:20" s="149" customFormat="1" ht="18" customHeight="1" thickBot="1" x14ac:dyDescent="0.3">
      <c r="A334" s="335"/>
      <c r="B334" s="203">
        <v>90</v>
      </c>
      <c r="C334" s="461"/>
      <c r="D334" s="808" t="s">
        <v>2108</v>
      </c>
      <c r="E334" s="336"/>
      <c r="F334" s="151"/>
      <c r="K334" s="201"/>
      <c r="M334" s="151"/>
      <c r="R334" s="154"/>
      <c r="S334" s="154"/>
      <c r="T334" s="154"/>
    </row>
    <row r="335" spans="1:20" s="149" customFormat="1" ht="18" customHeight="1" thickBot="1" x14ac:dyDescent="0.3">
      <c r="A335" s="335"/>
      <c r="B335" s="398">
        <f>SUM(B332:B334)</f>
        <v>200</v>
      </c>
      <c r="C335" s="461"/>
      <c r="D335" s="597"/>
      <c r="E335" s="463"/>
      <c r="F335" s="352"/>
      <c r="G335" s="350"/>
      <c r="H335" s="350"/>
      <c r="I335" s="350"/>
      <c r="J335" s="350"/>
      <c r="K335" s="351"/>
      <c r="L335" s="350"/>
      <c r="M335" s="352"/>
      <c r="N335" s="350"/>
      <c r="O335" s="350"/>
      <c r="P335" s="350"/>
      <c r="Q335" s="350"/>
      <c r="R335" s="176"/>
      <c r="S335" s="176"/>
      <c r="T335" s="760"/>
    </row>
    <row r="336" spans="1:20" s="149" customFormat="1" ht="18" customHeight="1" x14ac:dyDescent="0.25">
      <c r="A336" s="335"/>
      <c r="B336" s="203"/>
      <c r="C336" s="461"/>
      <c r="D336" s="597"/>
      <c r="E336" s="336"/>
      <c r="F336" s="151"/>
      <c r="K336" s="201"/>
      <c r="M336" s="151"/>
      <c r="R336" s="154"/>
      <c r="S336" s="154"/>
      <c r="T336" s="154"/>
    </row>
    <row r="337" spans="1:20" s="395" customFormat="1" ht="18" customHeight="1" x14ac:dyDescent="0.25">
      <c r="A337" s="181">
        <v>45364</v>
      </c>
      <c r="B337" s="397">
        <v>100</v>
      </c>
      <c r="C337" s="205">
        <v>200</v>
      </c>
      <c r="D337" s="693" t="s">
        <v>2199</v>
      </c>
      <c r="E337" s="403"/>
      <c r="F337" s="394"/>
      <c r="K337" s="396"/>
      <c r="M337" s="394"/>
      <c r="R337" s="393"/>
      <c r="S337" s="393"/>
      <c r="T337" s="393"/>
    </row>
    <row r="338" spans="1:20" s="149" customFormat="1" ht="18" customHeight="1" thickBot="1" x14ac:dyDescent="0.3">
      <c r="A338" s="335"/>
      <c r="B338" s="397">
        <v>150</v>
      </c>
      <c r="C338" s="461"/>
      <c r="D338" s="808" t="s">
        <v>2186</v>
      </c>
      <c r="E338" s="403"/>
      <c r="F338" s="394"/>
      <c r="G338" s="395"/>
      <c r="H338" s="395"/>
      <c r="I338" s="395"/>
      <c r="J338" s="395"/>
      <c r="K338" s="396"/>
      <c r="L338" s="395"/>
      <c r="M338" s="394"/>
      <c r="N338" s="395"/>
      <c r="O338" s="395"/>
      <c r="P338" s="395"/>
      <c r="Q338" s="395"/>
      <c r="R338" s="393"/>
      <c r="S338" s="393"/>
      <c r="T338" s="393"/>
    </row>
    <row r="339" spans="1:20" s="149" customFormat="1" ht="18" customHeight="1" thickBot="1" x14ac:dyDescent="0.3">
      <c r="A339" s="335"/>
      <c r="B339" s="398">
        <f>SUM(B337:B338)</f>
        <v>250</v>
      </c>
      <c r="C339" s="461"/>
      <c r="D339" s="597"/>
      <c r="E339" s="463"/>
      <c r="F339" s="352"/>
      <c r="G339" s="350"/>
      <c r="H339" s="350"/>
      <c r="I339" s="350"/>
      <c r="J339" s="350"/>
      <c r="K339" s="351"/>
      <c r="L339" s="350"/>
      <c r="M339" s="352"/>
      <c r="N339" s="350"/>
      <c r="O339" s="350"/>
      <c r="P339" s="350"/>
      <c r="Q339" s="350"/>
      <c r="R339" s="176"/>
      <c r="S339" s="176"/>
      <c r="T339" s="760"/>
    </row>
    <row r="340" spans="1:20" s="149" customFormat="1" ht="18" customHeight="1" thickBot="1" x14ac:dyDescent="0.3">
      <c r="A340" s="335"/>
      <c r="B340" s="203"/>
      <c r="C340" s="461"/>
      <c r="D340" s="597"/>
      <c r="E340" s="336"/>
      <c r="F340" s="151"/>
      <c r="K340" s="201"/>
      <c r="M340" s="151"/>
      <c r="R340" s="154"/>
      <c r="S340" s="154"/>
      <c r="T340" s="154"/>
    </row>
    <row r="341" spans="1:20" s="149" customFormat="1" ht="18" customHeight="1" thickBot="1" x14ac:dyDescent="0.3">
      <c r="A341" s="335">
        <v>45365</v>
      </c>
      <c r="B341" s="398">
        <v>135</v>
      </c>
      <c r="C341" s="461"/>
      <c r="D341" s="808" t="s">
        <v>2166</v>
      </c>
      <c r="E341" s="463"/>
      <c r="F341" s="352"/>
      <c r="G341" s="350"/>
      <c r="H341" s="350"/>
      <c r="I341" s="350"/>
      <c r="J341" s="350"/>
      <c r="K341" s="351"/>
      <c r="L341" s="350"/>
      <c r="M341" s="352"/>
      <c r="N341" s="350"/>
      <c r="O341" s="350"/>
      <c r="P341" s="350"/>
      <c r="Q341" s="350"/>
      <c r="R341" s="176"/>
      <c r="S341" s="176"/>
      <c r="T341" s="760"/>
    </row>
    <row r="342" spans="1:20" s="149" customFormat="1" ht="18" customHeight="1" x14ac:dyDescent="0.25">
      <c r="A342" s="335"/>
      <c r="B342" s="397"/>
      <c r="C342" s="461"/>
      <c r="D342" s="597"/>
      <c r="E342" s="403"/>
      <c r="F342" s="394"/>
      <c r="G342" s="395"/>
      <c r="H342" s="395"/>
      <c r="I342" s="395"/>
      <c r="J342" s="395"/>
      <c r="K342" s="396"/>
      <c r="L342" s="395"/>
      <c r="M342" s="394"/>
      <c r="N342" s="395"/>
      <c r="O342" s="395"/>
      <c r="P342" s="395"/>
      <c r="Q342" s="395"/>
      <c r="R342" s="393"/>
      <c r="S342" s="393"/>
      <c r="T342" s="393"/>
    </row>
    <row r="343" spans="1:20" s="149" customFormat="1" ht="18" customHeight="1" x14ac:dyDescent="0.25">
      <c r="A343" s="335">
        <v>45366</v>
      </c>
      <c r="B343" s="397">
        <v>20</v>
      </c>
      <c r="C343" s="461"/>
      <c r="D343" s="808" t="s">
        <v>2167</v>
      </c>
      <c r="E343" s="403"/>
      <c r="F343" s="394"/>
      <c r="G343" s="395"/>
      <c r="H343" s="395"/>
      <c r="I343" s="395"/>
      <c r="J343" s="395"/>
      <c r="K343" s="396"/>
      <c r="L343" s="395"/>
      <c r="M343" s="394"/>
      <c r="N343" s="395"/>
      <c r="O343" s="395"/>
      <c r="P343" s="395"/>
      <c r="Q343" s="395"/>
      <c r="R343" s="393"/>
      <c r="S343" s="393"/>
      <c r="T343" s="393"/>
    </row>
    <row r="344" spans="1:20" s="149" customFormat="1" ht="18" customHeight="1" thickBot="1" x14ac:dyDescent="0.3">
      <c r="A344" s="335"/>
      <c r="B344" s="397">
        <v>10</v>
      </c>
      <c r="C344" s="461"/>
      <c r="D344" s="808" t="s">
        <v>2168</v>
      </c>
      <c r="E344" s="403"/>
      <c r="F344" s="394"/>
      <c r="G344" s="395"/>
      <c r="H344" s="395"/>
      <c r="I344" s="395"/>
      <c r="J344" s="395"/>
      <c r="K344" s="396"/>
      <c r="L344" s="395"/>
      <c r="M344" s="394"/>
      <c r="N344" s="395"/>
      <c r="O344" s="395"/>
      <c r="P344" s="395"/>
      <c r="Q344" s="395"/>
      <c r="R344" s="393"/>
      <c r="S344" s="393"/>
      <c r="T344" s="393"/>
    </row>
    <row r="345" spans="1:20" s="149" customFormat="1" ht="18" customHeight="1" thickBot="1" x14ac:dyDescent="0.3">
      <c r="A345" s="335"/>
      <c r="B345" s="398">
        <f>SUM(B343:B344)</f>
        <v>30</v>
      </c>
      <c r="C345" s="461"/>
      <c r="D345" s="597"/>
      <c r="E345" s="463"/>
      <c r="F345" s="352"/>
      <c r="G345" s="350"/>
      <c r="H345" s="350"/>
      <c r="I345" s="350"/>
      <c r="J345" s="350"/>
      <c r="K345" s="351"/>
      <c r="L345" s="350"/>
      <c r="M345" s="352"/>
      <c r="N345" s="350"/>
      <c r="O345" s="350"/>
      <c r="P345" s="350"/>
      <c r="Q345" s="350"/>
      <c r="R345" s="176"/>
      <c r="S345" s="176"/>
      <c r="T345" s="760"/>
    </row>
    <row r="346" spans="1:20" s="149" customFormat="1" ht="18" customHeight="1" thickBot="1" x14ac:dyDescent="0.3">
      <c r="A346" s="335"/>
      <c r="B346" s="397"/>
      <c r="C346" s="461"/>
      <c r="D346" s="597"/>
      <c r="E346" s="403"/>
      <c r="F346" s="394"/>
      <c r="G346" s="395"/>
      <c r="H346" s="395"/>
      <c r="I346" s="395"/>
      <c r="J346" s="395"/>
      <c r="K346" s="396"/>
      <c r="L346" s="395"/>
      <c r="M346" s="394"/>
      <c r="N346" s="395"/>
      <c r="O346" s="395"/>
      <c r="P346" s="395"/>
      <c r="Q346" s="395"/>
      <c r="R346" s="393"/>
      <c r="S346" s="393"/>
      <c r="T346" s="393"/>
    </row>
    <row r="347" spans="1:20" s="149" customFormat="1" ht="18" customHeight="1" thickBot="1" x14ac:dyDescent="0.3">
      <c r="A347" s="335">
        <v>45367</v>
      </c>
      <c r="B347" s="398">
        <v>100</v>
      </c>
      <c r="C347" s="461"/>
      <c r="D347" s="808" t="s">
        <v>2198</v>
      </c>
      <c r="E347" s="463"/>
      <c r="F347" s="352"/>
      <c r="G347" s="350"/>
      <c r="H347" s="350"/>
      <c r="I347" s="350"/>
      <c r="J347" s="350"/>
      <c r="K347" s="351"/>
      <c r="L347" s="350"/>
      <c r="M347" s="352"/>
      <c r="N347" s="350"/>
      <c r="O347" s="350"/>
      <c r="P347" s="350"/>
      <c r="Q347" s="350"/>
      <c r="R347" s="176"/>
      <c r="S347" s="176"/>
      <c r="T347" s="760"/>
    </row>
    <row r="348" spans="1:20" s="149" customFormat="1" ht="18" customHeight="1" x14ac:dyDescent="0.25">
      <c r="A348" s="335"/>
      <c r="B348" s="397"/>
      <c r="C348" s="461"/>
      <c r="D348" s="597"/>
      <c r="E348" s="403"/>
      <c r="F348" s="394"/>
      <c r="G348" s="395"/>
      <c r="H348" s="395"/>
      <c r="I348" s="395"/>
      <c r="J348" s="395"/>
      <c r="K348" s="396"/>
      <c r="L348" s="395"/>
      <c r="M348" s="394"/>
      <c r="N348" s="395"/>
      <c r="O348" s="395"/>
      <c r="P348" s="395"/>
      <c r="Q348" s="395"/>
      <c r="R348" s="393"/>
      <c r="S348" s="393"/>
      <c r="T348" s="393"/>
    </row>
    <row r="349" spans="1:20" s="149" customFormat="1" ht="18" customHeight="1" x14ac:dyDescent="0.25">
      <c r="A349" s="335">
        <v>45369</v>
      </c>
      <c r="B349" s="397">
        <v>115</v>
      </c>
      <c r="C349" s="461"/>
      <c r="D349" s="808" t="s">
        <v>2169</v>
      </c>
      <c r="E349" s="403"/>
      <c r="F349" s="394"/>
      <c r="G349" s="395"/>
      <c r="H349" s="395"/>
      <c r="I349" s="395"/>
      <c r="J349" s="395"/>
      <c r="K349" s="396"/>
      <c r="L349" s="395"/>
      <c r="M349" s="394"/>
      <c r="N349" s="395"/>
      <c r="O349" s="395"/>
      <c r="P349" s="395"/>
      <c r="Q349" s="395"/>
      <c r="R349" s="393"/>
      <c r="S349" s="393"/>
      <c r="T349" s="393"/>
    </row>
    <row r="350" spans="1:20" s="149" customFormat="1" ht="18" customHeight="1" x14ac:dyDescent="0.25">
      <c r="A350" s="335"/>
      <c r="B350" s="397">
        <v>90</v>
      </c>
      <c r="C350" s="461"/>
      <c r="D350" s="808" t="s">
        <v>2187</v>
      </c>
      <c r="E350" s="403"/>
      <c r="F350" s="394"/>
      <c r="G350" s="395"/>
      <c r="H350" s="395"/>
      <c r="I350" s="395"/>
      <c r="J350" s="395"/>
      <c r="K350" s="396"/>
      <c r="L350" s="395"/>
      <c r="M350" s="394"/>
      <c r="N350" s="395"/>
      <c r="O350" s="395"/>
      <c r="P350" s="395"/>
      <c r="Q350" s="395"/>
      <c r="R350" s="393"/>
      <c r="S350" s="393"/>
      <c r="T350" s="393"/>
    </row>
    <row r="351" spans="1:20" s="149" customFormat="1" ht="18" customHeight="1" x14ac:dyDescent="0.25">
      <c r="A351" s="335"/>
      <c r="B351" s="397">
        <v>150</v>
      </c>
      <c r="C351" s="461"/>
      <c r="D351" s="808" t="s">
        <v>2170</v>
      </c>
      <c r="E351" s="403"/>
      <c r="F351" s="394"/>
      <c r="G351" s="395"/>
      <c r="H351" s="395"/>
      <c r="I351" s="395"/>
      <c r="J351" s="395"/>
      <c r="K351" s="396"/>
      <c r="L351" s="395"/>
      <c r="M351" s="394"/>
      <c r="N351" s="395"/>
      <c r="O351" s="395"/>
      <c r="P351" s="395"/>
      <c r="Q351" s="395"/>
      <c r="R351" s="393"/>
      <c r="S351" s="393"/>
      <c r="T351" s="393"/>
    </row>
    <row r="352" spans="1:20" s="149" customFormat="1" ht="18" customHeight="1" thickBot="1" x14ac:dyDescent="0.3">
      <c r="A352" s="335"/>
      <c r="B352" s="397">
        <v>10</v>
      </c>
      <c r="C352" s="461"/>
      <c r="D352" s="808" t="s">
        <v>2188</v>
      </c>
      <c r="E352" s="403"/>
      <c r="F352" s="394"/>
      <c r="G352" s="395"/>
      <c r="H352" s="395"/>
      <c r="I352" s="395"/>
      <c r="J352" s="395"/>
      <c r="K352" s="396"/>
      <c r="L352" s="395"/>
      <c r="M352" s="394"/>
      <c r="N352" s="395"/>
      <c r="O352" s="395"/>
      <c r="P352" s="395"/>
      <c r="Q352" s="395"/>
      <c r="R352" s="393"/>
      <c r="S352" s="393"/>
      <c r="T352" s="393"/>
    </row>
    <row r="353" spans="1:20" s="149" customFormat="1" ht="18" customHeight="1" thickBot="1" x14ac:dyDescent="0.3">
      <c r="A353" s="335"/>
      <c r="B353" s="398">
        <f>SUM(B349:B352)</f>
        <v>365</v>
      </c>
      <c r="C353" s="461"/>
      <c r="D353" s="597"/>
      <c r="E353" s="463"/>
      <c r="F353" s="352"/>
      <c r="G353" s="350"/>
      <c r="H353" s="350"/>
      <c r="I353" s="350"/>
      <c r="J353" s="350"/>
      <c r="K353" s="351"/>
      <c r="L353" s="350"/>
      <c r="M353" s="352"/>
      <c r="N353" s="350"/>
      <c r="O353" s="350"/>
      <c r="P353" s="350"/>
      <c r="Q353" s="350"/>
      <c r="R353" s="176"/>
      <c r="S353" s="176"/>
      <c r="T353" s="760"/>
    </row>
    <row r="354" spans="1:20" s="149" customFormat="1" ht="18" customHeight="1" thickBot="1" x14ac:dyDescent="0.3">
      <c r="A354" s="335"/>
      <c r="B354" s="397"/>
      <c r="C354" s="461"/>
      <c r="D354" s="597"/>
      <c r="E354" s="403"/>
      <c r="F354" s="394"/>
      <c r="G354" s="395"/>
      <c r="H354" s="395"/>
      <c r="I354" s="395"/>
      <c r="J354" s="395"/>
      <c r="K354" s="396"/>
      <c r="L354" s="395"/>
      <c r="M354" s="394"/>
      <c r="N354" s="395"/>
      <c r="O354" s="395"/>
      <c r="P354" s="395"/>
      <c r="Q354" s="395"/>
      <c r="R354" s="393"/>
      <c r="S354" s="393"/>
      <c r="T354" s="393"/>
    </row>
    <row r="355" spans="1:20" s="149" customFormat="1" ht="18" customHeight="1" thickBot="1" x14ac:dyDescent="0.3">
      <c r="A355" s="335">
        <v>45371</v>
      </c>
      <c r="B355" s="398">
        <v>110</v>
      </c>
      <c r="C355" s="461"/>
      <c r="D355" s="808" t="s">
        <v>2202</v>
      </c>
      <c r="E355" s="463"/>
      <c r="F355" s="352"/>
      <c r="G355" s="350"/>
      <c r="H355" s="350"/>
      <c r="I355" s="350"/>
      <c r="J355" s="350"/>
      <c r="K355" s="351"/>
      <c r="L355" s="350"/>
      <c r="M355" s="352"/>
      <c r="N355" s="350"/>
      <c r="O355" s="350"/>
      <c r="P355" s="350"/>
      <c r="Q355" s="350"/>
      <c r="R355" s="176"/>
      <c r="S355" s="176"/>
      <c r="T355" s="760"/>
    </row>
    <row r="356" spans="1:20" s="149" customFormat="1" ht="18" customHeight="1" x14ac:dyDescent="0.25">
      <c r="A356" s="335"/>
      <c r="B356" s="397"/>
      <c r="C356" s="461"/>
      <c r="D356" s="597"/>
      <c r="E356" s="403"/>
      <c r="F356" s="394"/>
      <c r="G356" s="395"/>
      <c r="H356" s="395"/>
      <c r="I356" s="395"/>
      <c r="J356" s="395"/>
      <c r="K356" s="396"/>
      <c r="L356" s="395"/>
      <c r="M356" s="394"/>
      <c r="N356" s="395"/>
      <c r="O356" s="395"/>
      <c r="P356" s="395"/>
      <c r="Q356" s="395"/>
      <c r="R356" s="393"/>
      <c r="S356" s="393"/>
      <c r="T356" s="393"/>
    </row>
    <row r="357" spans="1:20" s="149" customFormat="1" ht="18" customHeight="1" x14ac:dyDescent="0.25">
      <c r="A357" s="335">
        <v>45372</v>
      </c>
      <c r="B357" s="397">
        <v>90</v>
      </c>
      <c r="C357" s="461"/>
      <c r="D357" s="808" t="s">
        <v>2203</v>
      </c>
      <c r="E357" s="403"/>
      <c r="F357" s="394"/>
      <c r="G357" s="395"/>
      <c r="H357" s="395"/>
      <c r="I357" s="395"/>
      <c r="J357" s="395"/>
      <c r="K357" s="396"/>
      <c r="L357" s="395"/>
      <c r="M357" s="394"/>
      <c r="N357" s="395"/>
      <c r="O357" s="395"/>
      <c r="P357" s="395"/>
      <c r="Q357" s="395"/>
      <c r="R357" s="393"/>
      <c r="S357" s="393"/>
      <c r="T357" s="393"/>
    </row>
    <row r="358" spans="1:20" s="149" customFormat="1" ht="18" customHeight="1" thickBot="1" x14ac:dyDescent="0.3">
      <c r="A358" s="335"/>
      <c r="B358" s="397">
        <v>30</v>
      </c>
      <c r="C358" s="461"/>
      <c r="D358" s="808" t="s">
        <v>2204</v>
      </c>
      <c r="E358" s="403"/>
      <c r="F358" s="394"/>
      <c r="G358" s="395"/>
      <c r="H358" s="395"/>
      <c r="I358" s="395"/>
      <c r="J358" s="395"/>
      <c r="K358" s="396"/>
      <c r="L358" s="395"/>
      <c r="M358" s="394"/>
      <c r="N358" s="395"/>
      <c r="O358" s="395"/>
      <c r="P358" s="395"/>
      <c r="Q358" s="395"/>
      <c r="R358" s="393"/>
      <c r="S358" s="393"/>
      <c r="T358" s="393"/>
    </row>
    <row r="359" spans="1:20" s="149" customFormat="1" ht="18" customHeight="1" thickBot="1" x14ac:dyDescent="0.3">
      <c r="A359" s="335"/>
      <c r="B359" s="398">
        <f>SUM(B357:B358)</f>
        <v>120</v>
      </c>
      <c r="C359" s="461"/>
      <c r="D359" s="597"/>
      <c r="E359" s="463"/>
      <c r="F359" s="352"/>
      <c r="G359" s="350"/>
      <c r="H359" s="350"/>
      <c r="I359" s="350"/>
      <c r="J359" s="350"/>
      <c r="K359" s="351"/>
      <c r="L359" s="350"/>
      <c r="M359" s="352"/>
      <c r="N359" s="350"/>
      <c r="O359" s="350"/>
      <c r="P359" s="350"/>
      <c r="Q359" s="350"/>
      <c r="R359" s="176"/>
      <c r="S359" s="176"/>
      <c r="T359" s="760"/>
    </row>
    <row r="360" spans="1:20" s="149" customFormat="1" ht="18" customHeight="1" x14ac:dyDescent="0.25">
      <c r="A360" s="335"/>
      <c r="B360" s="397"/>
      <c r="C360" s="461"/>
      <c r="D360" s="597"/>
      <c r="E360" s="403"/>
      <c r="F360" s="394"/>
      <c r="G360" s="395"/>
      <c r="H360" s="395"/>
      <c r="I360" s="395"/>
      <c r="J360" s="395"/>
      <c r="K360" s="396"/>
      <c r="L360" s="395"/>
      <c r="M360" s="394"/>
      <c r="N360" s="395"/>
      <c r="O360" s="395"/>
      <c r="P360" s="395"/>
      <c r="Q360" s="395"/>
      <c r="R360" s="393"/>
      <c r="S360" s="393"/>
      <c r="T360" s="393"/>
    </row>
    <row r="361" spans="1:20" s="149" customFormat="1" ht="18" customHeight="1" x14ac:dyDescent="0.25">
      <c r="A361" s="335">
        <v>45374</v>
      </c>
      <c r="B361" s="397">
        <v>55</v>
      </c>
      <c r="C361" s="461"/>
      <c r="D361" s="808" t="s">
        <v>2205</v>
      </c>
      <c r="E361" s="403"/>
      <c r="F361" s="394"/>
      <c r="G361" s="395"/>
      <c r="H361" s="395"/>
      <c r="I361" s="395"/>
      <c r="J361" s="395"/>
      <c r="K361" s="396"/>
      <c r="L361" s="395"/>
      <c r="M361" s="394"/>
      <c r="N361" s="395"/>
      <c r="O361" s="395"/>
      <c r="P361" s="395"/>
      <c r="Q361" s="395"/>
      <c r="R361" s="393"/>
      <c r="S361" s="393"/>
      <c r="T361" s="393"/>
    </row>
    <row r="362" spans="1:20" s="149" customFormat="1" ht="18" customHeight="1" x14ac:dyDescent="0.25">
      <c r="A362" s="335"/>
      <c r="B362" s="397"/>
      <c r="C362" s="461"/>
      <c r="D362" s="808" t="s">
        <v>2206</v>
      </c>
      <c r="E362" s="403"/>
      <c r="F362" s="394"/>
      <c r="G362" s="395"/>
      <c r="H362" s="395"/>
      <c r="I362" s="395"/>
      <c r="J362" s="395"/>
      <c r="K362" s="396"/>
      <c r="L362" s="395"/>
      <c r="M362" s="394"/>
      <c r="N362" s="395"/>
      <c r="O362" s="395"/>
      <c r="P362" s="395"/>
      <c r="Q362" s="395"/>
      <c r="R362" s="393"/>
      <c r="S362" s="393"/>
      <c r="T362" s="393"/>
    </row>
    <row r="363" spans="1:20" s="149" customFormat="1" ht="18" customHeight="1" x14ac:dyDescent="0.25">
      <c r="A363" s="335"/>
      <c r="B363" s="397"/>
      <c r="C363" s="461">
        <v>150</v>
      </c>
      <c r="D363" s="808" t="s">
        <v>2207</v>
      </c>
      <c r="E363" s="403"/>
      <c r="F363" s="394"/>
      <c r="G363" s="395"/>
      <c r="H363" s="395"/>
      <c r="I363" s="395"/>
      <c r="J363" s="395"/>
      <c r="K363" s="396"/>
      <c r="L363" s="395"/>
      <c r="M363" s="394"/>
      <c r="N363" s="395"/>
      <c r="O363" s="395"/>
      <c r="P363" s="395"/>
      <c r="Q363" s="395"/>
      <c r="R363" s="393"/>
      <c r="S363" s="393"/>
      <c r="T363" s="393"/>
    </row>
    <row r="364" spans="1:20" s="149" customFormat="1" ht="18" customHeight="1" x14ac:dyDescent="0.25">
      <c r="A364" s="335"/>
      <c r="B364" s="397"/>
      <c r="C364" s="461">
        <v>90</v>
      </c>
      <c r="D364" s="808" t="s">
        <v>2208</v>
      </c>
      <c r="E364" s="403"/>
      <c r="F364" s="394"/>
      <c r="G364" s="395"/>
      <c r="H364" s="395"/>
      <c r="I364" s="395"/>
      <c r="J364" s="395"/>
      <c r="K364" s="396"/>
      <c r="L364" s="395"/>
      <c r="M364" s="394"/>
      <c r="N364" s="395"/>
      <c r="O364" s="395"/>
      <c r="P364" s="395"/>
      <c r="Q364" s="395"/>
      <c r="R364" s="393"/>
      <c r="S364" s="393"/>
      <c r="T364" s="393"/>
    </row>
    <row r="365" spans="1:20" s="149" customFormat="1" ht="18" customHeight="1" x14ac:dyDescent="0.25">
      <c r="A365" s="335"/>
      <c r="B365" s="397">
        <v>110</v>
      </c>
      <c r="C365" s="461"/>
      <c r="D365" s="808" t="s">
        <v>2209</v>
      </c>
      <c r="E365" s="403"/>
      <c r="F365" s="394"/>
      <c r="G365" s="395"/>
      <c r="H365" s="395"/>
      <c r="I365" s="395"/>
      <c r="J365" s="395"/>
      <c r="K365" s="396"/>
      <c r="L365" s="395"/>
      <c r="M365" s="394"/>
      <c r="N365" s="395"/>
      <c r="O365" s="395"/>
      <c r="P365" s="395"/>
      <c r="Q365" s="395"/>
      <c r="R365" s="393"/>
      <c r="S365" s="393"/>
      <c r="T365" s="393"/>
    </row>
    <row r="366" spans="1:20" s="149" customFormat="1" ht="18" customHeight="1" x14ac:dyDescent="0.25">
      <c r="A366" s="335"/>
      <c r="B366" s="397">
        <v>110</v>
      </c>
      <c r="C366" s="461"/>
      <c r="D366" s="808" t="s">
        <v>2210</v>
      </c>
      <c r="E366" s="403"/>
      <c r="F366" s="394"/>
      <c r="G366" s="395"/>
      <c r="H366" s="395"/>
      <c r="I366" s="395"/>
      <c r="J366" s="395"/>
      <c r="K366" s="396"/>
      <c r="L366" s="395"/>
      <c r="M366" s="394"/>
      <c r="N366" s="395"/>
      <c r="O366" s="395"/>
      <c r="P366" s="395"/>
      <c r="Q366" s="395"/>
      <c r="R366" s="393"/>
      <c r="S366" s="393"/>
      <c r="T366" s="393"/>
    </row>
    <row r="367" spans="1:20" s="149" customFormat="1" ht="18" customHeight="1" thickBot="1" x14ac:dyDescent="0.3">
      <c r="A367" s="335"/>
      <c r="B367" s="397">
        <v>20</v>
      </c>
      <c r="C367" s="461"/>
      <c r="D367" s="808" t="s">
        <v>2197</v>
      </c>
      <c r="E367" s="403"/>
      <c r="F367" s="394"/>
      <c r="G367" s="395"/>
      <c r="H367" s="395"/>
      <c r="I367" s="395"/>
      <c r="J367" s="395"/>
      <c r="K367" s="396"/>
      <c r="L367" s="395"/>
      <c r="M367" s="394"/>
      <c r="N367" s="395"/>
      <c r="O367" s="395"/>
      <c r="P367" s="395"/>
      <c r="Q367" s="395"/>
      <c r="R367" s="393"/>
      <c r="S367" s="393"/>
      <c r="T367" s="393"/>
    </row>
    <row r="368" spans="1:20" s="149" customFormat="1" ht="18" customHeight="1" thickBot="1" x14ac:dyDescent="0.3">
      <c r="A368" s="335"/>
      <c r="B368" s="398">
        <f>SUM(B361:B367)</f>
        <v>295</v>
      </c>
      <c r="C368" s="461"/>
      <c r="D368" s="597"/>
      <c r="E368" s="463"/>
      <c r="F368" s="352"/>
      <c r="G368" s="350"/>
      <c r="H368" s="350"/>
      <c r="I368" s="350"/>
      <c r="J368" s="350"/>
      <c r="K368" s="351"/>
      <c r="L368" s="350"/>
      <c r="M368" s="352"/>
      <c r="N368" s="350"/>
      <c r="O368" s="350"/>
      <c r="P368" s="350"/>
      <c r="Q368" s="350"/>
      <c r="R368" s="176"/>
      <c r="S368" s="176"/>
      <c r="T368" s="760"/>
    </row>
    <row r="369" spans="1:20" s="149" customFormat="1" ht="18" customHeight="1" x14ac:dyDescent="0.25">
      <c r="A369" s="335"/>
      <c r="B369" s="397"/>
      <c r="C369" s="461"/>
      <c r="D369" s="597"/>
      <c r="E369" s="403"/>
      <c r="F369" s="394"/>
      <c r="G369" s="395"/>
      <c r="H369" s="395"/>
      <c r="I369" s="395"/>
      <c r="J369" s="395"/>
      <c r="K369" s="396"/>
      <c r="L369" s="395"/>
      <c r="M369" s="394"/>
      <c r="N369" s="395"/>
      <c r="O369" s="395"/>
      <c r="P369" s="395"/>
      <c r="Q369" s="395"/>
      <c r="R369" s="393"/>
      <c r="S369" s="393"/>
      <c r="T369" s="393"/>
    </row>
    <row r="370" spans="1:20" s="149" customFormat="1" ht="18" customHeight="1" x14ac:dyDescent="0.25">
      <c r="A370" s="335">
        <v>45376</v>
      </c>
      <c r="B370" s="397">
        <v>30</v>
      </c>
      <c r="C370" s="461"/>
      <c r="D370" s="808" t="s">
        <v>2211</v>
      </c>
      <c r="E370" s="403"/>
      <c r="F370" s="394"/>
      <c r="G370" s="395"/>
      <c r="H370" s="395"/>
      <c r="I370" s="395"/>
      <c r="J370" s="395"/>
      <c r="K370" s="396"/>
      <c r="L370" s="395"/>
      <c r="M370" s="394"/>
      <c r="N370" s="395"/>
      <c r="O370" s="395"/>
      <c r="P370" s="395"/>
      <c r="Q370" s="395"/>
      <c r="R370" s="393"/>
      <c r="S370" s="393"/>
      <c r="T370" s="393"/>
    </row>
    <row r="371" spans="1:20" s="149" customFormat="1" ht="18" customHeight="1" x14ac:dyDescent="0.25">
      <c r="A371" s="335"/>
      <c r="B371" s="397">
        <v>45</v>
      </c>
      <c r="C371" s="461"/>
      <c r="D371" s="808" t="s">
        <v>2212</v>
      </c>
      <c r="E371" s="403"/>
      <c r="F371" s="394"/>
      <c r="G371" s="395"/>
      <c r="H371" s="395"/>
      <c r="I371" s="395"/>
      <c r="J371" s="395"/>
      <c r="K371" s="396"/>
      <c r="L371" s="395"/>
      <c r="M371" s="394"/>
      <c r="N371" s="395"/>
      <c r="O371" s="395"/>
      <c r="P371" s="395"/>
      <c r="Q371" s="395"/>
      <c r="R371" s="393"/>
      <c r="S371" s="393"/>
      <c r="T371" s="393"/>
    </row>
    <row r="372" spans="1:20" s="149" customFormat="1" ht="18" customHeight="1" thickBot="1" x14ac:dyDescent="0.3">
      <c r="A372" s="335"/>
      <c r="B372" s="397">
        <v>10</v>
      </c>
      <c r="C372" s="461"/>
      <c r="D372" s="808" t="s">
        <v>2213</v>
      </c>
      <c r="E372" s="403"/>
      <c r="F372" s="394"/>
      <c r="G372" s="395"/>
      <c r="H372" s="395"/>
      <c r="I372" s="395"/>
      <c r="J372" s="395"/>
      <c r="K372" s="396"/>
      <c r="L372" s="395"/>
      <c r="M372" s="394"/>
      <c r="N372" s="395"/>
      <c r="O372" s="395"/>
      <c r="P372" s="395"/>
      <c r="Q372" s="395"/>
      <c r="R372" s="393"/>
      <c r="S372" s="393"/>
      <c r="T372" s="393"/>
    </row>
    <row r="373" spans="1:20" s="149" customFormat="1" ht="18" customHeight="1" thickBot="1" x14ac:dyDescent="0.3">
      <c r="A373" s="335"/>
      <c r="B373" s="398">
        <f>SUM(B370:B372)</f>
        <v>85</v>
      </c>
      <c r="C373" s="461"/>
      <c r="D373" s="597"/>
      <c r="E373" s="463"/>
      <c r="F373" s="352"/>
      <c r="G373" s="350"/>
      <c r="H373" s="350"/>
      <c r="I373" s="350"/>
      <c r="J373" s="350"/>
      <c r="K373" s="351"/>
      <c r="L373" s="350"/>
      <c r="M373" s="352"/>
      <c r="N373" s="350"/>
      <c r="O373" s="350"/>
      <c r="P373" s="350"/>
      <c r="Q373" s="350"/>
      <c r="R373" s="176"/>
      <c r="S373" s="176"/>
      <c r="T373" s="760"/>
    </row>
    <row r="374" spans="1:20" s="149" customFormat="1" ht="18" customHeight="1" x14ac:dyDescent="0.25">
      <c r="A374" s="335"/>
      <c r="B374" s="397"/>
      <c r="C374" s="461"/>
      <c r="D374" s="597"/>
      <c r="E374" s="403"/>
      <c r="F374" s="394"/>
      <c r="G374" s="395"/>
      <c r="H374" s="395"/>
      <c r="I374" s="395"/>
      <c r="J374" s="395"/>
      <c r="K374" s="396"/>
      <c r="L374" s="395"/>
      <c r="M374" s="394"/>
      <c r="N374" s="395"/>
      <c r="O374" s="395"/>
      <c r="P374" s="395"/>
      <c r="Q374" s="395"/>
      <c r="R374" s="393"/>
      <c r="S374" s="393"/>
      <c r="T374" s="393"/>
    </row>
    <row r="375" spans="1:20" s="149" customFormat="1" ht="18" customHeight="1" x14ac:dyDescent="0.25">
      <c r="A375" s="335">
        <v>45377</v>
      </c>
      <c r="B375" s="397">
        <v>20</v>
      </c>
      <c r="C375" s="461"/>
      <c r="D375" s="808" t="s">
        <v>2220</v>
      </c>
      <c r="E375" s="403"/>
      <c r="F375" s="394"/>
      <c r="G375" s="395"/>
      <c r="H375" s="395"/>
      <c r="I375" s="395"/>
      <c r="J375" s="395"/>
      <c r="K375" s="396"/>
      <c r="L375" s="395"/>
      <c r="M375" s="394"/>
      <c r="N375" s="395"/>
      <c r="O375" s="395"/>
      <c r="P375" s="395"/>
      <c r="Q375" s="395"/>
      <c r="R375" s="393"/>
      <c r="S375" s="393"/>
      <c r="T375" s="393"/>
    </row>
    <row r="376" spans="1:20" s="149" customFormat="1" ht="18" customHeight="1" x14ac:dyDescent="0.25">
      <c r="A376" s="335"/>
      <c r="B376" s="397">
        <v>30</v>
      </c>
      <c r="C376" s="461"/>
      <c r="D376" s="808" t="s">
        <v>2221</v>
      </c>
      <c r="E376" s="403"/>
      <c r="F376" s="394"/>
      <c r="G376" s="395"/>
      <c r="H376" s="395"/>
      <c r="I376" s="395"/>
      <c r="J376" s="395"/>
      <c r="K376" s="396"/>
      <c r="L376" s="395"/>
      <c r="M376" s="394"/>
      <c r="N376" s="395"/>
      <c r="O376" s="395"/>
      <c r="P376" s="395"/>
      <c r="Q376" s="395"/>
      <c r="R376" s="393"/>
      <c r="S376" s="393"/>
      <c r="T376" s="393"/>
    </row>
    <row r="377" spans="1:20" s="149" customFormat="1" ht="18" customHeight="1" x14ac:dyDescent="0.25">
      <c r="A377" s="335"/>
      <c r="B377" s="397"/>
      <c r="C377" s="461"/>
      <c r="D377" s="829" t="s">
        <v>2222</v>
      </c>
      <c r="E377" s="403"/>
      <c r="F377" s="394"/>
      <c r="G377" s="395"/>
      <c r="H377" s="395"/>
      <c r="I377" s="395"/>
      <c r="J377" s="395"/>
      <c r="K377" s="396"/>
      <c r="L377" s="395"/>
      <c r="M377" s="394"/>
      <c r="N377" s="395"/>
      <c r="O377" s="395"/>
      <c r="P377" s="395"/>
      <c r="Q377" s="395"/>
      <c r="R377" s="393"/>
      <c r="S377" s="393"/>
      <c r="T377" s="393"/>
    </row>
    <row r="378" spans="1:20" s="149" customFormat="1" ht="18" customHeight="1" x14ac:dyDescent="0.25">
      <c r="A378" s="335"/>
      <c r="B378" s="397">
        <v>40</v>
      </c>
      <c r="C378" s="461">
        <v>90</v>
      </c>
      <c r="D378" s="808" t="s">
        <v>2187</v>
      </c>
      <c r="E378" s="403"/>
      <c r="F378" s="394"/>
      <c r="G378" s="395"/>
      <c r="H378" s="395"/>
      <c r="I378" s="395"/>
      <c r="J378" s="395"/>
      <c r="K378" s="396"/>
      <c r="L378" s="395"/>
      <c r="M378" s="394"/>
      <c r="N378" s="395"/>
      <c r="O378" s="395"/>
      <c r="P378" s="395"/>
      <c r="Q378" s="395"/>
      <c r="R378" s="393"/>
      <c r="S378" s="393"/>
      <c r="T378" s="393"/>
    </row>
    <row r="379" spans="1:20" s="149" customFormat="1" ht="18" customHeight="1" x14ac:dyDescent="0.25">
      <c r="A379" s="335"/>
      <c r="B379" s="397">
        <v>150</v>
      </c>
      <c r="C379" s="461"/>
      <c r="D379" s="808" t="s">
        <v>2225</v>
      </c>
      <c r="E379" s="403"/>
      <c r="F379" s="394"/>
      <c r="G379" s="395"/>
      <c r="H379" s="395"/>
      <c r="I379" s="395"/>
      <c r="J379" s="395"/>
      <c r="K379" s="396"/>
      <c r="L379" s="395"/>
      <c r="M379" s="394"/>
      <c r="N379" s="395"/>
      <c r="O379" s="395"/>
      <c r="P379" s="395"/>
      <c r="Q379" s="395"/>
      <c r="R379" s="393"/>
      <c r="S379" s="393"/>
      <c r="T379" s="393"/>
    </row>
    <row r="380" spans="1:20" s="149" customFormat="1" ht="18" customHeight="1" x14ac:dyDescent="0.25">
      <c r="A380" s="335"/>
      <c r="B380" s="397">
        <v>60</v>
      </c>
      <c r="C380" s="461"/>
      <c r="D380" s="808" t="s">
        <v>2226</v>
      </c>
      <c r="E380" s="403"/>
      <c r="F380" s="394"/>
      <c r="G380" s="395"/>
      <c r="H380" s="395"/>
      <c r="I380" s="395"/>
      <c r="J380" s="395"/>
      <c r="K380" s="396"/>
      <c r="L380" s="395"/>
      <c r="M380" s="394"/>
      <c r="N380" s="395"/>
      <c r="O380" s="395"/>
      <c r="P380" s="395"/>
      <c r="Q380" s="395"/>
      <c r="R380" s="393"/>
      <c r="S380" s="393"/>
      <c r="T380" s="393"/>
    </row>
    <row r="381" spans="1:20" s="149" customFormat="1" ht="18" customHeight="1" x14ac:dyDescent="0.25">
      <c r="A381" s="335"/>
      <c r="B381" s="397">
        <v>30</v>
      </c>
      <c r="C381" s="461"/>
      <c r="D381" s="808" t="s">
        <v>2227</v>
      </c>
      <c r="E381" s="403"/>
      <c r="F381" s="394"/>
      <c r="G381" s="395"/>
      <c r="H381" s="395"/>
      <c r="I381" s="395"/>
      <c r="J381" s="395"/>
      <c r="K381" s="396"/>
      <c r="L381" s="395"/>
      <c r="M381" s="394"/>
      <c r="N381" s="395"/>
      <c r="O381" s="395"/>
      <c r="P381" s="395"/>
      <c r="Q381" s="395"/>
      <c r="R381" s="393"/>
      <c r="S381" s="393"/>
      <c r="T381" s="393"/>
    </row>
    <row r="382" spans="1:20" s="149" customFormat="1" ht="18" customHeight="1" x14ac:dyDescent="0.25">
      <c r="A382" s="335"/>
      <c r="B382" s="397">
        <v>25</v>
      </c>
      <c r="C382" s="461"/>
      <c r="D382" s="808" t="s">
        <v>2228</v>
      </c>
      <c r="E382" s="403"/>
      <c r="F382" s="394"/>
      <c r="G382" s="395"/>
      <c r="H382" s="395"/>
      <c r="I382" s="395"/>
      <c r="J382" s="395"/>
      <c r="K382" s="396"/>
      <c r="L382" s="395"/>
      <c r="M382" s="394"/>
      <c r="N382" s="395"/>
      <c r="O382" s="395"/>
      <c r="P382" s="395"/>
      <c r="Q382" s="395"/>
      <c r="R382" s="393"/>
      <c r="S382" s="393"/>
      <c r="T382" s="393"/>
    </row>
    <row r="383" spans="1:20" s="149" customFormat="1" ht="18" customHeight="1" x14ac:dyDescent="0.25">
      <c r="A383" s="335"/>
      <c r="B383" s="397">
        <v>50</v>
      </c>
      <c r="C383" s="461"/>
      <c r="D383" s="808" t="s">
        <v>2229</v>
      </c>
      <c r="E383" s="403"/>
      <c r="F383" s="394"/>
      <c r="G383" s="395"/>
      <c r="H383" s="395"/>
      <c r="I383" s="395"/>
      <c r="J383" s="395"/>
      <c r="K383" s="396"/>
      <c r="L383" s="395"/>
      <c r="M383" s="394"/>
      <c r="N383" s="395"/>
      <c r="O383" s="395"/>
      <c r="P383" s="395"/>
      <c r="Q383" s="395"/>
      <c r="R383" s="393"/>
      <c r="S383" s="393"/>
      <c r="T383" s="393"/>
    </row>
    <row r="384" spans="1:20" s="149" customFormat="1" ht="18" customHeight="1" x14ac:dyDescent="0.25">
      <c r="A384" s="335"/>
      <c r="B384" s="397">
        <v>30</v>
      </c>
      <c r="C384" s="461"/>
      <c r="D384" s="808" t="s">
        <v>2230</v>
      </c>
      <c r="E384" s="403"/>
      <c r="F384" s="394"/>
      <c r="G384" s="395"/>
      <c r="H384" s="395"/>
      <c r="I384" s="395"/>
      <c r="J384" s="395"/>
      <c r="K384" s="396"/>
      <c r="L384" s="395"/>
      <c r="M384" s="394"/>
      <c r="N384" s="395"/>
      <c r="O384" s="395"/>
      <c r="P384" s="395"/>
      <c r="Q384" s="395"/>
      <c r="R384" s="393"/>
      <c r="S384" s="393"/>
      <c r="T384" s="393"/>
    </row>
    <row r="385" spans="1:20" s="149" customFormat="1" ht="18" customHeight="1" x14ac:dyDescent="0.25">
      <c r="A385" s="335"/>
      <c r="B385" s="397">
        <v>30</v>
      </c>
      <c r="C385" s="461"/>
      <c r="D385" s="808" t="s">
        <v>2231</v>
      </c>
      <c r="E385" s="403"/>
      <c r="F385" s="394"/>
      <c r="G385" s="395"/>
      <c r="H385" s="395"/>
      <c r="I385" s="395"/>
      <c r="J385" s="395"/>
      <c r="K385" s="396"/>
      <c r="L385" s="395"/>
      <c r="M385" s="394"/>
      <c r="N385" s="395"/>
      <c r="O385" s="395"/>
      <c r="P385" s="395"/>
      <c r="Q385" s="395"/>
      <c r="R385" s="393"/>
      <c r="S385" s="393"/>
      <c r="T385" s="393"/>
    </row>
    <row r="386" spans="1:20" s="149" customFormat="1" ht="18" customHeight="1" x14ac:dyDescent="0.25">
      <c r="A386" s="335"/>
      <c r="B386" s="397"/>
      <c r="C386" s="461"/>
      <c r="D386" s="821" t="s">
        <v>2232</v>
      </c>
      <c r="E386" s="403"/>
      <c r="F386" s="394"/>
      <c r="G386" s="395"/>
      <c r="H386" s="395"/>
      <c r="I386" s="395"/>
      <c r="J386" s="395"/>
      <c r="K386" s="396"/>
      <c r="L386" s="395"/>
      <c r="M386" s="394"/>
      <c r="N386" s="395"/>
      <c r="O386" s="395"/>
      <c r="P386" s="395"/>
      <c r="Q386" s="395"/>
      <c r="R386" s="393"/>
      <c r="S386" s="393"/>
      <c r="T386" s="393"/>
    </row>
    <row r="387" spans="1:20" s="149" customFormat="1" ht="18" customHeight="1" thickBot="1" x14ac:dyDescent="0.3">
      <c r="A387" s="335"/>
      <c r="B387" s="397">
        <v>35</v>
      </c>
      <c r="C387" s="461"/>
      <c r="D387" s="808" t="s">
        <v>2233</v>
      </c>
      <c r="E387" s="403"/>
      <c r="F387" s="394"/>
      <c r="G387" s="395"/>
      <c r="H387" s="395"/>
      <c r="I387" s="395"/>
      <c r="J387" s="395"/>
      <c r="K387" s="396"/>
      <c r="L387" s="395"/>
      <c r="M387" s="394"/>
      <c r="N387" s="395"/>
      <c r="O387" s="395"/>
      <c r="P387" s="395"/>
      <c r="Q387" s="395"/>
      <c r="R387" s="393"/>
      <c r="S387" s="393"/>
      <c r="T387" s="393"/>
    </row>
    <row r="388" spans="1:20" s="149" customFormat="1" ht="18" customHeight="1" thickBot="1" x14ac:dyDescent="0.3">
      <c r="A388" s="335"/>
      <c r="B388" s="398">
        <f>SUM(B375:B387)</f>
        <v>500</v>
      </c>
      <c r="C388" s="461"/>
      <c r="D388" s="597"/>
      <c r="E388" s="463"/>
      <c r="F388" s="352"/>
      <c r="G388" s="350"/>
      <c r="H388" s="350"/>
      <c r="I388" s="350"/>
      <c r="J388" s="350"/>
      <c r="K388" s="351"/>
      <c r="L388" s="350"/>
      <c r="M388" s="352"/>
      <c r="N388" s="350"/>
      <c r="O388" s="350"/>
      <c r="P388" s="350"/>
      <c r="Q388" s="350"/>
      <c r="R388" s="176"/>
      <c r="S388" s="176"/>
      <c r="T388" s="760"/>
    </row>
    <row r="389" spans="1:20" s="149" customFormat="1" ht="18" customHeight="1" x14ac:dyDescent="0.25">
      <c r="A389" s="335"/>
      <c r="B389" s="397"/>
      <c r="C389" s="461"/>
      <c r="D389" s="597"/>
      <c r="E389" s="403"/>
      <c r="F389" s="394"/>
      <c r="G389" s="395"/>
      <c r="H389" s="395"/>
      <c r="I389" s="395"/>
      <c r="J389" s="395"/>
      <c r="K389" s="396"/>
      <c r="L389" s="395"/>
      <c r="M389" s="394"/>
      <c r="N389" s="395"/>
      <c r="O389" s="395"/>
      <c r="P389" s="395"/>
      <c r="Q389" s="395"/>
      <c r="R389" s="393"/>
      <c r="S389" s="393"/>
      <c r="T389" s="393"/>
    </row>
    <row r="390" spans="1:20" s="149" customFormat="1" ht="18" customHeight="1" x14ac:dyDescent="0.25">
      <c r="A390" s="335">
        <v>45378</v>
      </c>
      <c r="B390" s="397">
        <v>20</v>
      </c>
      <c r="C390" s="461"/>
      <c r="D390" s="808" t="s">
        <v>2242</v>
      </c>
      <c r="E390" s="403"/>
      <c r="F390" s="394"/>
      <c r="G390" s="395"/>
      <c r="H390" s="395"/>
      <c r="I390" s="395"/>
      <c r="J390" s="395"/>
      <c r="K390" s="396"/>
      <c r="L390" s="395"/>
      <c r="M390" s="394"/>
      <c r="N390" s="395"/>
      <c r="O390" s="395"/>
      <c r="P390" s="395"/>
      <c r="Q390" s="395"/>
      <c r="R390" s="393"/>
      <c r="S390" s="393"/>
      <c r="T390" s="393"/>
    </row>
    <row r="391" spans="1:20" s="149" customFormat="1" ht="18" customHeight="1" x14ac:dyDescent="0.25">
      <c r="A391" s="335"/>
      <c r="B391" s="397">
        <v>150</v>
      </c>
      <c r="C391" s="461"/>
      <c r="D391" s="808" t="s">
        <v>2243</v>
      </c>
      <c r="E391" s="403"/>
      <c r="F391" s="394"/>
      <c r="G391" s="395"/>
      <c r="H391" s="395"/>
      <c r="I391" s="395"/>
      <c r="J391" s="395"/>
      <c r="K391" s="396"/>
      <c r="L391" s="395"/>
      <c r="M391" s="394"/>
      <c r="N391" s="395"/>
      <c r="O391" s="395"/>
      <c r="P391" s="395"/>
      <c r="Q391" s="395"/>
      <c r="R391" s="393"/>
      <c r="S391" s="393"/>
      <c r="T391" s="393"/>
    </row>
    <row r="392" spans="1:20" s="149" customFormat="1" ht="18" customHeight="1" x14ac:dyDescent="0.25">
      <c r="A392" s="335"/>
      <c r="B392" s="397">
        <v>130</v>
      </c>
      <c r="C392" s="461"/>
      <c r="D392" s="808" t="s">
        <v>2244</v>
      </c>
      <c r="E392" s="403"/>
      <c r="F392" s="394"/>
      <c r="G392" s="395"/>
      <c r="H392" s="395"/>
      <c r="I392" s="395"/>
      <c r="J392" s="395"/>
      <c r="K392" s="396"/>
      <c r="L392" s="395"/>
      <c r="M392" s="394"/>
      <c r="N392" s="395"/>
      <c r="O392" s="395"/>
      <c r="P392" s="395"/>
      <c r="Q392" s="395"/>
      <c r="R392" s="393"/>
      <c r="S392" s="393"/>
      <c r="T392" s="393"/>
    </row>
    <row r="393" spans="1:20" s="149" customFormat="1" ht="18" customHeight="1" x14ac:dyDescent="0.25">
      <c r="A393" s="335"/>
      <c r="B393" s="397">
        <v>55</v>
      </c>
      <c r="C393" s="461"/>
      <c r="D393" s="808" t="s">
        <v>2245</v>
      </c>
      <c r="E393" s="403"/>
      <c r="F393" s="394"/>
      <c r="G393" s="395"/>
      <c r="H393" s="395"/>
      <c r="I393" s="395"/>
      <c r="J393" s="395"/>
      <c r="K393" s="396"/>
      <c r="L393" s="395"/>
      <c r="M393" s="394"/>
      <c r="N393" s="395"/>
      <c r="O393" s="395"/>
      <c r="P393" s="395"/>
      <c r="Q393" s="395"/>
      <c r="R393" s="393"/>
      <c r="S393" s="393"/>
      <c r="T393" s="393"/>
    </row>
    <row r="394" spans="1:20" s="149" customFormat="1" ht="18" customHeight="1" x14ac:dyDescent="0.25">
      <c r="A394" s="335"/>
      <c r="B394" s="397">
        <v>150</v>
      </c>
      <c r="C394" s="461"/>
      <c r="D394" s="808" t="s">
        <v>2246</v>
      </c>
      <c r="E394" s="403"/>
      <c r="F394" s="394"/>
      <c r="G394" s="395"/>
      <c r="H394" s="395"/>
      <c r="I394" s="395"/>
      <c r="J394" s="395"/>
      <c r="K394" s="396"/>
      <c r="L394" s="395"/>
      <c r="M394" s="394"/>
      <c r="N394" s="395"/>
      <c r="O394" s="395"/>
      <c r="P394" s="395"/>
      <c r="Q394" s="395"/>
      <c r="R394" s="393"/>
      <c r="S394" s="393"/>
      <c r="T394" s="393"/>
    </row>
    <row r="395" spans="1:20" s="149" customFormat="1" ht="18" customHeight="1" x14ac:dyDescent="0.25">
      <c r="A395" s="335"/>
      <c r="B395" s="397">
        <v>110</v>
      </c>
      <c r="C395" s="461"/>
      <c r="D395" s="808" t="s">
        <v>2247</v>
      </c>
      <c r="E395" s="403"/>
      <c r="F395" s="394"/>
      <c r="G395" s="395"/>
      <c r="H395" s="395"/>
      <c r="I395" s="395"/>
      <c r="J395" s="395"/>
      <c r="K395" s="396"/>
      <c r="L395" s="395"/>
      <c r="M395" s="394"/>
      <c r="N395" s="395"/>
      <c r="O395" s="395"/>
      <c r="P395" s="395"/>
      <c r="Q395" s="395"/>
      <c r="R395" s="393"/>
      <c r="S395" s="393"/>
      <c r="T395" s="393"/>
    </row>
    <row r="396" spans="1:20" s="149" customFormat="1" ht="18" customHeight="1" x14ac:dyDescent="0.25">
      <c r="A396" s="335"/>
      <c r="B396" s="397">
        <v>125</v>
      </c>
      <c r="C396" s="461"/>
      <c r="D396" s="808" t="s">
        <v>2248</v>
      </c>
      <c r="E396" s="403"/>
      <c r="F396" s="394"/>
      <c r="G396" s="395"/>
      <c r="H396" s="395"/>
      <c r="I396" s="395"/>
      <c r="J396" s="395"/>
      <c r="K396" s="396"/>
      <c r="L396" s="395"/>
      <c r="M396" s="394"/>
      <c r="N396" s="395"/>
      <c r="O396" s="395"/>
      <c r="P396" s="395"/>
      <c r="Q396" s="395"/>
      <c r="R396" s="393"/>
      <c r="S396" s="393"/>
      <c r="T396" s="393"/>
    </row>
    <row r="397" spans="1:20" s="149" customFormat="1" ht="18" customHeight="1" thickBot="1" x14ac:dyDescent="0.3">
      <c r="A397" s="335"/>
      <c r="B397" s="397">
        <v>90</v>
      </c>
      <c r="C397" s="461"/>
      <c r="D397" s="808" t="s">
        <v>2249</v>
      </c>
      <c r="E397" s="403"/>
      <c r="F397" s="394"/>
      <c r="G397" s="395"/>
      <c r="H397" s="395"/>
      <c r="I397" s="395"/>
      <c r="J397" s="395"/>
      <c r="K397" s="396"/>
      <c r="L397" s="395"/>
      <c r="M397" s="394"/>
      <c r="N397" s="395"/>
      <c r="O397" s="395"/>
      <c r="P397" s="395"/>
      <c r="Q397" s="395"/>
      <c r="R397" s="393"/>
      <c r="S397" s="393"/>
      <c r="T397" s="393"/>
    </row>
    <row r="398" spans="1:20" s="149" customFormat="1" ht="18" customHeight="1" thickBot="1" x14ac:dyDescent="0.3">
      <c r="A398" s="335"/>
      <c r="B398" s="398">
        <f>SUM(B390:B397)</f>
        <v>830</v>
      </c>
      <c r="C398" s="461"/>
      <c r="D398" s="597"/>
      <c r="E398" s="463"/>
      <c r="F398" s="352"/>
      <c r="G398" s="350"/>
      <c r="H398" s="350"/>
      <c r="I398" s="350"/>
      <c r="J398" s="350"/>
      <c r="K398" s="351"/>
      <c r="L398" s="350"/>
      <c r="M398" s="352"/>
      <c r="N398" s="350"/>
      <c r="O398" s="350"/>
      <c r="P398" s="350"/>
      <c r="Q398" s="350"/>
      <c r="R398" s="176"/>
      <c r="S398" s="176"/>
      <c r="T398" s="760"/>
    </row>
    <row r="399" spans="1:20" s="149" customFormat="1" ht="18" customHeight="1" x14ac:dyDescent="0.25">
      <c r="A399" s="335"/>
      <c r="B399" s="397"/>
      <c r="C399" s="461"/>
      <c r="D399" s="597"/>
      <c r="E399" s="403"/>
      <c r="F399" s="394"/>
      <c r="G399" s="395"/>
      <c r="H399" s="395"/>
      <c r="I399" s="395"/>
      <c r="J399" s="395"/>
      <c r="K399" s="396"/>
      <c r="L399" s="395"/>
      <c r="M399" s="394"/>
      <c r="N399" s="395"/>
      <c r="O399" s="395"/>
      <c r="P399" s="395"/>
      <c r="Q399" s="395"/>
      <c r="R399" s="393"/>
      <c r="S399" s="393"/>
      <c r="T399" s="393"/>
    </row>
    <row r="400" spans="1:20" s="149" customFormat="1" ht="18" customHeight="1" x14ac:dyDescent="0.25">
      <c r="A400" s="335">
        <v>45379</v>
      </c>
      <c r="B400" s="397">
        <v>125</v>
      </c>
      <c r="C400" s="461"/>
      <c r="D400" s="808" t="s">
        <v>2250</v>
      </c>
      <c r="E400" s="403"/>
      <c r="F400" s="394"/>
      <c r="G400" s="395"/>
      <c r="H400" s="395"/>
      <c r="I400" s="395"/>
      <c r="J400" s="395"/>
      <c r="K400" s="396"/>
      <c r="L400" s="395"/>
      <c r="M400" s="394"/>
      <c r="N400" s="395"/>
      <c r="O400" s="395"/>
      <c r="P400" s="395"/>
      <c r="Q400" s="395"/>
      <c r="R400" s="393"/>
      <c r="S400" s="393"/>
      <c r="T400" s="393"/>
    </row>
    <row r="401" spans="1:20" s="149" customFormat="1" ht="18" customHeight="1" x14ac:dyDescent="0.25">
      <c r="A401" s="335"/>
      <c r="B401" s="397">
        <v>250</v>
      </c>
      <c r="C401" s="461"/>
      <c r="D401" s="808" t="s">
        <v>2251</v>
      </c>
      <c r="E401" s="403"/>
      <c r="F401" s="394"/>
      <c r="G401" s="395"/>
      <c r="H401" s="395"/>
      <c r="I401" s="395"/>
      <c r="J401" s="395"/>
      <c r="K401" s="396"/>
      <c r="L401" s="395"/>
      <c r="M401" s="394"/>
      <c r="N401" s="395"/>
      <c r="O401" s="395"/>
      <c r="P401" s="395"/>
      <c r="Q401" s="395"/>
      <c r="R401" s="393"/>
      <c r="S401" s="393"/>
      <c r="T401" s="393"/>
    </row>
    <row r="402" spans="1:20" s="149" customFormat="1" ht="18" customHeight="1" x14ac:dyDescent="0.25">
      <c r="A402" s="335"/>
      <c r="B402" s="397">
        <v>125</v>
      </c>
      <c r="C402" s="461"/>
      <c r="D402" s="808" t="s">
        <v>2252</v>
      </c>
      <c r="E402" s="403"/>
      <c r="F402" s="394"/>
      <c r="G402" s="395"/>
      <c r="H402" s="395"/>
      <c r="I402" s="395"/>
      <c r="J402" s="395"/>
      <c r="K402" s="396"/>
      <c r="L402" s="395"/>
      <c r="M402" s="394"/>
      <c r="N402" s="395"/>
      <c r="O402" s="395"/>
      <c r="P402" s="395"/>
      <c r="Q402" s="395"/>
      <c r="R402" s="393"/>
      <c r="S402" s="393"/>
      <c r="T402" s="393"/>
    </row>
    <row r="403" spans="1:20" s="149" customFormat="1" ht="18" customHeight="1" x14ac:dyDescent="0.25">
      <c r="A403" s="335"/>
      <c r="B403" s="397">
        <v>18</v>
      </c>
      <c r="C403" s="461"/>
      <c r="D403" s="808" t="s">
        <v>2297</v>
      </c>
      <c r="E403" s="403"/>
      <c r="F403" s="394"/>
      <c r="G403" s="395"/>
      <c r="H403" s="395"/>
      <c r="I403" s="395"/>
      <c r="J403" s="395"/>
      <c r="K403" s="396"/>
      <c r="L403" s="395"/>
      <c r="M403" s="394"/>
      <c r="N403" s="395"/>
      <c r="O403" s="395"/>
      <c r="P403" s="395"/>
      <c r="Q403" s="395"/>
      <c r="R403" s="393"/>
      <c r="S403" s="393"/>
      <c r="T403" s="393"/>
    </row>
    <row r="404" spans="1:20" s="149" customFormat="1" ht="18" customHeight="1" x14ac:dyDescent="0.25">
      <c r="A404" s="335"/>
      <c r="B404" s="397">
        <v>50</v>
      </c>
      <c r="C404" s="461"/>
      <c r="D404" s="829" t="s">
        <v>2004</v>
      </c>
      <c r="E404" s="403"/>
      <c r="F404" s="394"/>
      <c r="G404" s="395"/>
      <c r="H404" s="395"/>
      <c r="I404" s="395"/>
      <c r="J404" s="395"/>
      <c r="K404" s="396"/>
      <c r="L404" s="395"/>
      <c r="M404" s="394"/>
      <c r="N404" s="395"/>
      <c r="O404" s="395"/>
      <c r="P404" s="395"/>
      <c r="Q404" s="395"/>
      <c r="R404" s="393"/>
      <c r="S404" s="393"/>
      <c r="T404" s="393"/>
    </row>
    <row r="405" spans="1:20" s="149" customFormat="1" ht="18" customHeight="1" x14ac:dyDescent="0.25">
      <c r="A405" s="335"/>
      <c r="B405" s="397"/>
      <c r="C405" s="461"/>
      <c r="D405" s="829" t="s">
        <v>1903</v>
      </c>
      <c r="E405" s="403"/>
      <c r="F405" s="394"/>
      <c r="G405" s="395"/>
      <c r="H405" s="395"/>
      <c r="I405" s="395"/>
      <c r="J405" s="395"/>
      <c r="K405" s="396"/>
      <c r="L405" s="395"/>
      <c r="M405" s="394"/>
      <c r="N405" s="395"/>
      <c r="O405" s="395"/>
      <c r="P405" s="395"/>
      <c r="Q405" s="395"/>
      <c r="R405" s="393"/>
      <c r="S405" s="393"/>
      <c r="T405" s="393"/>
    </row>
    <row r="406" spans="1:20" s="149" customFormat="1" ht="18" customHeight="1" x14ac:dyDescent="0.25">
      <c r="A406" s="335"/>
      <c r="B406" s="397"/>
      <c r="C406" s="461">
        <v>100</v>
      </c>
      <c r="D406" s="808" t="s">
        <v>2253</v>
      </c>
      <c r="E406" s="403"/>
      <c r="F406" s="394"/>
      <c r="G406" s="395"/>
      <c r="H406" s="395"/>
      <c r="I406" s="395"/>
      <c r="J406" s="395"/>
      <c r="K406" s="396"/>
      <c r="L406" s="395"/>
      <c r="M406" s="394"/>
      <c r="N406" s="395"/>
      <c r="O406" s="395"/>
      <c r="P406" s="395"/>
      <c r="Q406" s="395"/>
      <c r="R406" s="393"/>
      <c r="S406" s="393"/>
      <c r="T406" s="393"/>
    </row>
    <row r="407" spans="1:20" s="149" customFormat="1" ht="18" customHeight="1" x14ac:dyDescent="0.25">
      <c r="A407" s="335"/>
      <c r="B407" s="397"/>
      <c r="C407" s="461">
        <v>125</v>
      </c>
      <c r="D407" s="808" t="s">
        <v>2302</v>
      </c>
      <c r="E407" s="403"/>
      <c r="F407" s="394"/>
      <c r="G407" s="395"/>
      <c r="H407" s="395"/>
      <c r="I407" s="395"/>
      <c r="J407" s="395"/>
      <c r="K407" s="396"/>
      <c r="L407" s="395"/>
      <c r="M407" s="394"/>
      <c r="N407" s="395"/>
      <c r="O407" s="395"/>
      <c r="P407" s="395"/>
      <c r="Q407" s="395"/>
      <c r="R407" s="393"/>
      <c r="S407" s="393"/>
      <c r="T407" s="393"/>
    </row>
    <row r="408" spans="1:20" s="149" customFormat="1" ht="18" customHeight="1" x14ac:dyDescent="0.25">
      <c r="A408" s="335"/>
      <c r="B408" s="397"/>
      <c r="C408" s="461">
        <v>75</v>
      </c>
      <c r="D408" s="808" t="s">
        <v>2254</v>
      </c>
      <c r="E408" s="403"/>
      <c r="F408" s="394"/>
      <c r="G408" s="395"/>
      <c r="H408" s="395"/>
      <c r="I408" s="395"/>
      <c r="J408" s="395"/>
      <c r="K408" s="396"/>
      <c r="L408" s="395"/>
      <c r="M408" s="394"/>
      <c r="N408" s="395"/>
      <c r="O408" s="395"/>
      <c r="P408" s="395"/>
      <c r="Q408" s="395"/>
      <c r="R408" s="393"/>
      <c r="S408" s="393"/>
      <c r="T408" s="393"/>
    </row>
    <row r="409" spans="1:20" s="149" customFormat="1" ht="18" customHeight="1" x14ac:dyDescent="0.25">
      <c r="A409" s="335"/>
      <c r="B409" s="397"/>
      <c r="C409" s="461"/>
      <c r="D409" s="829" t="s">
        <v>2255</v>
      </c>
      <c r="E409" s="403"/>
      <c r="F409" s="394"/>
      <c r="G409" s="395"/>
      <c r="H409" s="395"/>
      <c r="I409" s="395"/>
      <c r="J409" s="395"/>
      <c r="K409" s="396"/>
      <c r="L409" s="395"/>
      <c r="M409" s="394"/>
      <c r="N409" s="395"/>
      <c r="O409" s="395"/>
      <c r="P409" s="395"/>
      <c r="Q409" s="395"/>
      <c r="R409" s="393"/>
      <c r="S409" s="393"/>
      <c r="T409" s="393"/>
    </row>
    <row r="410" spans="1:20" s="149" customFormat="1" ht="18" customHeight="1" thickBot="1" x14ac:dyDescent="0.3">
      <c r="A410" s="335"/>
      <c r="B410" s="397"/>
      <c r="C410" s="461">
        <v>110</v>
      </c>
      <c r="D410" s="808" t="s">
        <v>2256</v>
      </c>
      <c r="E410" s="403"/>
      <c r="F410" s="394"/>
      <c r="G410" s="395"/>
      <c r="H410" s="395"/>
      <c r="I410" s="395"/>
      <c r="J410" s="395"/>
      <c r="K410" s="396"/>
      <c r="L410" s="395"/>
      <c r="M410" s="394"/>
      <c r="N410" s="395"/>
      <c r="O410" s="395"/>
      <c r="P410" s="395"/>
      <c r="Q410" s="395"/>
      <c r="R410" s="393"/>
      <c r="S410" s="393"/>
      <c r="T410" s="393"/>
    </row>
    <row r="411" spans="1:20" s="149" customFormat="1" ht="18" customHeight="1" thickBot="1" x14ac:dyDescent="0.3">
      <c r="A411" s="335"/>
      <c r="B411" s="398">
        <f>SUM(B400:B410)</f>
        <v>568</v>
      </c>
      <c r="C411" s="461"/>
      <c r="D411" s="597"/>
      <c r="E411" s="463"/>
      <c r="F411" s="352"/>
      <c r="G411" s="350"/>
      <c r="H411" s="350"/>
      <c r="I411" s="350"/>
      <c r="J411" s="350"/>
      <c r="K411" s="351"/>
      <c r="L411" s="350"/>
      <c r="M411" s="352"/>
      <c r="N411" s="350"/>
      <c r="O411" s="350"/>
      <c r="P411" s="350"/>
      <c r="Q411" s="350"/>
      <c r="R411" s="176"/>
      <c r="S411" s="176"/>
      <c r="T411" s="760"/>
    </row>
    <row r="412" spans="1:20" s="149" customFormat="1" ht="18" customHeight="1" thickBot="1" x14ac:dyDescent="0.3">
      <c r="A412" s="335"/>
      <c r="B412" s="397"/>
      <c r="C412" s="461"/>
      <c r="D412" s="597"/>
      <c r="E412" s="403"/>
      <c r="F412" s="394"/>
      <c r="G412" s="395"/>
      <c r="H412" s="395"/>
      <c r="I412" s="395"/>
      <c r="J412" s="395"/>
      <c r="K412" s="396"/>
      <c r="L412" s="395"/>
      <c r="M412" s="394"/>
      <c r="N412" s="395"/>
      <c r="O412" s="395"/>
      <c r="P412" s="395"/>
      <c r="Q412" s="395"/>
      <c r="R412" s="393"/>
      <c r="S412" s="393"/>
      <c r="T412" s="393"/>
    </row>
    <row r="413" spans="1:20" s="149" customFormat="1" ht="18" customHeight="1" thickBot="1" x14ac:dyDescent="0.3">
      <c r="A413" s="335">
        <v>45381</v>
      </c>
      <c r="B413" s="398">
        <v>150</v>
      </c>
      <c r="C413" s="461"/>
      <c r="D413" s="808" t="s">
        <v>2264</v>
      </c>
      <c r="E413" s="463"/>
      <c r="F413" s="352"/>
      <c r="G413" s="350"/>
      <c r="H413" s="350"/>
      <c r="I413" s="350"/>
      <c r="J413" s="350"/>
      <c r="K413" s="351"/>
      <c r="L413" s="350"/>
      <c r="M413" s="352"/>
      <c r="N413" s="350"/>
      <c r="O413" s="350"/>
      <c r="P413" s="350"/>
      <c r="Q413" s="350"/>
      <c r="R413" s="176"/>
      <c r="S413" s="176"/>
      <c r="T413" s="760"/>
    </row>
    <row r="414" spans="1:20" s="149" customFormat="1" ht="18" customHeight="1" x14ac:dyDescent="0.25">
      <c r="A414" s="335"/>
      <c r="B414" s="203"/>
      <c r="C414" s="461"/>
      <c r="D414" s="597"/>
      <c r="E414" s="336"/>
      <c r="F414" s="151"/>
      <c r="K414" s="201"/>
      <c r="M414" s="151"/>
      <c r="R414" s="154"/>
      <c r="S414" s="154"/>
      <c r="T414" s="154"/>
    </row>
    <row r="415" spans="1:20" s="149" customFormat="1" ht="18" customHeight="1" x14ac:dyDescent="0.25">
      <c r="A415" s="237" t="s">
        <v>706</v>
      </c>
      <c r="B415" s="397">
        <f>+B279+B286+B290+B296+B304+B308+B319+B324+B330+B335+B339+B341+B345+B347+B353+B355+B359+B368+B373+B388+B398+B411+B413</f>
        <v>5258</v>
      </c>
      <c r="C415" s="461"/>
      <c r="D415" s="597"/>
      <c r="E415" s="336"/>
      <c r="F415" s="151"/>
      <c r="K415" s="201"/>
      <c r="M415" s="151"/>
      <c r="R415" s="154"/>
      <c r="S415" s="154"/>
      <c r="T415" s="154"/>
    </row>
    <row r="416" spans="1:20" s="149" customFormat="1" ht="18" customHeight="1" x14ac:dyDescent="0.25">
      <c r="A416" s="354" t="s">
        <v>707</v>
      </c>
      <c r="B416" s="206"/>
      <c r="C416" s="461"/>
      <c r="D416" s="597"/>
      <c r="E416" s="336"/>
      <c r="F416" s="151"/>
      <c r="K416" s="201"/>
      <c r="M416" s="151"/>
      <c r="R416" s="154"/>
      <c r="S416" s="154"/>
      <c r="T416" s="154"/>
    </row>
    <row r="417" spans="1:20" s="149" customFormat="1" ht="18" customHeight="1" x14ac:dyDescent="0.25">
      <c r="A417" s="354" t="s">
        <v>708</v>
      </c>
      <c r="B417" s="397"/>
      <c r="C417" s="461"/>
      <c r="D417" s="597"/>
      <c r="E417" s="336"/>
      <c r="F417" s="151"/>
      <c r="K417" s="201"/>
      <c r="M417" s="151"/>
      <c r="R417" s="154"/>
      <c r="S417" s="154"/>
      <c r="T417" s="154"/>
    </row>
    <row r="418" spans="1:20" s="149" customFormat="1" ht="18" customHeight="1" x14ac:dyDescent="0.25">
      <c r="A418" s="354" t="s">
        <v>709</v>
      </c>
      <c r="B418" s="206"/>
      <c r="C418" s="461"/>
      <c r="D418" s="597"/>
      <c r="E418" s="336"/>
      <c r="F418" s="151"/>
      <c r="K418" s="201"/>
      <c r="M418" s="151"/>
      <c r="R418" s="154"/>
      <c r="S418" s="154"/>
      <c r="T418" s="154"/>
    </row>
    <row r="419" spans="1:20" s="149" customFormat="1" ht="18" customHeight="1" x14ac:dyDescent="0.25">
      <c r="A419" s="354" t="s">
        <v>710</v>
      </c>
      <c r="B419" s="206">
        <f>SUM(B415:B418)</f>
        <v>5258</v>
      </c>
      <c r="C419" s="461"/>
      <c r="D419" s="597"/>
      <c r="E419" s="336"/>
      <c r="F419" s="151"/>
      <c r="K419" s="201"/>
      <c r="M419" s="151"/>
      <c r="R419" s="154"/>
      <c r="S419" s="154"/>
      <c r="T419" s="154"/>
    </row>
    <row r="420" spans="1:20" s="149" customFormat="1" ht="18" customHeight="1" x14ac:dyDescent="0.25">
      <c r="A420" s="354" t="s">
        <v>711</v>
      </c>
      <c r="B420" s="206"/>
      <c r="C420" s="461"/>
      <c r="D420" s="597"/>
      <c r="E420" s="336"/>
      <c r="F420" s="151"/>
      <c r="K420" s="201"/>
      <c r="M420" s="151"/>
      <c r="R420" s="154"/>
      <c r="S420" s="154"/>
      <c r="T420" s="154"/>
    </row>
    <row r="421" spans="1:20" s="149" customFormat="1" ht="18" customHeight="1" x14ac:dyDescent="0.25">
      <c r="A421" s="354" t="s">
        <v>712</v>
      </c>
      <c r="B421" s="397"/>
      <c r="C421" s="461"/>
      <c r="D421" s="597"/>
      <c r="E421" s="336"/>
      <c r="F421" s="151"/>
      <c r="K421" s="201"/>
      <c r="M421" s="151"/>
      <c r="R421" s="154"/>
      <c r="S421" s="154"/>
      <c r="T421" s="154"/>
    </row>
    <row r="422" spans="1:20" s="149" customFormat="1" ht="18" customHeight="1" x14ac:dyDescent="0.25">
      <c r="A422" s="354" t="s">
        <v>713</v>
      </c>
      <c r="B422" s="397"/>
      <c r="C422" s="461"/>
      <c r="D422" s="597"/>
      <c r="E422" s="336"/>
      <c r="F422" s="151"/>
      <c r="K422" s="201"/>
      <c r="M422" s="151"/>
      <c r="R422" s="154"/>
      <c r="S422" s="154"/>
      <c r="T422" s="154"/>
    </row>
    <row r="423" spans="1:20" s="874" customFormat="1" ht="18" customHeight="1" x14ac:dyDescent="0.35">
      <c r="A423" s="869"/>
      <c r="B423" s="870"/>
      <c r="C423" s="871"/>
      <c r="D423" s="872" t="s">
        <v>2268</v>
      </c>
      <c r="E423" s="184"/>
      <c r="F423" s="873"/>
      <c r="K423" s="875"/>
      <c r="M423" s="873"/>
      <c r="R423" s="876"/>
      <c r="S423" s="876"/>
      <c r="T423" s="876"/>
    </row>
    <row r="424" spans="1:20" s="149" customFormat="1" ht="18" customHeight="1" x14ac:dyDescent="0.25">
      <c r="A424" s="335"/>
      <c r="B424" s="203"/>
      <c r="C424" s="461"/>
      <c r="D424" s="597"/>
      <c r="E424" s="336"/>
      <c r="F424" s="151"/>
      <c r="K424" s="201"/>
      <c r="M424" s="151"/>
      <c r="R424" s="154"/>
      <c r="S424" s="154"/>
      <c r="T424" s="154"/>
    </row>
    <row r="425" spans="1:20" s="149" customFormat="1" ht="18" customHeight="1" x14ac:dyDescent="0.25">
      <c r="A425" s="335">
        <v>45384</v>
      </c>
      <c r="B425" s="203">
        <v>150</v>
      </c>
      <c r="C425" s="461"/>
      <c r="D425" s="808" t="s">
        <v>2304</v>
      </c>
      <c r="E425" s="336"/>
      <c r="F425" s="151"/>
      <c r="K425" s="201"/>
      <c r="M425" s="151"/>
      <c r="R425" s="154"/>
      <c r="S425" s="154"/>
      <c r="T425" s="154"/>
    </row>
    <row r="426" spans="1:20" s="149" customFormat="1" ht="18" customHeight="1" x14ac:dyDescent="0.25">
      <c r="A426" s="335"/>
      <c r="B426" s="203">
        <v>100</v>
      </c>
      <c r="C426" s="461">
        <v>150</v>
      </c>
      <c r="D426" s="808" t="s">
        <v>2269</v>
      </c>
      <c r="E426" s="336"/>
      <c r="F426" s="151"/>
      <c r="K426" s="201"/>
      <c r="M426" s="151"/>
      <c r="R426" s="154"/>
      <c r="S426" s="154"/>
      <c r="T426" s="154"/>
    </row>
    <row r="427" spans="1:20" s="149" customFormat="1" ht="18" customHeight="1" x14ac:dyDescent="0.25">
      <c r="A427" s="335"/>
      <c r="B427" s="203">
        <v>35</v>
      </c>
      <c r="C427" s="461"/>
      <c r="D427" s="808" t="s">
        <v>2270</v>
      </c>
      <c r="E427" s="336"/>
      <c r="F427" s="151"/>
      <c r="K427" s="201"/>
      <c r="M427" s="151"/>
      <c r="R427" s="154"/>
      <c r="S427" s="154"/>
      <c r="T427" s="154"/>
    </row>
    <row r="428" spans="1:20" s="149" customFormat="1" ht="18" customHeight="1" x14ac:dyDescent="0.25">
      <c r="A428" s="335"/>
      <c r="B428" s="203">
        <v>30</v>
      </c>
      <c r="C428" s="461"/>
      <c r="D428" s="878" t="s">
        <v>2271</v>
      </c>
      <c r="E428" s="336"/>
      <c r="F428" s="151"/>
      <c r="K428" s="201"/>
      <c r="M428" s="151"/>
      <c r="R428" s="154"/>
      <c r="S428" s="154"/>
      <c r="T428" s="154"/>
    </row>
    <row r="429" spans="1:20" s="149" customFormat="1" ht="18" customHeight="1" x14ac:dyDescent="0.25">
      <c r="A429" s="335"/>
      <c r="B429" s="203">
        <v>85</v>
      </c>
      <c r="C429" s="461"/>
      <c r="D429" s="808" t="s">
        <v>2272</v>
      </c>
      <c r="E429" s="336"/>
      <c r="F429" s="151"/>
      <c r="K429" s="201"/>
      <c r="M429" s="151"/>
      <c r="R429" s="154"/>
      <c r="S429" s="154"/>
      <c r="T429" s="154"/>
    </row>
    <row r="430" spans="1:20" s="149" customFormat="1" ht="18" customHeight="1" x14ac:dyDescent="0.25">
      <c r="A430" s="335"/>
      <c r="B430" s="203">
        <v>90</v>
      </c>
      <c r="C430" s="461"/>
      <c r="D430" s="808" t="s">
        <v>2273</v>
      </c>
      <c r="E430" s="336"/>
      <c r="F430" s="151"/>
      <c r="K430" s="201"/>
      <c r="M430" s="151"/>
      <c r="R430" s="154"/>
      <c r="S430" s="154"/>
      <c r="T430" s="154"/>
    </row>
    <row r="431" spans="1:20" s="149" customFormat="1" ht="18" customHeight="1" x14ac:dyDescent="0.25">
      <c r="A431" s="335"/>
      <c r="B431" s="203">
        <v>90</v>
      </c>
      <c r="C431" s="461"/>
      <c r="D431" s="829" t="s">
        <v>2274</v>
      </c>
      <c r="E431" s="336"/>
      <c r="F431" s="151"/>
      <c r="K431" s="201"/>
      <c r="M431" s="151"/>
      <c r="R431" s="154"/>
      <c r="S431" s="154"/>
      <c r="T431" s="154"/>
    </row>
    <row r="432" spans="1:20" s="149" customFormat="1" ht="18" customHeight="1" x14ac:dyDescent="0.25">
      <c r="A432" s="335"/>
      <c r="B432" s="203"/>
      <c r="C432" s="461">
        <v>125</v>
      </c>
      <c r="D432" s="808" t="s">
        <v>2275</v>
      </c>
      <c r="E432" s="336"/>
      <c r="F432" s="151"/>
      <c r="K432" s="201"/>
      <c r="M432" s="151"/>
      <c r="R432" s="154"/>
      <c r="S432" s="154"/>
      <c r="T432" s="154"/>
    </row>
    <row r="433" spans="1:20" s="149" customFormat="1" ht="18" customHeight="1" thickBot="1" x14ac:dyDescent="0.3">
      <c r="A433" s="335"/>
      <c r="B433" s="203"/>
      <c r="C433" s="461">
        <v>150</v>
      </c>
      <c r="D433" s="808" t="s">
        <v>2276</v>
      </c>
      <c r="E433" s="336"/>
      <c r="F433" s="151"/>
      <c r="K433" s="201"/>
      <c r="M433" s="151"/>
      <c r="R433" s="154"/>
      <c r="S433" s="154"/>
      <c r="T433" s="154"/>
    </row>
    <row r="434" spans="1:20" s="149" customFormat="1" ht="18" customHeight="1" thickBot="1" x14ac:dyDescent="0.3">
      <c r="A434" s="335"/>
      <c r="B434" s="398">
        <f>SUM(B425:B432)</f>
        <v>580</v>
      </c>
      <c r="C434" s="461"/>
      <c r="D434" s="597"/>
      <c r="E434" s="463"/>
      <c r="F434" s="352"/>
      <c r="G434" s="350"/>
      <c r="H434" s="350"/>
      <c r="I434" s="350"/>
      <c r="J434" s="350"/>
      <c r="K434" s="351"/>
      <c r="L434" s="350"/>
      <c r="M434" s="352"/>
      <c r="N434" s="350"/>
      <c r="O434" s="350"/>
      <c r="P434" s="350"/>
      <c r="Q434" s="353"/>
      <c r="R434" s="154"/>
      <c r="S434" s="154"/>
      <c r="T434" s="154"/>
    </row>
    <row r="435" spans="1:20" s="149" customFormat="1" ht="18" customHeight="1" x14ac:dyDescent="0.25">
      <c r="A435" s="335"/>
      <c r="B435" s="203"/>
      <c r="C435" s="461"/>
      <c r="D435" s="597"/>
      <c r="E435" s="336"/>
      <c r="F435" s="151"/>
      <c r="K435" s="201"/>
      <c r="M435" s="151"/>
      <c r="R435" s="154"/>
      <c r="S435" s="154"/>
      <c r="T435" s="154"/>
    </row>
    <row r="436" spans="1:20" s="149" customFormat="1" ht="18" customHeight="1" x14ac:dyDescent="0.25">
      <c r="A436" s="335">
        <v>45385</v>
      </c>
      <c r="B436" s="203">
        <v>65</v>
      </c>
      <c r="C436" s="461"/>
      <c r="D436" s="829" t="s">
        <v>2277</v>
      </c>
      <c r="E436" s="814" t="s">
        <v>2310</v>
      </c>
      <c r="F436" s="151"/>
      <c r="K436" s="201"/>
      <c r="M436" s="151"/>
      <c r="R436" s="154"/>
      <c r="S436" s="154"/>
      <c r="T436" s="154"/>
    </row>
    <row r="437" spans="1:20" s="149" customFormat="1" ht="18" customHeight="1" x14ac:dyDescent="0.25">
      <c r="A437" s="335"/>
      <c r="B437" s="203">
        <v>100</v>
      </c>
      <c r="C437" s="461"/>
      <c r="D437" s="829" t="s">
        <v>2278</v>
      </c>
      <c r="E437" s="336"/>
      <c r="F437" s="151"/>
      <c r="K437" s="201"/>
      <c r="M437" s="151"/>
      <c r="R437" s="154"/>
      <c r="S437" s="154"/>
      <c r="T437" s="154"/>
    </row>
    <row r="438" spans="1:20" s="149" customFormat="1" ht="18" customHeight="1" x14ac:dyDescent="0.25">
      <c r="A438" s="335"/>
      <c r="B438" s="203"/>
      <c r="C438" s="461">
        <v>110</v>
      </c>
      <c r="D438" s="808" t="s">
        <v>2293</v>
      </c>
      <c r="E438" s="336"/>
      <c r="F438" s="151"/>
      <c r="K438" s="201"/>
      <c r="M438" s="151"/>
      <c r="R438" s="154"/>
      <c r="S438" s="154"/>
      <c r="T438" s="154"/>
    </row>
    <row r="439" spans="1:20" s="149" customFormat="1" ht="18" customHeight="1" x14ac:dyDescent="0.25">
      <c r="A439" s="335"/>
      <c r="B439" s="203">
        <v>105</v>
      </c>
      <c r="C439" s="461"/>
      <c r="D439" s="808" t="s">
        <v>2279</v>
      </c>
      <c r="E439" s="336"/>
      <c r="F439" s="151"/>
      <c r="K439" s="201"/>
      <c r="M439" s="151"/>
      <c r="R439" s="154"/>
      <c r="S439" s="154"/>
      <c r="T439" s="154"/>
    </row>
    <row r="440" spans="1:20" s="149" customFormat="1" ht="18" customHeight="1" x14ac:dyDescent="0.25">
      <c r="A440" s="335"/>
      <c r="B440" s="203">
        <v>25</v>
      </c>
      <c r="C440" s="461"/>
      <c r="D440" s="808" t="s">
        <v>2280</v>
      </c>
      <c r="E440" s="336"/>
      <c r="F440" s="151"/>
      <c r="K440" s="201"/>
      <c r="M440" s="151"/>
      <c r="R440" s="154"/>
      <c r="S440" s="154"/>
      <c r="T440" s="154"/>
    </row>
    <row r="441" spans="1:20" s="149" customFormat="1" ht="18" customHeight="1" x14ac:dyDescent="0.25">
      <c r="A441" s="335"/>
      <c r="B441" s="203">
        <v>150</v>
      </c>
      <c r="C441" s="461"/>
      <c r="D441" s="808" t="s">
        <v>2281</v>
      </c>
      <c r="E441" s="336"/>
      <c r="F441" s="151"/>
      <c r="K441" s="201"/>
      <c r="M441" s="151"/>
      <c r="R441" s="154"/>
      <c r="S441" s="154"/>
      <c r="T441" s="154"/>
    </row>
    <row r="442" spans="1:20" s="149" customFormat="1" ht="18" customHeight="1" x14ac:dyDescent="0.25">
      <c r="A442" s="335"/>
      <c r="B442" s="203">
        <v>150</v>
      </c>
      <c r="C442" s="461"/>
      <c r="D442" s="829" t="s">
        <v>2282</v>
      </c>
      <c r="E442" s="336"/>
      <c r="F442" s="151"/>
      <c r="K442" s="201"/>
      <c r="M442" s="151"/>
      <c r="R442" s="154"/>
      <c r="S442" s="154"/>
      <c r="T442" s="154"/>
    </row>
    <row r="443" spans="1:20" s="149" customFormat="1" ht="18" customHeight="1" x14ac:dyDescent="0.25">
      <c r="A443" s="335"/>
      <c r="B443" s="203"/>
      <c r="C443" s="461">
        <v>110</v>
      </c>
      <c r="D443" s="808" t="s">
        <v>2283</v>
      </c>
      <c r="E443" s="336"/>
      <c r="F443" s="151"/>
      <c r="K443" s="201"/>
      <c r="M443" s="151"/>
      <c r="R443" s="154"/>
      <c r="S443" s="154"/>
      <c r="T443" s="154"/>
    </row>
    <row r="444" spans="1:20" s="149" customFormat="1" ht="18" customHeight="1" x14ac:dyDescent="0.25">
      <c r="A444" s="335"/>
      <c r="B444" s="203"/>
      <c r="C444" s="461">
        <v>75</v>
      </c>
      <c r="D444" s="808" t="s">
        <v>2284</v>
      </c>
      <c r="E444" s="336"/>
      <c r="F444" s="151"/>
      <c r="K444" s="201"/>
      <c r="M444" s="151"/>
      <c r="R444" s="154"/>
      <c r="S444" s="154"/>
      <c r="T444" s="154"/>
    </row>
    <row r="445" spans="1:20" s="149" customFormat="1" ht="18" customHeight="1" x14ac:dyDescent="0.25">
      <c r="A445" s="335"/>
      <c r="B445" s="203"/>
      <c r="C445" s="461"/>
      <c r="D445" s="829" t="s">
        <v>2289</v>
      </c>
      <c r="E445" s="336"/>
      <c r="F445" s="151"/>
      <c r="K445" s="201"/>
      <c r="M445" s="151"/>
      <c r="R445" s="154"/>
      <c r="S445" s="154"/>
      <c r="T445" s="154"/>
    </row>
    <row r="446" spans="1:20" s="149" customFormat="1" ht="18" customHeight="1" x14ac:dyDescent="0.25">
      <c r="A446" s="335"/>
      <c r="B446" s="203"/>
      <c r="C446" s="461">
        <v>170</v>
      </c>
      <c r="D446" s="808" t="s">
        <v>2290</v>
      </c>
      <c r="E446" s="336"/>
      <c r="F446" s="151"/>
      <c r="K446" s="201"/>
      <c r="M446" s="151"/>
      <c r="R446" s="154"/>
      <c r="S446" s="154"/>
      <c r="T446" s="154"/>
    </row>
    <row r="447" spans="1:20" s="149" customFormat="1" ht="18" customHeight="1" x14ac:dyDescent="0.25">
      <c r="A447" s="335"/>
      <c r="B447" s="203"/>
      <c r="C447" s="461"/>
      <c r="D447" s="829" t="s">
        <v>2292</v>
      </c>
      <c r="E447" s="336"/>
      <c r="F447" s="151"/>
      <c r="K447" s="201"/>
      <c r="M447" s="151"/>
      <c r="R447" s="154"/>
      <c r="S447" s="154"/>
      <c r="T447" s="154"/>
    </row>
    <row r="448" spans="1:20" s="149" customFormat="1" ht="18" customHeight="1" thickBot="1" x14ac:dyDescent="0.3">
      <c r="A448" s="335"/>
      <c r="B448" s="203"/>
      <c r="C448" s="461">
        <v>110</v>
      </c>
      <c r="D448" s="808" t="s">
        <v>2291</v>
      </c>
      <c r="E448" s="336"/>
      <c r="F448" s="151"/>
      <c r="K448" s="201"/>
      <c r="M448" s="151"/>
      <c r="R448" s="154"/>
      <c r="S448" s="154"/>
      <c r="T448" s="154"/>
    </row>
    <row r="449" spans="1:20" s="149" customFormat="1" ht="18" hidden="1" customHeight="1" x14ac:dyDescent="0.25">
      <c r="A449" s="335"/>
      <c r="B449" s="203"/>
      <c r="C449" s="461"/>
      <c r="D449" s="597"/>
      <c r="E449" s="336"/>
      <c r="F449" s="151"/>
      <c r="K449" s="201"/>
      <c r="M449" s="151"/>
      <c r="R449" s="154"/>
      <c r="S449" s="154"/>
      <c r="T449" s="154"/>
    </row>
    <row r="450" spans="1:20" s="149" customFormat="1" ht="18" hidden="1" customHeight="1" x14ac:dyDescent="0.25">
      <c r="A450" s="335"/>
      <c r="B450" s="203"/>
      <c r="C450" s="461"/>
      <c r="D450" s="597"/>
      <c r="E450" s="336"/>
      <c r="F450" s="151"/>
      <c r="K450" s="201"/>
      <c r="M450" s="151"/>
      <c r="R450" s="154"/>
      <c r="S450" s="154"/>
      <c r="T450" s="154"/>
    </row>
    <row r="451" spans="1:20" s="149" customFormat="1" ht="18" hidden="1" customHeight="1" thickBot="1" x14ac:dyDescent="0.3">
      <c r="A451" s="335"/>
      <c r="B451" s="203"/>
      <c r="C451" s="461"/>
      <c r="D451" s="597"/>
      <c r="E451" s="336"/>
      <c r="F451" s="151"/>
      <c r="K451" s="201"/>
      <c r="M451" s="151"/>
      <c r="R451" s="154"/>
      <c r="S451" s="154"/>
      <c r="T451" s="154"/>
    </row>
    <row r="452" spans="1:20" s="149" customFormat="1" ht="18" customHeight="1" thickBot="1" x14ac:dyDescent="0.3">
      <c r="A452" s="335"/>
      <c r="B452" s="398">
        <f>SUM(B436:B444)</f>
        <v>595</v>
      </c>
      <c r="C452" s="461"/>
      <c r="D452" s="597"/>
      <c r="E452" s="463"/>
      <c r="F452" s="352"/>
      <c r="G452" s="350"/>
      <c r="H452" s="350"/>
      <c r="I452" s="350"/>
      <c r="J452" s="350"/>
      <c r="K452" s="351"/>
      <c r="L452" s="350"/>
      <c r="M452" s="352"/>
      <c r="N452" s="350"/>
      <c r="O452" s="350"/>
      <c r="P452" s="350"/>
      <c r="Q452" s="350"/>
      <c r="R452" s="760"/>
      <c r="S452" s="154"/>
      <c r="T452" s="154"/>
    </row>
    <row r="453" spans="1:20" s="149" customFormat="1" ht="18" customHeight="1" x14ac:dyDescent="0.25">
      <c r="A453" s="335"/>
      <c r="B453" s="203"/>
      <c r="C453" s="461"/>
      <c r="D453" s="597"/>
      <c r="E453" s="336"/>
      <c r="F453" s="151"/>
      <c r="K453" s="201"/>
      <c r="M453" s="151"/>
      <c r="R453" s="154"/>
      <c r="S453" s="154"/>
      <c r="T453" s="154"/>
    </row>
    <row r="454" spans="1:20" s="149" customFormat="1" ht="18" customHeight="1" x14ac:dyDescent="0.25">
      <c r="A454" s="335">
        <v>45386</v>
      </c>
      <c r="B454" s="203">
        <v>60</v>
      </c>
      <c r="C454" s="461"/>
      <c r="D454" s="808" t="s">
        <v>2278</v>
      </c>
      <c r="E454" s="336"/>
      <c r="F454" s="151"/>
      <c r="K454" s="201"/>
      <c r="M454" s="151"/>
      <c r="R454" s="154"/>
      <c r="S454" s="154"/>
      <c r="T454" s="154"/>
    </row>
    <row r="455" spans="1:20" s="149" customFormat="1" ht="18" customHeight="1" x14ac:dyDescent="0.25">
      <c r="A455" s="335"/>
      <c r="B455" s="203">
        <v>150</v>
      </c>
      <c r="C455" s="461"/>
      <c r="D455" s="808" t="s">
        <v>2299</v>
      </c>
      <c r="E455" s="336"/>
      <c r="F455" s="151"/>
      <c r="K455" s="201"/>
      <c r="M455" s="151"/>
      <c r="R455" s="154"/>
      <c r="S455" s="154"/>
      <c r="T455" s="154"/>
    </row>
    <row r="456" spans="1:20" s="149" customFormat="1" ht="18" customHeight="1" x14ac:dyDescent="0.25">
      <c r="A456" s="335"/>
      <c r="B456" s="203">
        <v>200</v>
      </c>
      <c r="C456" s="461"/>
      <c r="D456" s="808" t="s">
        <v>2300</v>
      </c>
      <c r="E456" s="336"/>
      <c r="F456" s="151"/>
      <c r="K456" s="201"/>
      <c r="M456" s="151"/>
      <c r="R456" s="154"/>
      <c r="S456" s="154"/>
      <c r="T456" s="154"/>
    </row>
    <row r="457" spans="1:20" s="149" customFormat="1" ht="18" customHeight="1" x14ac:dyDescent="0.25">
      <c r="A457" s="335"/>
      <c r="B457" s="203">
        <v>40</v>
      </c>
      <c r="C457" s="461"/>
      <c r="D457" s="881" t="s">
        <v>2301</v>
      </c>
      <c r="E457" s="336" t="s">
        <v>2324</v>
      </c>
      <c r="F457" s="151"/>
      <c r="K457" s="201"/>
      <c r="M457" s="151"/>
      <c r="R457" s="154"/>
      <c r="S457" s="154"/>
      <c r="T457" s="154"/>
    </row>
    <row r="458" spans="1:20" s="149" customFormat="1" ht="18" customHeight="1" thickBot="1" x14ac:dyDescent="0.3">
      <c r="A458" s="335"/>
      <c r="B458" s="203">
        <v>35</v>
      </c>
      <c r="C458" s="461"/>
      <c r="D458" s="808" t="s">
        <v>2315</v>
      </c>
      <c r="E458" s="336"/>
      <c r="F458" s="151"/>
      <c r="K458" s="201"/>
      <c r="M458" s="151"/>
      <c r="R458" s="154"/>
      <c r="S458" s="154"/>
      <c r="T458" s="154"/>
    </row>
    <row r="459" spans="1:20" s="149" customFormat="1" ht="18" customHeight="1" thickBot="1" x14ac:dyDescent="0.3">
      <c r="A459" s="335"/>
      <c r="B459" s="398">
        <f>SUM(B454:B458)</f>
        <v>485</v>
      </c>
      <c r="C459" s="461"/>
      <c r="D459" s="597"/>
      <c r="E459" s="463"/>
      <c r="F459" s="352"/>
      <c r="G459" s="350"/>
      <c r="H459" s="350"/>
      <c r="I459" s="350"/>
      <c r="J459" s="350"/>
      <c r="K459" s="351"/>
      <c r="L459" s="350"/>
      <c r="M459" s="352"/>
      <c r="N459" s="350"/>
      <c r="O459" s="350"/>
      <c r="P459" s="350"/>
      <c r="Q459" s="350"/>
      <c r="R459" s="760"/>
      <c r="S459" s="154"/>
      <c r="T459" s="154"/>
    </row>
    <row r="460" spans="1:20" s="149" customFormat="1" ht="18" customHeight="1" x14ac:dyDescent="0.25">
      <c r="A460" s="335"/>
      <c r="B460" s="203"/>
      <c r="C460" s="461"/>
      <c r="D460" s="597"/>
      <c r="E460" s="336"/>
      <c r="F460" s="151"/>
      <c r="K460" s="201"/>
      <c r="M460" s="151"/>
      <c r="R460" s="154"/>
      <c r="S460" s="154"/>
      <c r="T460" s="154"/>
    </row>
    <row r="461" spans="1:20" s="149" customFormat="1" ht="18" customHeight="1" x14ac:dyDescent="0.25">
      <c r="A461" s="335">
        <v>45387</v>
      </c>
      <c r="B461" s="203">
        <v>35</v>
      </c>
      <c r="C461" s="461"/>
      <c r="D461" s="808" t="s">
        <v>2328</v>
      </c>
      <c r="E461" s="336"/>
      <c r="F461" s="151"/>
      <c r="K461" s="201"/>
      <c r="M461" s="151"/>
      <c r="R461" s="154"/>
      <c r="S461" s="154"/>
      <c r="T461" s="154"/>
    </row>
    <row r="462" spans="1:20" s="149" customFormat="1" ht="18" customHeight="1" thickBot="1" x14ac:dyDescent="0.3">
      <c r="A462" s="335"/>
      <c r="B462" s="203"/>
      <c r="C462" s="461"/>
      <c r="D462" s="881" t="s">
        <v>2331</v>
      </c>
      <c r="E462" s="814" t="s">
        <v>2381</v>
      </c>
      <c r="F462" s="151"/>
      <c r="K462" s="201"/>
      <c r="M462" s="151"/>
      <c r="R462" s="154"/>
      <c r="S462" s="154"/>
      <c r="T462" s="154"/>
    </row>
    <row r="463" spans="1:20" s="149" customFormat="1" ht="18" customHeight="1" thickBot="1" x14ac:dyDescent="0.3">
      <c r="A463" s="335"/>
      <c r="B463" s="398">
        <f>SUM(B461:B462)</f>
        <v>35</v>
      </c>
      <c r="C463" s="461"/>
      <c r="D463" s="597"/>
      <c r="E463" s="463"/>
      <c r="F463" s="352"/>
      <c r="G463" s="350"/>
      <c r="H463" s="350"/>
      <c r="I463" s="350"/>
      <c r="J463" s="350"/>
      <c r="K463" s="351"/>
      <c r="L463" s="350"/>
      <c r="M463" s="352"/>
      <c r="N463" s="350"/>
      <c r="O463" s="350"/>
      <c r="P463" s="350"/>
      <c r="Q463" s="350"/>
      <c r="R463" s="760"/>
      <c r="S463" s="154"/>
      <c r="T463" s="154"/>
    </row>
    <row r="464" spans="1:20" s="149" customFormat="1" ht="18" customHeight="1" x14ac:dyDescent="0.25">
      <c r="A464" s="335"/>
      <c r="B464" s="397"/>
      <c r="C464" s="461"/>
      <c r="D464" s="597"/>
      <c r="E464" s="403"/>
      <c r="F464" s="394"/>
      <c r="G464" s="395"/>
      <c r="H464" s="395"/>
      <c r="I464" s="395"/>
      <c r="J464" s="395"/>
      <c r="K464" s="396"/>
      <c r="L464" s="395"/>
      <c r="M464" s="394"/>
      <c r="N464" s="395"/>
      <c r="O464" s="395"/>
      <c r="P464" s="395"/>
      <c r="Q464" s="395"/>
      <c r="R464" s="393"/>
      <c r="S464" s="154"/>
      <c r="T464" s="154"/>
    </row>
    <row r="465" spans="1:20" s="149" customFormat="1" ht="18" customHeight="1" x14ac:dyDescent="0.25">
      <c r="A465" s="335">
        <v>45388</v>
      </c>
      <c r="B465" s="397">
        <v>50</v>
      </c>
      <c r="C465" s="461"/>
      <c r="D465" s="808" t="s">
        <v>2332</v>
      </c>
      <c r="E465" s="403"/>
      <c r="F465" s="394"/>
      <c r="G465" s="395"/>
      <c r="H465" s="395"/>
      <c r="I465" s="395"/>
      <c r="J465" s="395"/>
      <c r="K465" s="396"/>
      <c r="L465" s="395"/>
      <c r="M465" s="394"/>
      <c r="N465" s="395"/>
      <c r="O465" s="395"/>
      <c r="P465" s="395"/>
      <c r="Q465" s="395"/>
      <c r="R465" s="393"/>
      <c r="S465" s="154"/>
      <c r="T465" s="154"/>
    </row>
    <row r="466" spans="1:20" s="149" customFormat="1" ht="18" customHeight="1" thickBot="1" x14ac:dyDescent="0.3">
      <c r="A466" s="335"/>
      <c r="B466" s="397"/>
      <c r="C466" s="461">
        <v>145</v>
      </c>
      <c r="D466" s="808" t="s">
        <v>2382</v>
      </c>
      <c r="E466" s="403"/>
      <c r="F466" s="394"/>
      <c r="G466" s="395"/>
      <c r="H466" s="395"/>
      <c r="I466" s="395"/>
      <c r="J466" s="395"/>
      <c r="K466" s="396"/>
      <c r="L466" s="395"/>
      <c r="M466" s="394"/>
      <c r="N466" s="395"/>
      <c r="O466" s="395"/>
      <c r="P466" s="395"/>
      <c r="Q466" s="395"/>
      <c r="R466" s="393"/>
      <c r="S466" s="154"/>
      <c r="T466" s="154"/>
    </row>
    <row r="467" spans="1:20" s="149" customFormat="1" ht="18" customHeight="1" thickBot="1" x14ac:dyDescent="0.3">
      <c r="A467" s="335"/>
      <c r="B467" s="398">
        <f>SUM(B465:B466)</f>
        <v>50</v>
      </c>
      <c r="C467" s="461"/>
      <c r="D467" s="597"/>
      <c r="E467" s="463"/>
      <c r="F467" s="352"/>
      <c r="G467" s="350"/>
      <c r="H467" s="350"/>
      <c r="I467" s="350"/>
      <c r="J467" s="350"/>
      <c r="K467" s="351"/>
      <c r="L467" s="350"/>
      <c r="M467" s="352"/>
      <c r="N467" s="350"/>
      <c r="O467" s="350"/>
      <c r="P467" s="350"/>
      <c r="Q467" s="350"/>
      <c r="R467" s="760"/>
      <c r="S467" s="154"/>
      <c r="T467" s="154"/>
    </row>
    <row r="468" spans="1:20" s="149" customFormat="1" ht="18" customHeight="1" x14ac:dyDescent="0.25">
      <c r="A468" s="335"/>
      <c r="B468" s="397"/>
      <c r="C468" s="461"/>
      <c r="D468" s="597"/>
      <c r="E468" s="403"/>
      <c r="F468" s="394"/>
      <c r="G468" s="395"/>
      <c r="H468" s="395"/>
      <c r="I468" s="395"/>
      <c r="J468" s="395"/>
      <c r="K468" s="396"/>
      <c r="L468" s="395"/>
      <c r="M468" s="394"/>
      <c r="N468" s="395"/>
      <c r="O468" s="395"/>
      <c r="P468" s="395"/>
      <c r="Q468" s="395"/>
      <c r="R468" s="393"/>
      <c r="S468" s="154"/>
      <c r="T468" s="154"/>
    </row>
    <row r="469" spans="1:20" s="149" customFormat="1" ht="18" customHeight="1" x14ac:dyDescent="0.25">
      <c r="A469" s="335">
        <v>45390</v>
      </c>
      <c r="B469" s="397">
        <v>100</v>
      </c>
      <c r="C469" s="461"/>
      <c r="D469" s="808" t="s">
        <v>2333</v>
      </c>
      <c r="E469" s="403"/>
      <c r="F469" s="394"/>
      <c r="G469" s="395"/>
      <c r="H469" s="395"/>
      <c r="I469" s="395"/>
      <c r="J469" s="395"/>
      <c r="K469" s="396"/>
      <c r="L469" s="395"/>
      <c r="M469" s="394"/>
      <c r="N469" s="395"/>
      <c r="O469" s="395"/>
      <c r="P469" s="395"/>
      <c r="Q469" s="395"/>
      <c r="R469" s="393"/>
      <c r="S469" s="154"/>
      <c r="T469" s="154"/>
    </row>
    <row r="470" spans="1:20" s="149" customFormat="1" ht="18" customHeight="1" x14ac:dyDescent="0.25">
      <c r="A470" s="335"/>
      <c r="B470" s="397"/>
      <c r="C470" s="461">
        <v>110</v>
      </c>
      <c r="D470" s="808" t="s">
        <v>2334</v>
      </c>
      <c r="E470" s="403"/>
      <c r="F470" s="394"/>
      <c r="G470" s="395"/>
      <c r="H470" s="395"/>
      <c r="I470" s="395"/>
      <c r="J470" s="395"/>
      <c r="K470" s="396"/>
      <c r="L470" s="395"/>
      <c r="M470" s="394"/>
      <c r="N470" s="395"/>
      <c r="O470" s="395"/>
      <c r="P470" s="395"/>
      <c r="Q470" s="395"/>
      <c r="R470" s="393"/>
      <c r="S470" s="154"/>
      <c r="T470" s="154"/>
    </row>
    <row r="471" spans="1:20" s="149" customFormat="1" ht="18" customHeight="1" x14ac:dyDescent="0.25">
      <c r="A471" s="335"/>
      <c r="B471" s="397"/>
      <c r="C471" s="461">
        <v>150</v>
      </c>
      <c r="D471" s="808" t="s">
        <v>2383</v>
      </c>
      <c r="E471" s="403"/>
      <c r="F471" s="394"/>
      <c r="G471" s="395"/>
      <c r="H471" s="395"/>
      <c r="I471" s="395"/>
      <c r="J471" s="395"/>
      <c r="K471" s="396"/>
      <c r="L471" s="395"/>
      <c r="M471" s="394"/>
      <c r="N471" s="395"/>
      <c r="O471" s="395"/>
      <c r="P471" s="395"/>
      <c r="Q471" s="395"/>
      <c r="R471" s="393"/>
      <c r="S471" s="154"/>
      <c r="T471" s="154"/>
    </row>
    <row r="472" spans="1:20" s="149" customFormat="1" ht="18" customHeight="1" thickBot="1" x14ac:dyDescent="0.3">
      <c r="A472" s="335"/>
      <c r="B472" s="397">
        <v>100</v>
      </c>
      <c r="C472" s="461"/>
      <c r="D472" s="808" t="s">
        <v>2335</v>
      </c>
      <c r="E472" s="403"/>
      <c r="F472" s="394"/>
      <c r="G472" s="395"/>
      <c r="H472" s="395"/>
      <c r="I472" s="395"/>
      <c r="J472" s="395"/>
      <c r="K472" s="396"/>
      <c r="L472" s="395"/>
      <c r="M472" s="394"/>
      <c r="N472" s="395"/>
      <c r="O472" s="395"/>
      <c r="P472" s="395"/>
      <c r="Q472" s="395"/>
      <c r="R472" s="393"/>
      <c r="S472" s="154"/>
      <c r="T472" s="154"/>
    </row>
    <row r="473" spans="1:20" s="149" customFormat="1" ht="18" customHeight="1" thickBot="1" x14ac:dyDescent="0.3">
      <c r="A473" s="335"/>
      <c r="B473" s="398">
        <f>SUM(B469:B472)</f>
        <v>200</v>
      </c>
      <c r="C473" s="461"/>
      <c r="D473" s="597"/>
      <c r="E473" s="463"/>
      <c r="F473" s="352"/>
      <c r="G473" s="350"/>
      <c r="H473" s="350"/>
      <c r="I473" s="350"/>
      <c r="J473" s="350"/>
      <c r="K473" s="351"/>
      <c r="L473" s="350"/>
      <c r="M473" s="352"/>
      <c r="N473" s="350"/>
      <c r="O473" s="350"/>
      <c r="P473" s="350"/>
      <c r="Q473" s="350"/>
      <c r="R473" s="760"/>
      <c r="S473" s="154"/>
      <c r="T473" s="154"/>
    </row>
    <row r="474" spans="1:20" s="149" customFormat="1" ht="18" customHeight="1" x14ac:dyDescent="0.25">
      <c r="A474" s="335"/>
      <c r="B474" s="397"/>
      <c r="C474" s="461"/>
      <c r="D474" s="597"/>
      <c r="E474" s="403"/>
      <c r="F474" s="394"/>
      <c r="G474" s="395"/>
      <c r="H474" s="395"/>
      <c r="I474" s="395"/>
      <c r="J474" s="395"/>
      <c r="K474" s="396"/>
      <c r="L474" s="395"/>
      <c r="M474" s="394"/>
      <c r="N474" s="395"/>
      <c r="O474" s="395"/>
      <c r="P474" s="395"/>
      <c r="Q474" s="395"/>
      <c r="R474" s="393"/>
      <c r="S474" s="154"/>
      <c r="T474" s="154"/>
    </row>
    <row r="475" spans="1:20" s="149" customFormat="1" ht="18" customHeight="1" x14ac:dyDescent="0.25">
      <c r="A475" s="335">
        <v>45391</v>
      </c>
      <c r="B475" s="397">
        <v>215</v>
      </c>
      <c r="C475" s="461"/>
      <c r="D475" s="808" t="s">
        <v>2336</v>
      </c>
      <c r="E475" s="403"/>
      <c r="F475" s="394"/>
      <c r="G475" s="395"/>
      <c r="H475" s="395"/>
      <c r="I475" s="395"/>
      <c r="J475" s="395"/>
      <c r="K475" s="396"/>
      <c r="L475" s="395"/>
      <c r="M475" s="394"/>
      <c r="N475" s="395"/>
      <c r="O475" s="395"/>
      <c r="P475" s="395"/>
      <c r="Q475" s="395"/>
      <c r="R475" s="393"/>
      <c r="S475" s="154"/>
      <c r="T475" s="154"/>
    </row>
    <row r="476" spans="1:20" s="149" customFormat="1" ht="18" customHeight="1" x14ac:dyDescent="0.25">
      <c r="A476" s="335"/>
      <c r="B476" s="397">
        <v>25</v>
      </c>
      <c r="C476" s="461"/>
      <c r="D476" s="808" t="s">
        <v>2337</v>
      </c>
      <c r="E476" s="403"/>
      <c r="F476" s="394"/>
      <c r="G476" s="395"/>
      <c r="H476" s="395"/>
      <c r="I476" s="395"/>
      <c r="J476" s="395"/>
      <c r="K476" s="396"/>
      <c r="L476" s="395"/>
      <c r="M476" s="394"/>
      <c r="N476" s="395"/>
      <c r="O476" s="395"/>
      <c r="P476" s="395"/>
      <c r="Q476" s="395"/>
      <c r="R476" s="393"/>
      <c r="S476" s="154"/>
      <c r="T476" s="154"/>
    </row>
    <row r="477" spans="1:20" s="149" customFormat="1" ht="18" customHeight="1" x14ac:dyDescent="0.25">
      <c r="A477" s="335"/>
      <c r="B477" s="397">
        <v>20</v>
      </c>
      <c r="C477" s="461"/>
      <c r="D477" s="808" t="s">
        <v>2338</v>
      </c>
      <c r="E477" s="403"/>
      <c r="F477" s="394"/>
      <c r="G477" s="395"/>
      <c r="H477" s="395"/>
      <c r="I477" s="395"/>
      <c r="J477" s="395"/>
      <c r="K477" s="396"/>
      <c r="L477" s="395"/>
      <c r="M477" s="394"/>
      <c r="N477" s="395"/>
      <c r="O477" s="395"/>
      <c r="P477" s="395"/>
      <c r="Q477" s="395"/>
      <c r="R477" s="393"/>
      <c r="S477" s="154"/>
      <c r="T477" s="154"/>
    </row>
    <row r="478" spans="1:20" s="149" customFormat="1" ht="18" customHeight="1" x14ac:dyDescent="0.25">
      <c r="A478" s="335"/>
      <c r="B478" s="397">
        <v>110</v>
      </c>
      <c r="C478" s="461"/>
      <c r="D478" s="808" t="s">
        <v>2384</v>
      </c>
      <c r="E478" s="403"/>
      <c r="F478" s="394"/>
      <c r="G478" s="395"/>
      <c r="H478" s="395"/>
      <c r="I478" s="395"/>
      <c r="J478" s="395"/>
      <c r="K478" s="396"/>
      <c r="L478" s="395"/>
      <c r="M478" s="394"/>
      <c r="N478" s="395"/>
      <c r="O478" s="395"/>
      <c r="P478" s="395"/>
      <c r="Q478" s="395"/>
      <c r="R478" s="393"/>
      <c r="S478" s="154"/>
      <c r="T478" s="154"/>
    </row>
    <row r="479" spans="1:20" s="149" customFormat="1" ht="18" customHeight="1" x14ac:dyDescent="0.25">
      <c r="A479" s="335"/>
      <c r="B479" s="397"/>
      <c r="C479" s="461"/>
      <c r="D479" s="829" t="s">
        <v>2339</v>
      </c>
      <c r="E479" s="403"/>
      <c r="F479" s="394"/>
      <c r="G479" s="395"/>
      <c r="H479" s="395"/>
      <c r="I479" s="395"/>
      <c r="J479" s="395"/>
      <c r="K479" s="396"/>
      <c r="L479" s="395"/>
      <c r="M479" s="394"/>
      <c r="N479" s="395"/>
      <c r="O479" s="395"/>
      <c r="P479" s="395"/>
      <c r="Q479" s="395"/>
      <c r="R479" s="393"/>
      <c r="S479" s="154"/>
      <c r="T479" s="154"/>
    </row>
    <row r="480" spans="1:20" s="149" customFormat="1" ht="18" customHeight="1" x14ac:dyDescent="0.25">
      <c r="A480" s="335"/>
      <c r="B480" s="397">
        <v>35</v>
      </c>
      <c r="C480" s="461">
        <v>70</v>
      </c>
      <c r="D480" s="808" t="s">
        <v>2340</v>
      </c>
      <c r="E480" s="403"/>
      <c r="F480" s="394"/>
      <c r="G480" s="395"/>
      <c r="H480" s="395"/>
      <c r="I480" s="395"/>
      <c r="J480" s="395"/>
      <c r="K480" s="396"/>
      <c r="L480" s="395"/>
      <c r="M480" s="394"/>
      <c r="N480" s="395"/>
      <c r="O480" s="395"/>
      <c r="P480" s="395"/>
      <c r="Q480" s="395"/>
      <c r="R480" s="393"/>
      <c r="S480" s="154"/>
      <c r="T480" s="154"/>
    </row>
    <row r="481" spans="1:20" s="149" customFormat="1" ht="18" customHeight="1" x14ac:dyDescent="0.25">
      <c r="A481" s="335"/>
      <c r="B481" s="397"/>
      <c r="C481" s="461"/>
      <c r="D481" s="829" t="s">
        <v>2341</v>
      </c>
      <c r="E481" s="403"/>
      <c r="F481" s="394"/>
      <c r="G481" s="395"/>
      <c r="H481" s="395"/>
      <c r="I481" s="395"/>
      <c r="J481" s="395"/>
      <c r="K481" s="396"/>
      <c r="L481" s="395"/>
      <c r="M481" s="394"/>
      <c r="N481" s="395"/>
      <c r="O481" s="395"/>
      <c r="P481" s="395"/>
      <c r="Q481" s="395"/>
      <c r="R481" s="393"/>
      <c r="S481" s="154"/>
      <c r="T481" s="154"/>
    </row>
    <row r="482" spans="1:20" s="149" customFormat="1" ht="18" customHeight="1" x14ac:dyDescent="0.25">
      <c r="A482" s="335"/>
      <c r="B482" s="203">
        <v>30</v>
      </c>
      <c r="C482" s="461">
        <v>110</v>
      </c>
      <c r="D482" s="808" t="s">
        <v>2342</v>
      </c>
      <c r="E482" s="336"/>
      <c r="F482" s="151"/>
      <c r="K482" s="201"/>
      <c r="M482" s="151"/>
      <c r="R482" s="154"/>
      <c r="S482" s="154"/>
      <c r="T482" s="154"/>
    </row>
    <row r="483" spans="1:20" s="149" customFormat="1" ht="18" customHeight="1" thickBot="1" x14ac:dyDescent="0.3">
      <c r="A483" s="335"/>
      <c r="B483" s="203">
        <v>60</v>
      </c>
      <c r="C483" s="461"/>
      <c r="D483" s="808" t="s">
        <v>2343</v>
      </c>
      <c r="E483" s="336"/>
      <c r="F483" s="151"/>
      <c r="K483" s="201"/>
      <c r="M483" s="151"/>
      <c r="R483" s="154"/>
      <c r="S483" s="154"/>
      <c r="T483" s="154"/>
    </row>
    <row r="484" spans="1:20" s="149" customFormat="1" ht="18" customHeight="1" thickBot="1" x14ac:dyDescent="0.3">
      <c r="A484" s="335"/>
      <c r="B484" s="398">
        <f>SUM(B475:B483)</f>
        <v>495</v>
      </c>
      <c r="C484" s="461"/>
      <c r="D484" s="597"/>
      <c r="E484" s="463"/>
      <c r="F484" s="352"/>
      <c r="G484" s="350"/>
      <c r="H484" s="350"/>
      <c r="I484" s="350"/>
      <c r="J484" s="350"/>
      <c r="K484" s="351"/>
      <c r="L484" s="350"/>
      <c r="M484" s="352"/>
      <c r="N484" s="350"/>
      <c r="O484" s="350"/>
      <c r="P484" s="350"/>
      <c r="Q484" s="350"/>
      <c r="R484" s="760"/>
      <c r="S484" s="154"/>
      <c r="T484" s="154"/>
    </row>
    <row r="485" spans="1:20" s="149" customFormat="1" ht="18" customHeight="1" x14ac:dyDescent="0.25">
      <c r="A485" s="335"/>
      <c r="B485" s="397"/>
      <c r="C485" s="461"/>
      <c r="D485" s="597"/>
      <c r="E485" s="403"/>
      <c r="F485" s="394"/>
      <c r="G485" s="395"/>
      <c r="H485" s="395"/>
      <c r="I485" s="395"/>
      <c r="J485" s="395"/>
      <c r="K485" s="396"/>
      <c r="L485" s="395"/>
      <c r="M485" s="394"/>
      <c r="N485" s="395"/>
      <c r="O485" s="395"/>
      <c r="P485" s="395"/>
      <c r="Q485" s="395"/>
      <c r="R485" s="393"/>
      <c r="S485" s="154"/>
      <c r="T485" s="154"/>
    </row>
    <row r="486" spans="1:20" s="149" customFormat="1" ht="18" customHeight="1" x14ac:dyDescent="0.25">
      <c r="A486" s="335">
        <v>45392</v>
      </c>
      <c r="B486" s="397">
        <v>100</v>
      </c>
      <c r="C486" s="461"/>
      <c r="D486" s="808" t="s">
        <v>2344</v>
      </c>
      <c r="E486" s="403"/>
      <c r="F486" s="394"/>
      <c r="G486" s="395"/>
      <c r="H486" s="395"/>
      <c r="I486" s="395"/>
      <c r="J486" s="395"/>
      <c r="K486" s="396"/>
      <c r="L486" s="395"/>
      <c r="M486" s="394"/>
      <c r="N486" s="395"/>
      <c r="O486" s="395"/>
      <c r="P486" s="395"/>
      <c r="Q486" s="395"/>
      <c r="R486" s="393"/>
      <c r="S486" s="154"/>
      <c r="T486" s="154"/>
    </row>
    <row r="487" spans="1:20" s="149" customFormat="1" ht="18" customHeight="1" thickBot="1" x14ac:dyDescent="0.3">
      <c r="A487" s="335"/>
      <c r="B487" s="397"/>
      <c r="C487" s="461">
        <v>35</v>
      </c>
      <c r="D487" s="808" t="s">
        <v>2345</v>
      </c>
      <c r="E487" s="403"/>
      <c r="F487" s="394"/>
      <c r="G487" s="395"/>
      <c r="H487" s="395"/>
      <c r="I487" s="395"/>
      <c r="J487" s="395"/>
      <c r="K487" s="396"/>
      <c r="L487" s="395"/>
      <c r="M487" s="394"/>
      <c r="N487" s="395"/>
      <c r="O487" s="395"/>
      <c r="P487" s="395"/>
      <c r="Q487" s="395"/>
      <c r="R487" s="393"/>
      <c r="S487" s="154"/>
      <c r="T487" s="154"/>
    </row>
    <row r="488" spans="1:20" s="149" customFormat="1" ht="18" customHeight="1" thickBot="1" x14ac:dyDescent="0.3">
      <c r="A488" s="335"/>
      <c r="B488" s="398">
        <f>SUM(B486:B487)</f>
        <v>100</v>
      </c>
      <c r="C488" s="461"/>
      <c r="D488" s="597"/>
      <c r="E488" s="463"/>
      <c r="F488" s="352"/>
      <c r="G488" s="350"/>
      <c r="H488" s="350"/>
      <c r="I488" s="350"/>
      <c r="J488" s="350"/>
      <c r="K488" s="351"/>
      <c r="L488" s="350"/>
      <c r="M488" s="352"/>
      <c r="N488" s="350"/>
      <c r="O488" s="350"/>
      <c r="P488" s="350"/>
      <c r="Q488" s="350"/>
      <c r="R488" s="760"/>
      <c r="S488" s="154"/>
      <c r="T488" s="154"/>
    </row>
    <row r="489" spans="1:20" s="149" customFormat="1" ht="18" customHeight="1" x14ac:dyDescent="0.25">
      <c r="A489" s="335"/>
      <c r="B489" s="397"/>
      <c r="C489" s="461"/>
      <c r="D489" s="597"/>
      <c r="E489" s="403"/>
      <c r="F489" s="394"/>
      <c r="G489" s="395"/>
      <c r="H489" s="395"/>
      <c r="I489" s="395"/>
      <c r="J489" s="395"/>
      <c r="K489" s="396"/>
      <c r="L489" s="395"/>
      <c r="M489" s="394"/>
      <c r="N489" s="395"/>
      <c r="O489" s="395"/>
      <c r="P489" s="395"/>
      <c r="Q489" s="395"/>
      <c r="R489" s="393"/>
      <c r="S489" s="154"/>
      <c r="T489" s="154"/>
    </row>
    <row r="490" spans="1:20" s="149" customFormat="1" ht="18" customHeight="1" x14ac:dyDescent="0.25">
      <c r="A490" s="335">
        <v>45393</v>
      </c>
      <c r="B490" s="397">
        <v>20</v>
      </c>
      <c r="C490" s="461"/>
      <c r="D490" s="808" t="s">
        <v>2346</v>
      </c>
      <c r="E490" s="403"/>
      <c r="F490" s="394"/>
      <c r="G490" s="395"/>
      <c r="H490" s="395"/>
      <c r="I490" s="395"/>
      <c r="J490" s="395"/>
      <c r="K490" s="396"/>
      <c r="L490" s="395"/>
      <c r="M490" s="394"/>
      <c r="N490" s="395"/>
      <c r="O490" s="395"/>
      <c r="P490" s="395"/>
      <c r="Q490" s="395"/>
      <c r="R490" s="393"/>
      <c r="S490" s="154"/>
      <c r="T490" s="154"/>
    </row>
    <row r="491" spans="1:20" s="149" customFormat="1" ht="18" customHeight="1" x14ac:dyDescent="0.25">
      <c r="A491" s="335"/>
      <c r="B491" s="397">
        <v>145</v>
      </c>
      <c r="C491" s="461"/>
      <c r="D491" s="808" t="s">
        <v>1973</v>
      </c>
      <c r="E491" s="403"/>
      <c r="F491" s="394"/>
      <c r="G491" s="395"/>
      <c r="H491" s="395"/>
      <c r="I491" s="395"/>
      <c r="J491" s="395"/>
      <c r="K491" s="396"/>
      <c r="L491" s="395"/>
      <c r="M491" s="394"/>
      <c r="N491" s="395"/>
      <c r="O491" s="395"/>
      <c r="P491" s="395"/>
      <c r="Q491" s="395"/>
      <c r="R491" s="393"/>
      <c r="S491" s="154"/>
      <c r="T491" s="154"/>
    </row>
    <row r="492" spans="1:20" s="149" customFormat="1" ht="18" customHeight="1" x14ac:dyDescent="0.25">
      <c r="A492" s="335"/>
      <c r="B492" s="397"/>
      <c r="C492" s="461">
        <v>75</v>
      </c>
      <c r="D492" s="808" t="s">
        <v>2347</v>
      </c>
      <c r="E492" s="403"/>
      <c r="F492" s="394"/>
      <c r="G492" s="395"/>
      <c r="H492" s="395"/>
      <c r="I492" s="395"/>
      <c r="J492" s="395"/>
      <c r="K492" s="396"/>
      <c r="L492" s="395"/>
      <c r="M492" s="394"/>
      <c r="N492" s="395"/>
      <c r="O492" s="395"/>
      <c r="P492" s="395"/>
      <c r="Q492" s="395"/>
      <c r="R492" s="393"/>
      <c r="S492" s="154"/>
      <c r="T492" s="154"/>
    </row>
    <row r="493" spans="1:20" s="149" customFormat="1" ht="18" customHeight="1" x14ac:dyDescent="0.25">
      <c r="A493" s="335"/>
      <c r="B493" s="397">
        <v>100</v>
      </c>
      <c r="C493" s="461"/>
      <c r="D493" s="829" t="s">
        <v>2362</v>
      </c>
      <c r="E493" s="403"/>
      <c r="F493" s="394"/>
      <c r="G493" s="395"/>
      <c r="H493" s="395"/>
      <c r="I493" s="395"/>
      <c r="J493" s="395"/>
      <c r="K493" s="396"/>
      <c r="L493" s="395"/>
      <c r="M493" s="394"/>
      <c r="N493" s="395"/>
      <c r="O493" s="395"/>
      <c r="P493" s="395"/>
      <c r="Q493" s="395"/>
      <c r="R493" s="393"/>
      <c r="S493" s="154"/>
      <c r="T493" s="154"/>
    </row>
    <row r="494" spans="1:20" s="149" customFormat="1" ht="18" customHeight="1" x14ac:dyDescent="0.25">
      <c r="A494" s="335"/>
      <c r="B494" s="397"/>
      <c r="C494" s="461">
        <v>140</v>
      </c>
      <c r="D494" s="808" t="s">
        <v>2348</v>
      </c>
      <c r="E494" s="403"/>
      <c r="F494" s="394"/>
      <c r="G494" s="395"/>
      <c r="H494" s="395"/>
      <c r="I494" s="395"/>
      <c r="J494" s="395"/>
      <c r="K494" s="396"/>
      <c r="L494" s="395"/>
      <c r="M494" s="394"/>
      <c r="N494" s="395"/>
      <c r="O494" s="395"/>
      <c r="P494" s="395"/>
      <c r="Q494" s="395"/>
      <c r="R494" s="393"/>
      <c r="S494" s="154"/>
      <c r="T494" s="154"/>
    </row>
    <row r="495" spans="1:20" s="149" customFormat="1" ht="18" customHeight="1" thickBot="1" x14ac:dyDescent="0.3">
      <c r="A495" s="335"/>
      <c r="B495" s="397"/>
      <c r="C495" s="461">
        <v>110</v>
      </c>
      <c r="D495" s="808" t="s">
        <v>2349</v>
      </c>
      <c r="E495" s="403"/>
      <c r="F495" s="394"/>
      <c r="G495" s="395"/>
      <c r="H495" s="395"/>
      <c r="I495" s="395"/>
      <c r="J495" s="395"/>
      <c r="K495" s="396"/>
      <c r="L495" s="395"/>
      <c r="M495" s="394"/>
      <c r="N495" s="395"/>
      <c r="O495" s="395"/>
      <c r="P495" s="395"/>
      <c r="Q495" s="395"/>
      <c r="R495" s="393"/>
      <c r="S495" s="154"/>
      <c r="T495" s="154"/>
    </row>
    <row r="496" spans="1:20" s="149" customFormat="1" ht="18" customHeight="1" thickBot="1" x14ac:dyDescent="0.3">
      <c r="A496" s="335"/>
      <c r="B496" s="398">
        <f>SUM(B490:B495)</f>
        <v>265</v>
      </c>
      <c r="C496" s="461"/>
      <c r="D496" s="597"/>
      <c r="E496" s="463"/>
      <c r="F496" s="352"/>
      <c r="G496" s="350"/>
      <c r="H496" s="350"/>
      <c r="I496" s="350"/>
      <c r="J496" s="350"/>
      <c r="K496" s="351"/>
      <c r="L496" s="350"/>
      <c r="M496" s="352"/>
      <c r="N496" s="350"/>
      <c r="O496" s="350"/>
      <c r="P496" s="350"/>
      <c r="Q496" s="350"/>
      <c r="R496" s="760"/>
      <c r="S496" s="154"/>
      <c r="T496" s="154"/>
    </row>
    <row r="497" spans="1:20" s="149" customFormat="1" ht="18" customHeight="1" x14ac:dyDescent="0.25">
      <c r="A497" s="335"/>
      <c r="B497" s="397"/>
      <c r="C497" s="461"/>
      <c r="D497" s="597"/>
      <c r="E497" s="403"/>
      <c r="F497" s="394"/>
      <c r="G497" s="395"/>
      <c r="H497" s="395"/>
      <c r="I497" s="395"/>
      <c r="J497" s="395"/>
      <c r="K497" s="396"/>
      <c r="L497" s="395"/>
      <c r="M497" s="394"/>
      <c r="N497" s="395"/>
      <c r="O497" s="395"/>
      <c r="P497" s="395"/>
      <c r="Q497" s="395"/>
      <c r="R497" s="393"/>
      <c r="S497" s="154"/>
      <c r="T497" s="154"/>
    </row>
    <row r="498" spans="1:20" s="149" customFormat="1" ht="18" customHeight="1" x14ac:dyDescent="0.25">
      <c r="A498" s="335">
        <v>45394</v>
      </c>
      <c r="B498" s="397">
        <v>100</v>
      </c>
      <c r="C498" s="461"/>
      <c r="D498" s="808" t="s">
        <v>1877</v>
      </c>
      <c r="E498" s="403"/>
      <c r="F498" s="394"/>
      <c r="G498" s="395"/>
      <c r="H498" s="395"/>
      <c r="I498" s="395"/>
      <c r="J498" s="395"/>
      <c r="K498" s="396"/>
      <c r="L498" s="395"/>
      <c r="M498" s="394"/>
      <c r="N498" s="395"/>
      <c r="O498" s="395"/>
      <c r="P498" s="395"/>
      <c r="Q498" s="395"/>
      <c r="R498" s="393"/>
      <c r="S498" s="154"/>
      <c r="T498" s="154"/>
    </row>
    <row r="499" spans="1:20" s="149" customFormat="1" ht="18" customHeight="1" x14ac:dyDescent="0.25">
      <c r="A499" s="335"/>
      <c r="B499" s="397"/>
      <c r="C499" s="461"/>
      <c r="D499" s="829" t="s">
        <v>2351</v>
      </c>
      <c r="E499" s="403"/>
      <c r="F499" s="394"/>
      <c r="G499" s="395"/>
      <c r="H499" s="395"/>
      <c r="I499" s="395"/>
      <c r="J499" s="395"/>
      <c r="K499" s="396"/>
      <c r="L499" s="395"/>
      <c r="M499" s="394"/>
      <c r="N499" s="395"/>
      <c r="O499" s="395"/>
      <c r="P499" s="395"/>
      <c r="Q499" s="395"/>
      <c r="R499" s="393"/>
      <c r="S499" s="154"/>
      <c r="T499" s="154"/>
    </row>
    <row r="500" spans="1:20" s="149" customFormat="1" ht="18" customHeight="1" x14ac:dyDescent="0.25">
      <c r="A500" s="335"/>
      <c r="B500" s="397">
        <v>125</v>
      </c>
      <c r="C500" s="461"/>
      <c r="D500" s="808" t="s">
        <v>2350</v>
      </c>
      <c r="E500" s="403"/>
      <c r="F500" s="394"/>
      <c r="G500" s="395"/>
      <c r="H500" s="395"/>
      <c r="I500" s="395"/>
      <c r="J500" s="395"/>
      <c r="K500" s="396"/>
      <c r="L500" s="395"/>
      <c r="M500" s="394"/>
      <c r="N500" s="395"/>
      <c r="O500" s="395"/>
      <c r="P500" s="395"/>
      <c r="Q500" s="395"/>
      <c r="R500" s="393"/>
      <c r="S500" s="154"/>
      <c r="T500" s="154"/>
    </row>
    <row r="501" spans="1:20" s="149" customFormat="1" ht="18" customHeight="1" x14ac:dyDescent="0.25">
      <c r="A501" s="335"/>
      <c r="B501" s="397">
        <v>110</v>
      </c>
      <c r="C501" s="461"/>
      <c r="D501" s="808" t="s">
        <v>2352</v>
      </c>
      <c r="E501" s="403"/>
      <c r="F501" s="394"/>
      <c r="G501" s="395"/>
      <c r="H501" s="395"/>
      <c r="I501" s="395"/>
      <c r="J501" s="395"/>
      <c r="K501" s="396"/>
      <c r="L501" s="395"/>
      <c r="M501" s="394"/>
      <c r="N501" s="395"/>
      <c r="O501" s="395"/>
      <c r="P501" s="395"/>
      <c r="Q501" s="395"/>
      <c r="R501" s="393"/>
      <c r="S501" s="154"/>
      <c r="T501" s="154"/>
    </row>
    <row r="502" spans="1:20" s="149" customFormat="1" ht="18" customHeight="1" x14ac:dyDescent="0.25">
      <c r="A502" s="335"/>
      <c r="B502" s="397">
        <v>110</v>
      </c>
      <c r="C502" s="461"/>
      <c r="D502" s="808" t="s">
        <v>2353</v>
      </c>
      <c r="E502" s="403"/>
      <c r="F502" s="394"/>
      <c r="G502" s="395"/>
      <c r="H502" s="395"/>
      <c r="I502" s="395"/>
      <c r="J502" s="395"/>
      <c r="K502" s="396"/>
      <c r="L502" s="395"/>
      <c r="M502" s="394"/>
      <c r="N502" s="395"/>
      <c r="O502" s="395"/>
      <c r="P502" s="395"/>
      <c r="Q502" s="395"/>
      <c r="R502" s="393"/>
      <c r="S502" s="154"/>
      <c r="T502" s="154"/>
    </row>
    <row r="503" spans="1:20" s="149" customFormat="1" ht="18" customHeight="1" x14ac:dyDescent="0.25">
      <c r="A503" s="335"/>
      <c r="B503" s="397">
        <v>50</v>
      </c>
      <c r="C503" s="461"/>
      <c r="D503" s="808" t="s">
        <v>1897</v>
      </c>
      <c r="E503" s="403"/>
      <c r="F503" s="394"/>
      <c r="G503" s="395"/>
      <c r="H503" s="395"/>
      <c r="I503" s="395"/>
      <c r="J503" s="395"/>
      <c r="K503" s="396"/>
      <c r="L503" s="395"/>
      <c r="M503" s="394"/>
      <c r="N503" s="395"/>
      <c r="O503" s="395"/>
      <c r="P503" s="395"/>
      <c r="Q503" s="395"/>
      <c r="R503" s="393"/>
      <c r="S503" s="154"/>
      <c r="T503" s="154"/>
    </row>
    <row r="504" spans="1:20" s="149" customFormat="1" ht="18" customHeight="1" x14ac:dyDescent="0.25">
      <c r="A504" s="335"/>
      <c r="B504" s="397">
        <v>20</v>
      </c>
      <c r="C504" s="461">
        <v>110</v>
      </c>
      <c r="D504" s="808" t="s">
        <v>2354</v>
      </c>
      <c r="E504" s="403"/>
      <c r="F504" s="394"/>
      <c r="G504" s="395"/>
      <c r="H504" s="395"/>
      <c r="I504" s="395"/>
      <c r="J504" s="395"/>
      <c r="K504" s="396"/>
      <c r="L504" s="395"/>
      <c r="M504" s="394"/>
      <c r="N504" s="395"/>
      <c r="O504" s="395"/>
      <c r="P504" s="395"/>
      <c r="Q504" s="395"/>
      <c r="R504" s="393"/>
      <c r="S504" s="154"/>
      <c r="T504" s="154"/>
    </row>
    <row r="505" spans="1:20" s="149" customFormat="1" ht="18" customHeight="1" x14ac:dyDescent="0.25">
      <c r="A505" s="335"/>
      <c r="B505" s="397">
        <v>65</v>
      </c>
      <c r="C505" s="461"/>
      <c r="D505" s="829" t="s">
        <v>2166</v>
      </c>
      <c r="E505" s="403"/>
      <c r="F505" s="394"/>
      <c r="G505" s="395"/>
      <c r="H505" s="395"/>
      <c r="I505" s="395"/>
      <c r="J505" s="395"/>
      <c r="K505" s="396"/>
      <c r="L505" s="395"/>
      <c r="M505" s="394"/>
      <c r="N505" s="395"/>
      <c r="O505" s="395"/>
      <c r="P505" s="395"/>
      <c r="Q505" s="395"/>
      <c r="R505" s="393"/>
      <c r="S505" s="154"/>
      <c r="T505" s="154"/>
    </row>
    <row r="506" spans="1:20" s="149" customFormat="1" ht="18" customHeight="1" x14ac:dyDescent="0.25">
      <c r="A506" s="335"/>
      <c r="B506" s="397">
        <v>150</v>
      </c>
      <c r="C506" s="461"/>
      <c r="D506" s="808" t="s">
        <v>2355</v>
      </c>
      <c r="E506" s="403"/>
      <c r="F506" s="394"/>
      <c r="G506" s="395"/>
      <c r="H506" s="395"/>
      <c r="I506" s="395"/>
      <c r="J506" s="395"/>
      <c r="K506" s="396"/>
      <c r="L506" s="395"/>
      <c r="M506" s="394"/>
      <c r="N506" s="395"/>
      <c r="O506" s="395"/>
      <c r="P506" s="395"/>
      <c r="Q506" s="395"/>
      <c r="R506" s="393"/>
      <c r="S506" s="154"/>
      <c r="T506" s="154"/>
    </row>
    <row r="507" spans="1:20" s="149" customFormat="1" ht="18" customHeight="1" x14ac:dyDescent="0.25">
      <c r="A507" s="335"/>
      <c r="B507" s="397">
        <v>55</v>
      </c>
      <c r="C507" s="461"/>
      <c r="D507" s="808" t="s">
        <v>2356</v>
      </c>
      <c r="E507" s="403"/>
      <c r="F507" s="394"/>
      <c r="G507" s="395"/>
      <c r="H507" s="395"/>
      <c r="I507" s="395"/>
      <c r="J507" s="395"/>
      <c r="K507" s="396"/>
      <c r="L507" s="395"/>
      <c r="M507" s="394"/>
      <c r="N507" s="395"/>
      <c r="O507" s="395"/>
      <c r="P507" s="395"/>
      <c r="Q507" s="395"/>
      <c r="R507" s="393"/>
      <c r="S507" s="154"/>
      <c r="T507" s="154"/>
    </row>
    <row r="508" spans="1:20" s="149" customFormat="1" ht="18" customHeight="1" thickBot="1" x14ac:dyDescent="0.3">
      <c r="A508" s="335"/>
      <c r="B508" s="149">
        <v>125</v>
      </c>
      <c r="C508" s="461"/>
      <c r="D508" s="709" t="s">
        <v>2357</v>
      </c>
      <c r="E508" s="885" t="s">
        <v>2411</v>
      </c>
      <c r="F508" s="394"/>
      <c r="G508" s="395"/>
      <c r="H508" s="395"/>
      <c r="I508" s="395"/>
      <c r="J508" s="395"/>
      <c r="K508" s="396"/>
      <c r="L508" s="395"/>
      <c r="M508" s="394"/>
      <c r="N508" s="395"/>
      <c r="O508" s="395"/>
      <c r="P508" s="395"/>
      <c r="Q508" s="395"/>
      <c r="R508" s="393"/>
      <c r="S508" s="154"/>
      <c r="T508" s="154"/>
    </row>
    <row r="509" spans="1:20" s="149" customFormat="1" ht="18" customHeight="1" thickBot="1" x14ac:dyDescent="0.3">
      <c r="A509" s="335"/>
      <c r="B509" s="398">
        <f>SUM(B498:B508)</f>
        <v>910</v>
      </c>
      <c r="C509" s="461">
        <f>+B498+B503+B504+B505+B506+B507+B508</f>
        <v>565</v>
      </c>
      <c r="D509" s="597"/>
      <c r="E509" s="463"/>
      <c r="F509" s="352"/>
      <c r="G509" s="350"/>
      <c r="H509" s="350"/>
      <c r="I509" s="350"/>
      <c r="J509" s="350"/>
      <c r="K509" s="351"/>
      <c r="L509" s="350"/>
      <c r="M509" s="352"/>
      <c r="N509" s="350"/>
      <c r="O509" s="350"/>
      <c r="P509" s="350"/>
      <c r="Q509" s="350"/>
      <c r="R509" s="760"/>
      <c r="S509" s="154"/>
      <c r="T509" s="154"/>
    </row>
    <row r="510" spans="1:20" s="149" customFormat="1" ht="18" customHeight="1" x14ac:dyDescent="0.25">
      <c r="A510" s="335"/>
      <c r="B510" s="397"/>
      <c r="C510" s="461">
        <f>+C509-200</f>
        <v>365</v>
      </c>
      <c r="D510" s="597"/>
      <c r="E510" s="403"/>
      <c r="F510" s="394"/>
      <c r="G510" s="395"/>
      <c r="H510" s="395"/>
      <c r="I510" s="395"/>
      <c r="J510" s="395"/>
      <c r="K510" s="396"/>
      <c r="L510" s="395"/>
      <c r="M510" s="394"/>
      <c r="N510" s="395"/>
      <c r="O510" s="395"/>
      <c r="P510" s="395"/>
      <c r="Q510" s="395"/>
      <c r="R510" s="393"/>
      <c r="S510" s="154"/>
      <c r="T510" s="154"/>
    </row>
    <row r="511" spans="1:20" s="149" customFormat="1" ht="18" customHeight="1" x14ac:dyDescent="0.25">
      <c r="A511" s="335">
        <v>45395</v>
      </c>
      <c r="B511" s="397">
        <v>125</v>
      </c>
      <c r="C511" s="461"/>
      <c r="D511" s="808" t="s">
        <v>2358</v>
      </c>
      <c r="E511" s="403"/>
      <c r="F511" s="394"/>
      <c r="G511" s="395"/>
      <c r="H511" s="395"/>
      <c r="I511" s="395"/>
      <c r="J511" s="395"/>
      <c r="K511" s="396"/>
      <c r="L511" s="395"/>
      <c r="M511" s="394"/>
      <c r="N511" s="395"/>
      <c r="O511" s="395"/>
      <c r="P511" s="395"/>
      <c r="Q511" s="395"/>
      <c r="R511" s="393"/>
      <c r="S511" s="154"/>
      <c r="T511" s="154"/>
    </row>
    <row r="512" spans="1:20" s="149" customFormat="1" ht="18" customHeight="1" x14ac:dyDescent="0.25">
      <c r="A512" s="335"/>
      <c r="B512" s="397">
        <v>150</v>
      </c>
      <c r="C512" s="461"/>
      <c r="D512" s="808" t="s">
        <v>2359</v>
      </c>
      <c r="E512" s="403"/>
      <c r="F512" s="394"/>
      <c r="G512" s="395"/>
      <c r="H512" s="395"/>
      <c r="I512" s="395"/>
      <c r="J512" s="395"/>
      <c r="K512" s="396"/>
      <c r="L512" s="395"/>
      <c r="M512" s="394"/>
      <c r="N512" s="395"/>
      <c r="O512" s="395"/>
      <c r="P512" s="395"/>
      <c r="Q512" s="395"/>
      <c r="R512" s="393"/>
      <c r="S512" s="154"/>
      <c r="T512" s="154"/>
    </row>
    <row r="513" spans="1:20" s="149" customFormat="1" ht="18" customHeight="1" thickBot="1" x14ac:dyDescent="0.3">
      <c r="A513" s="335"/>
      <c r="B513" s="397">
        <v>150</v>
      </c>
      <c r="C513" s="461"/>
      <c r="D513" s="808" t="s">
        <v>2360</v>
      </c>
      <c r="E513" s="403"/>
      <c r="F513" s="394"/>
      <c r="G513" s="395"/>
      <c r="H513" s="395"/>
      <c r="I513" s="395"/>
      <c r="J513" s="395"/>
      <c r="K513" s="396"/>
      <c r="L513" s="395"/>
      <c r="M513" s="394"/>
      <c r="N513" s="395"/>
      <c r="O513" s="395"/>
      <c r="P513" s="395"/>
      <c r="Q513" s="395"/>
      <c r="R513" s="393"/>
      <c r="S513" s="154"/>
      <c r="T513" s="154"/>
    </row>
    <row r="514" spans="1:20" s="149" customFormat="1" ht="18" customHeight="1" thickBot="1" x14ac:dyDescent="0.3">
      <c r="A514" s="335"/>
      <c r="B514" s="398">
        <f>SUM(B511:B513)</f>
        <v>425</v>
      </c>
      <c r="C514" s="461"/>
      <c r="D514" s="597"/>
      <c r="E514" s="463"/>
      <c r="F514" s="352"/>
      <c r="G514" s="350"/>
      <c r="H514" s="350"/>
      <c r="I514" s="350"/>
      <c r="J514" s="350"/>
      <c r="K514" s="351"/>
      <c r="L514" s="350"/>
      <c r="M514" s="352"/>
      <c r="N514" s="350"/>
      <c r="O514" s="350"/>
      <c r="P514" s="350"/>
      <c r="Q514" s="350"/>
      <c r="R514" s="760"/>
      <c r="S514" s="154"/>
      <c r="T514" s="154"/>
    </row>
    <row r="515" spans="1:20" s="149" customFormat="1" ht="18" customHeight="1" x14ac:dyDescent="0.25">
      <c r="A515" s="335"/>
      <c r="B515" s="397"/>
      <c r="C515" s="461"/>
      <c r="D515" s="597"/>
      <c r="E515" s="403"/>
      <c r="F515" s="394"/>
      <c r="G515" s="395"/>
      <c r="H515" s="395"/>
      <c r="I515" s="395"/>
      <c r="J515" s="395"/>
      <c r="K515" s="396"/>
      <c r="L515" s="395"/>
      <c r="M515" s="394"/>
      <c r="N515" s="395"/>
      <c r="O515" s="395"/>
      <c r="P515" s="395"/>
      <c r="Q515" s="395"/>
      <c r="R515" s="393"/>
      <c r="S515" s="154"/>
      <c r="T515" s="154"/>
    </row>
    <row r="516" spans="1:20" s="149" customFormat="1" ht="18" customHeight="1" x14ac:dyDescent="0.25">
      <c r="A516" s="335">
        <v>45397</v>
      </c>
      <c r="B516" s="397">
        <v>125</v>
      </c>
      <c r="C516" s="461"/>
      <c r="D516" s="808" t="s">
        <v>2361</v>
      </c>
      <c r="E516" s="403"/>
      <c r="F516" s="394"/>
      <c r="G516" s="395"/>
      <c r="H516" s="395"/>
      <c r="I516" s="395"/>
      <c r="J516" s="395"/>
      <c r="K516" s="396"/>
      <c r="L516" s="395"/>
      <c r="M516" s="394"/>
      <c r="N516" s="395"/>
      <c r="O516" s="395"/>
      <c r="P516" s="395"/>
      <c r="Q516" s="395"/>
      <c r="R516" s="393"/>
      <c r="S516" s="154"/>
      <c r="T516" s="154"/>
    </row>
    <row r="517" spans="1:20" s="149" customFormat="1" ht="18" customHeight="1" x14ac:dyDescent="0.25">
      <c r="A517" s="335"/>
      <c r="B517" s="397">
        <v>100</v>
      </c>
      <c r="C517" s="461"/>
      <c r="D517" s="829" t="s">
        <v>2363</v>
      </c>
      <c r="E517" s="885">
        <v>750</v>
      </c>
      <c r="F517" s="394" t="s">
        <v>2410</v>
      </c>
      <c r="G517" s="395"/>
      <c r="H517" s="395"/>
      <c r="I517" s="395"/>
      <c r="J517" s="395"/>
      <c r="K517" s="396"/>
      <c r="L517" s="395"/>
      <c r="M517" s="394"/>
      <c r="N517" s="395"/>
      <c r="O517" s="395"/>
      <c r="P517" s="395"/>
      <c r="Q517" s="395"/>
      <c r="R517" s="393"/>
      <c r="S517" s="154"/>
      <c r="T517" s="154"/>
    </row>
    <row r="518" spans="1:20" s="149" customFormat="1" ht="18" customHeight="1" x14ac:dyDescent="0.25">
      <c r="A518" s="335"/>
      <c r="B518" s="397"/>
      <c r="C518" s="461"/>
      <c r="D518" s="829" t="s">
        <v>2362</v>
      </c>
      <c r="E518" s="403"/>
      <c r="F518" s="394"/>
      <c r="G518" s="395"/>
      <c r="H518" s="395"/>
      <c r="I518" s="395"/>
      <c r="J518" s="395"/>
      <c r="K518" s="396"/>
      <c r="L518" s="395"/>
      <c r="M518" s="394"/>
      <c r="N518" s="395"/>
      <c r="O518" s="395"/>
      <c r="P518" s="395"/>
      <c r="Q518" s="395"/>
      <c r="R518" s="393"/>
      <c r="S518" s="154"/>
      <c r="T518" s="154"/>
    </row>
    <row r="519" spans="1:20" s="149" customFormat="1" ht="18" customHeight="1" x14ac:dyDescent="0.25">
      <c r="A519" s="335"/>
      <c r="B519" s="397"/>
      <c r="C519" s="461">
        <v>125</v>
      </c>
      <c r="D519" s="808" t="s">
        <v>2364</v>
      </c>
      <c r="E519" s="403"/>
      <c r="F519" s="394"/>
      <c r="G519" s="395"/>
      <c r="H519" s="395"/>
      <c r="I519" s="395"/>
      <c r="J519" s="395"/>
      <c r="K519" s="396"/>
      <c r="L519" s="395"/>
      <c r="M519" s="394"/>
      <c r="N519" s="395"/>
      <c r="O519" s="395"/>
      <c r="P519" s="395"/>
      <c r="Q519" s="395"/>
      <c r="R519" s="393"/>
      <c r="S519" s="154"/>
      <c r="T519" s="154"/>
    </row>
    <row r="520" spans="1:20" s="149" customFormat="1" ht="18" customHeight="1" x14ac:dyDescent="0.25">
      <c r="A520" s="335"/>
      <c r="B520" s="397"/>
      <c r="C520" s="461">
        <v>110</v>
      </c>
      <c r="D520" s="808" t="s">
        <v>2365</v>
      </c>
      <c r="E520" s="403"/>
      <c r="F520" s="394"/>
      <c r="G520" s="395"/>
      <c r="H520" s="395"/>
      <c r="I520" s="395"/>
      <c r="J520" s="395"/>
      <c r="K520" s="396"/>
      <c r="L520" s="395"/>
      <c r="M520" s="394"/>
      <c r="N520" s="395"/>
      <c r="O520" s="395"/>
      <c r="P520" s="395"/>
      <c r="Q520" s="395"/>
      <c r="R520" s="393"/>
      <c r="S520" s="154"/>
      <c r="T520" s="154"/>
    </row>
    <row r="521" spans="1:20" s="149" customFormat="1" ht="18" customHeight="1" x14ac:dyDescent="0.25">
      <c r="A521" s="335"/>
      <c r="B521" s="397"/>
      <c r="C521" s="461">
        <v>150</v>
      </c>
      <c r="D521" s="808" t="s">
        <v>2366</v>
      </c>
      <c r="E521" s="403"/>
      <c r="F521" s="394"/>
      <c r="G521" s="395"/>
      <c r="H521" s="395"/>
      <c r="I521" s="395"/>
      <c r="J521" s="395"/>
      <c r="K521" s="396"/>
      <c r="L521" s="395"/>
      <c r="M521" s="394"/>
      <c r="N521" s="395"/>
      <c r="O521" s="395"/>
      <c r="P521" s="395"/>
      <c r="Q521" s="395"/>
      <c r="R521" s="393"/>
      <c r="S521" s="154"/>
      <c r="T521" s="154"/>
    </row>
    <row r="522" spans="1:20" s="149" customFormat="1" ht="18" customHeight="1" x14ac:dyDescent="0.25">
      <c r="A522" s="335"/>
      <c r="B522" s="397"/>
      <c r="C522" s="461">
        <v>125</v>
      </c>
      <c r="D522" s="808" t="s">
        <v>2367</v>
      </c>
      <c r="E522" s="403"/>
      <c r="F522" s="394"/>
      <c r="G522" s="395"/>
      <c r="H522" s="395"/>
      <c r="I522" s="395"/>
      <c r="J522" s="395"/>
      <c r="K522" s="396"/>
      <c r="L522" s="395"/>
      <c r="M522" s="394"/>
      <c r="N522" s="395"/>
      <c r="O522" s="395"/>
      <c r="P522" s="395"/>
      <c r="Q522" s="395"/>
      <c r="R522" s="393"/>
      <c r="S522" s="154"/>
      <c r="T522" s="154"/>
    </row>
    <row r="523" spans="1:20" s="149" customFormat="1" ht="18" customHeight="1" thickBot="1" x14ac:dyDescent="0.3">
      <c r="A523" s="335"/>
      <c r="B523" s="397">
        <v>125</v>
      </c>
      <c r="C523" s="461"/>
      <c r="D523" s="808" t="s">
        <v>2370</v>
      </c>
      <c r="E523" s="403"/>
      <c r="F523" s="394"/>
      <c r="G523" s="395"/>
      <c r="H523" s="395"/>
      <c r="I523" s="395"/>
      <c r="J523" s="395"/>
      <c r="K523" s="396"/>
      <c r="L523" s="395"/>
      <c r="M523" s="394"/>
      <c r="N523" s="395"/>
      <c r="O523" s="395"/>
      <c r="P523" s="395"/>
      <c r="Q523" s="395"/>
      <c r="R523" s="393"/>
      <c r="S523" s="154"/>
      <c r="T523" s="154"/>
    </row>
    <row r="524" spans="1:20" s="149" customFormat="1" ht="18" customHeight="1" thickBot="1" x14ac:dyDescent="0.3">
      <c r="A524" s="335"/>
      <c r="B524" s="398">
        <f>SUM(B516:B523)</f>
        <v>350</v>
      </c>
      <c r="C524" s="461"/>
      <c r="D524" s="597"/>
      <c r="E524" s="463"/>
      <c r="F524" s="352"/>
      <c r="G524" s="350"/>
      <c r="H524" s="350"/>
      <c r="I524" s="350"/>
      <c r="J524" s="350"/>
      <c r="K524" s="351"/>
      <c r="L524" s="350"/>
      <c r="M524" s="352"/>
      <c r="N524" s="350"/>
      <c r="O524" s="350"/>
      <c r="P524" s="350"/>
      <c r="Q524" s="350"/>
      <c r="R524" s="760"/>
      <c r="S524" s="154"/>
      <c r="T524" s="154"/>
    </row>
    <row r="525" spans="1:20" s="149" customFormat="1" ht="18" customHeight="1" x14ac:dyDescent="0.25">
      <c r="A525" s="335"/>
      <c r="B525" s="397"/>
      <c r="C525" s="883">
        <v>30</v>
      </c>
      <c r="D525" s="878" t="s">
        <v>2369</v>
      </c>
      <c r="E525" s="403"/>
      <c r="F525" s="504" t="s">
        <v>2413</v>
      </c>
      <c r="G525" s="395"/>
      <c r="H525" s="395"/>
      <c r="I525" s="395"/>
      <c r="J525" s="395"/>
      <c r="K525" s="396"/>
      <c r="L525" s="395"/>
      <c r="M525" s="394"/>
      <c r="N525" s="395"/>
      <c r="O525" s="395"/>
      <c r="P525" s="395"/>
      <c r="Q525" s="395"/>
      <c r="R525" s="393"/>
      <c r="S525" s="154"/>
      <c r="T525" s="154"/>
    </row>
    <row r="526" spans="1:20" s="149" customFormat="1" ht="18" customHeight="1" x14ac:dyDescent="0.25">
      <c r="A526" s="335">
        <v>45398</v>
      </c>
      <c r="B526" s="397"/>
      <c r="C526" s="461"/>
      <c r="D526" s="597" t="s">
        <v>2389</v>
      </c>
      <c r="E526" s="403"/>
      <c r="F526" s="394"/>
      <c r="G526" s="395"/>
      <c r="H526" s="395"/>
      <c r="I526" s="395"/>
      <c r="J526" s="395"/>
      <c r="K526" s="396"/>
      <c r="L526" s="395"/>
      <c r="M526" s="394"/>
      <c r="N526" s="395"/>
      <c r="O526" s="395"/>
      <c r="P526" s="395"/>
      <c r="Q526" s="395"/>
      <c r="R526" s="393"/>
      <c r="S526" s="154"/>
      <c r="T526" s="154"/>
    </row>
    <row r="527" spans="1:20" s="149" customFormat="1" ht="18" customHeight="1" x14ac:dyDescent="0.25">
      <c r="A527" s="335"/>
      <c r="B527" s="397"/>
      <c r="C527" s="461"/>
      <c r="D527" s="591" t="s">
        <v>2390</v>
      </c>
      <c r="E527" s="403"/>
      <c r="F527" s="394"/>
      <c r="G527" s="395"/>
      <c r="H527" s="395"/>
      <c r="I527" s="395"/>
      <c r="J527" s="395"/>
      <c r="K527" s="396"/>
      <c r="L527" s="395"/>
      <c r="M527" s="394"/>
      <c r="N527" s="395"/>
      <c r="O527" s="395"/>
      <c r="P527" s="395"/>
      <c r="Q527" s="395"/>
      <c r="R527" s="393"/>
      <c r="S527" s="154"/>
      <c r="T527" s="154"/>
    </row>
    <row r="528" spans="1:20" s="149" customFormat="1" ht="18" customHeight="1" x14ac:dyDescent="0.25">
      <c r="A528" s="335"/>
      <c r="B528" s="397"/>
      <c r="C528" s="461">
        <v>90</v>
      </c>
      <c r="D528" s="808" t="s">
        <v>2391</v>
      </c>
      <c r="E528" s="403"/>
      <c r="F528" s="394"/>
      <c r="G528" s="395"/>
      <c r="H528" s="395"/>
      <c r="I528" s="395"/>
      <c r="J528" s="395"/>
      <c r="K528" s="396"/>
      <c r="L528" s="395"/>
      <c r="M528" s="394"/>
      <c r="N528" s="395"/>
      <c r="O528" s="395"/>
      <c r="P528" s="395"/>
      <c r="Q528" s="395"/>
      <c r="R528" s="393"/>
      <c r="S528" s="154"/>
      <c r="T528" s="154"/>
    </row>
    <row r="529" spans="1:20" s="149" customFormat="1" ht="18" customHeight="1" x14ac:dyDescent="0.25">
      <c r="A529" s="335"/>
      <c r="B529" s="397"/>
      <c r="C529" s="461">
        <v>125</v>
      </c>
      <c r="D529" s="808" t="s">
        <v>2414</v>
      </c>
      <c r="E529" s="403"/>
      <c r="F529" s="394"/>
      <c r="G529" s="395"/>
      <c r="H529" s="395"/>
      <c r="I529" s="395"/>
      <c r="J529" s="395"/>
      <c r="K529" s="396"/>
      <c r="L529" s="395"/>
      <c r="M529" s="394"/>
      <c r="N529" s="395"/>
      <c r="O529" s="395"/>
      <c r="P529" s="395"/>
      <c r="Q529" s="395"/>
      <c r="R529" s="393"/>
      <c r="S529" s="154"/>
      <c r="T529" s="154"/>
    </row>
    <row r="530" spans="1:20" s="149" customFormat="1" ht="18" customHeight="1" x14ac:dyDescent="0.25">
      <c r="A530" s="335"/>
      <c r="B530" s="397"/>
      <c r="C530" s="461">
        <v>150</v>
      </c>
      <c r="D530" s="808" t="s">
        <v>2392</v>
      </c>
      <c r="E530" s="403"/>
      <c r="F530" s="394"/>
      <c r="G530" s="395"/>
      <c r="H530" s="395"/>
      <c r="I530" s="395"/>
      <c r="J530" s="395"/>
      <c r="K530" s="396"/>
      <c r="L530" s="395"/>
      <c r="M530" s="394"/>
      <c r="N530" s="395"/>
      <c r="O530" s="395"/>
      <c r="P530" s="395"/>
      <c r="Q530" s="395"/>
      <c r="R530" s="393"/>
      <c r="S530" s="154"/>
      <c r="T530" s="154"/>
    </row>
    <row r="531" spans="1:20" s="149" customFormat="1" ht="18" customHeight="1" thickBot="1" x14ac:dyDescent="0.3">
      <c r="A531" s="335"/>
      <c r="B531" s="397"/>
      <c r="C531" s="461">
        <v>110</v>
      </c>
      <c r="D531" s="808" t="s">
        <v>2393</v>
      </c>
      <c r="E531" s="403"/>
      <c r="F531" s="394"/>
      <c r="G531" s="395"/>
      <c r="H531" s="395"/>
      <c r="I531" s="395"/>
      <c r="J531" s="395"/>
      <c r="K531" s="396"/>
      <c r="L531" s="395"/>
      <c r="M531" s="394"/>
      <c r="N531" s="395"/>
      <c r="O531" s="395"/>
      <c r="P531" s="395"/>
      <c r="Q531" s="395"/>
      <c r="R531" s="393"/>
      <c r="S531" s="154"/>
      <c r="T531" s="154"/>
    </row>
    <row r="532" spans="1:20" s="149" customFormat="1" ht="18" customHeight="1" thickBot="1" x14ac:dyDescent="0.3">
      <c r="A532" s="335"/>
      <c r="B532" s="398"/>
      <c r="C532" s="461"/>
      <c r="D532" s="597"/>
      <c r="E532" s="463"/>
      <c r="F532" s="352"/>
      <c r="G532" s="884"/>
      <c r="H532" s="350"/>
      <c r="I532" s="350"/>
      <c r="J532" s="350"/>
      <c r="K532" s="351"/>
      <c r="L532" s="350"/>
      <c r="M532" s="352"/>
      <c r="N532" s="350"/>
      <c r="O532" s="350"/>
      <c r="P532" s="350"/>
      <c r="Q532" s="350"/>
      <c r="R532" s="760"/>
      <c r="S532" s="154"/>
      <c r="T532" s="154"/>
    </row>
    <row r="533" spans="1:20" s="149" customFormat="1" ht="18" customHeight="1" x14ac:dyDescent="0.25">
      <c r="A533" s="335"/>
      <c r="B533" s="397"/>
      <c r="C533" s="461"/>
      <c r="D533" s="597"/>
      <c r="E533" s="403"/>
      <c r="F533" s="394"/>
      <c r="G533" s="395"/>
      <c r="H533" s="395"/>
      <c r="I533" s="395"/>
      <c r="J533" s="395"/>
      <c r="K533" s="396"/>
      <c r="L533" s="395"/>
      <c r="M533" s="394"/>
      <c r="N533" s="395"/>
      <c r="O533" s="395"/>
      <c r="P533" s="395"/>
      <c r="Q533" s="395"/>
      <c r="R533" s="393"/>
      <c r="S533" s="154"/>
      <c r="T533" s="154"/>
    </row>
    <row r="534" spans="1:20" s="149" customFormat="1" ht="18" customHeight="1" x14ac:dyDescent="0.25">
      <c r="A534" s="335">
        <v>45399</v>
      </c>
      <c r="B534" s="397">
        <v>100</v>
      </c>
      <c r="C534" s="461"/>
      <c r="D534" s="808" t="s">
        <v>2415</v>
      </c>
      <c r="E534" s="403"/>
      <c r="F534" s="394"/>
      <c r="G534" s="395"/>
      <c r="H534" s="395"/>
      <c r="I534" s="395"/>
      <c r="J534" s="395"/>
      <c r="K534" s="396"/>
      <c r="L534" s="395"/>
      <c r="M534" s="394"/>
      <c r="N534" s="395"/>
      <c r="O534" s="395"/>
      <c r="P534" s="395"/>
      <c r="Q534" s="395"/>
      <c r="R534" s="393"/>
      <c r="S534" s="154"/>
      <c r="T534" s="154"/>
    </row>
    <row r="535" spans="1:20" s="149" customFormat="1" ht="18" customHeight="1" x14ac:dyDescent="0.25">
      <c r="A535" s="335"/>
      <c r="B535" s="397">
        <v>50</v>
      </c>
      <c r="C535" s="461"/>
      <c r="D535" s="808" t="s">
        <v>2405</v>
      </c>
      <c r="E535" s="403"/>
      <c r="F535" s="394"/>
      <c r="G535" s="179"/>
      <c r="H535" s="395"/>
      <c r="I535" s="395"/>
      <c r="J535" s="395"/>
      <c r="K535" s="396"/>
      <c r="L535" s="395"/>
      <c r="M535" s="394"/>
      <c r="N535" s="395"/>
      <c r="O535" s="395"/>
      <c r="P535" s="395"/>
      <c r="Q535" s="395"/>
      <c r="R535" s="393"/>
      <c r="S535" s="154"/>
      <c r="T535" s="154"/>
    </row>
    <row r="536" spans="1:20" s="149" customFormat="1" ht="18" customHeight="1" x14ac:dyDescent="0.25">
      <c r="A536" s="335"/>
      <c r="B536" s="397"/>
      <c r="C536" s="461">
        <v>75</v>
      </c>
      <c r="D536" s="808" t="s">
        <v>2416</v>
      </c>
      <c r="E536" s="403"/>
      <c r="F536" s="394"/>
      <c r="G536" s="395"/>
      <c r="H536" s="395"/>
      <c r="I536" s="395"/>
      <c r="J536" s="395"/>
      <c r="K536" s="396"/>
      <c r="L536" s="395"/>
      <c r="M536" s="394"/>
      <c r="N536" s="395"/>
      <c r="O536" s="395"/>
      <c r="P536" s="395"/>
      <c r="Q536" s="395"/>
      <c r="R536" s="393"/>
      <c r="S536" s="154"/>
      <c r="T536" s="154"/>
    </row>
    <row r="537" spans="1:20" s="149" customFormat="1" ht="18" customHeight="1" x14ac:dyDescent="0.25">
      <c r="A537" s="335"/>
      <c r="B537" s="397"/>
      <c r="C537" s="461">
        <v>45</v>
      </c>
      <c r="D537" s="808" t="s">
        <v>2418</v>
      </c>
      <c r="E537" s="885" t="s">
        <v>2417</v>
      </c>
      <c r="F537" s="394"/>
      <c r="G537" s="395"/>
      <c r="H537" s="395"/>
      <c r="I537" s="395"/>
      <c r="J537" s="395"/>
      <c r="K537" s="396"/>
      <c r="L537" s="395"/>
      <c r="M537" s="394"/>
      <c r="N537" s="395"/>
      <c r="O537" s="395"/>
      <c r="P537" s="395"/>
      <c r="Q537" s="395"/>
      <c r="R537" s="393"/>
      <c r="S537" s="154"/>
      <c r="T537" s="154"/>
    </row>
    <row r="538" spans="1:20" s="149" customFormat="1" ht="18" customHeight="1" thickBot="1" x14ac:dyDescent="0.3">
      <c r="A538" s="335"/>
      <c r="B538" s="397">
        <v>80</v>
      </c>
      <c r="C538" s="461"/>
      <c r="D538" s="808" t="s">
        <v>2419</v>
      </c>
      <c r="E538" s="403"/>
      <c r="F538" s="394"/>
      <c r="G538" s="395"/>
      <c r="H538" s="395"/>
      <c r="I538" s="395"/>
      <c r="J538" s="395"/>
      <c r="K538" s="396"/>
      <c r="L538" s="395"/>
      <c r="M538" s="394"/>
      <c r="N538" s="395"/>
      <c r="O538" s="395"/>
      <c r="P538" s="395"/>
      <c r="Q538" s="395"/>
      <c r="R538" s="393"/>
      <c r="S538" s="154"/>
      <c r="T538" s="154"/>
    </row>
    <row r="539" spans="1:20" s="149" customFormat="1" ht="18" customHeight="1" thickBot="1" x14ac:dyDescent="0.3">
      <c r="A539" s="335"/>
      <c r="B539" s="398">
        <f>SUM(B534:B538)</f>
        <v>230</v>
      </c>
      <c r="C539" s="461"/>
      <c r="D539" s="597"/>
      <c r="E539" s="463"/>
      <c r="F539" s="352"/>
      <c r="G539" s="350"/>
      <c r="H539" s="350"/>
      <c r="I539" s="350"/>
      <c r="J539" s="350"/>
      <c r="K539" s="351"/>
      <c r="L539" s="350"/>
      <c r="M539" s="352"/>
      <c r="N539" s="350"/>
      <c r="O539" s="350"/>
      <c r="P539" s="350"/>
      <c r="Q539" s="350"/>
      <c r="R539" s="760"/>
      <c r="S539" s="154"/>
      <c r="T539" s="154"/>
    </row>
    <row r="540" spans="1:20" s="149" customFormat="1" ht="18" customHeight="1" x14ac:dyDescent="0.25">
      <c r="A540" s="335"/>
      <c r="B540" s="397"/>
      <c r="C540" s="461"/>
      <c r="D540" s="597"/>
      <c r="E540" s="403"/>
      <c r="F540" s="394"/>
      <c r="G540" s="395"/>
      <c r="H540" s="395"/>
      <c r="I540" s="395"/>
      <c r="J540" s="395"/>
      <c r="K540" s="396"/>
      <c r="L540" s="395"/>
      <c r="M540" s="394"/>
      <c r="N540" s="395"/>
      <c r="O540" s="395"/>
      <c r="P540" s="395"/>
      <c r="Q540" s="395"/>
      <c r="R540" s="393"/>
      <c r="S540" s="154"/>
      <c r="T540" s="154"/>
    </row>
    <row r="541" spans="1:20" s="149" customFormat="1" ht="18" customHeight="1" x14ac:dyDescent="0.25">
      <c r="A541" s="335">
        <v>45401</v>
      </c>
      <c r="B541" s="397">
        <v>150</v>
      </c>
      <c r="C541" s="461"/>
      <c r="D541" s="808" t="s">
        <v>2433</v>
      </c>
      <c r="E541" s="403"/>
      <c r="F541" s="394"/>
      <c r="G541" s="395"/>
      <c r="H541" s="395"/>
      <c r="I541" s="395"/>
      <c r="J541" s="395"/>
      <c r="K541" s="396"/>
      <c r="L541" s="395"/>
      <c r="M541" s="394"/>
      <c r="N541" s="395"/>
      <c r="O541" s="395"/>
      <c r="P541" s="395"/>
      <c r="Q541" s="395"/>
      <c r="R541" s="393"/>
      <c r="S541" s="154"/>
      <c r="T541" s="154"/>
    </row>
    <row r="542" spans="1:20" s="149" customFormat="1" ht="18" customHeight="1" x14ac:dyDescent="0.25">
      <c r="A542" s="335"/>
      <c r="B542" s="397">
        <v>20</v>
      </c>
      <c r="C542" s="461"/>
      <c r="D542" s="808" t="s">
        <v>2443</v>
      </c>
      <c r="E542" s="403"/>
      <c r="F542" s="394"/>
      <c r="G542" s="395"/>
      <c r="H542" s="395"/>
      <c r="I542" s="395"/>
      <c r="J542" s="395"/>
      <c r="K542" s="396"/>
      <c r="L542" s="395"/>
      <c r="M542" s="394"/>
      <c r="N542" s="395"/>
      <c r="O542" s="395"/>
      <c r="P542" s="395"/>
      <c r="Q542" s="395"/>
      <c r="R542" s="393"/>
      <c r="S542" s="154"/>
      <c r="T542" s="154"/>
    </row>
    <row r="543" spans="1:20" s="149" customFormat="1" ht="18" customHeight="1" x14ac:dyDescent="0.25">
      <c r="A543" s="335"/>
      <c r="B543" s="397">
        <v>110</v>
      </c>
      <c r="C543" s="461"/>
      <c r="D543" s="808" t="s">
        <v>2434</v>
      </c>
      <c r="E543" s="403"/>
      <c r="F543" s="394"/>
      <c r="G543" s="395"/>
      <c r="H543" s="395"/>
      <c r="I543" s="395"/>
      <c r="J543" s="395"/>
      <c r="K543" s="396"/>
      <c r="L543" s="395"/>
      <c r="M543" s="394"/>
      <c r="N543" s="395"/>
      <c r="O543" s="395"/>
      <c r="P543" s="395"/>
      <c r="Q543" s="395"/>
      <c r="R543" s="393"/>
      <c r="S543" s="154"/>
      <c r="T543" s="154"/>
    </row>
    <row r="544" spans="1:20" s="149" customFormat="1" ht="18" customHeight="1" x14ac:dyDescent="0.25">
      <c r="A544" s="335"/>
      <c r="B544" s="397"/>
      <c r="C544" s="461"/>
      <c r="D544" s="597" t="s">
        <v>2435</v>
      </c>
      <c r="E544" s="403">
        <v>100</v>
      </c>
      <c r="F544" s="394"/>
      <c r="G544" s="395"/>
      <c r="H544" s="395"/>
      <c r="I544" s="395"/>
      <c r="J544" s="395"/>
      <c r="K544" s="396"/>
      <c r="L544" s="395"/>
      <c r="M544" s="394"/>
      <c r="N544" s="395"/>
      <c r="O544" s="395"/>
      <c r="P544" s="395"/>
      <c r="Q544" s="395"/>
      <c r="R544" s="393"/>
      <c r="S544" s="154"/>
      <c r="T544" s="154"/>
    </row>
    <row r="545" spans="1:20" s="149" customFormat="1" ht="18" customHeight="1" x14ac:dyDescent="0.25">
      <c r="A545" s="335"/>
      <c r="B545" s="397"/>
      <c r="C545" s="461"/>
      <c r="D545" s="821" t="s">
        <v>2445</v>
      </c>
      <c r="E545" s="403"/>
      <c r="F545" s="394"/>
      <c r="G545" s="395"/>
      <c r="H545" s="395"/>
      <c r="I545" s="395"/>
      <c r="J545" s="395"/>
      <c r="K545" s="396"/>
      <c r="L545" s="395"/>
      <c r="M545" s="394"/>
      <c r="N545" s="395"/>
      <c r="O545" s="395"/>
      <c r="P545" s="395"/>
      <c r="Q545" s="395"/>
      <c r="R545" s="393"/>
      <c r="S545" s="154"/>
      <c r="T545" s="154"/>
    </row>
    <row r="546" spans="1:20" s="149" customFormat="1" ht="18" customHeight="1" x14ac:dyDescent="0.25">
      <c r="A546" s="335"/>
      <c r="B546" s="397">
        <v>10</v>
      </c>
      <c r="C546" s="461"/>
      <c r="D546" s="878" t="s">
        <v>2444</v>
      </c>
      <c r="E546" s="403"/>
      <c r="F546" s="394"/>
      <c r="G546" s="395"/>
      <c r="H546" s="395"/>
      <c r="I546" s="395"/>
      <c r="J546" s="395"/>
      <c r="K546" s="396"/>
      <c r="L546" s="395"/>
      <c r="M546" s="394"/>
      <c r="N546" s="395"/>
      <c r="O546" s="395"/>
      <c r="P546" s="395"/>
      <c r="Q546" s="395"/>
      <c r="R546" s="393"/>
      <c r="S546" s="154"/>
      <c r="T546" s="154"/>
    </row>
    <row r="547" spans="1:20" s="149" customFormat="1" ht="18" customHeight="1" x14ac:dyDescent="0.25">
      <c r="A547" s="335"/>
      <c r="B547" s="397">
        <v>65</v>
      </c>
      <c r="C547" s="461"/>
      <c r="D547" s="808" t="s">
        <v>2436</v>
      </c>
      <c r="E547" s="885" t="s">
        <v>2447</v>
      </c>
      <c r="F547" s="394"/>
      <c r="G547" s="395"/>
      <c r="H547" s="395"/>
      <c r="I547" s="395"/>
      <c r="J547" s="395"/>
      <c r="K547" s="396"/>
      <c r="L547" s="395"/>
      <c r="M547" s="394"/>
      <c r="N547" s="395"/>
      <c r="O547" s="395"/>
      <c r="P547" s="395"/>
      <c r="Q547" s="395"/>
      <c r="R547" s="393"/>
      <c r="S547" s="154"/>
      <c r="T547" s="154"/>
    </row>
    <row r="548" spans="1:20" s="149" customFormat="1" ht="18" customHeight="1" x14ac:dyDescent="0.25">
      <c r="A548" s="335"/>
      <c r="B548" s="397">
        <v>45</v>
      </c>
      <c r="C548" s="461"/>
      <c r="D548" s="808" t="s">
        <v>2437</v>
      </c>
      <c r="E548" s="403"/>
      <c r="F548" s="394"/>
      <c r="G548" s="395"/>
      <c r="H548" s="395"/>
      <c r="I548" s="395"/>
      <c r="J548" s="395"/>
      <c r="K548" s="396"/>
      <c r="L548" s="395"/>
      <c r="M548" s="394"/>
      <c r="N548" s="395"/>
      <c r="O548" s="395"/>
      <c r="P548" s="395"/>
      <c r="Q548" s="395"/>
      <c r="R548" s="393"/>
      <c r="S548" s="154"/>
      <c r="T548" s="154"/>
    </row>
    <row r="549" spans="1:20" s="149" customFormat="1" ht="18" customHeight="1" thickBot="1" x14ac:dyDescent="0.3">
      <c r="A549" s="335"/>
      <c r="B549" s="397">
        <v>70</v>
      </c>
      <c r="C549" s="461"/>
      <c r="D549" s="808" t="s">
        <v>2438</v>
      </c>
      <c r="E549" s="403"/>
      <c r="F549" s="394"/>
      <c r="G549" s="395"/>
      <c r="H549" s="395"/>
      <c r="I549" s="395"/>
      <c r="J549" s="395"/>
      <c r="K549" s="396"/>
      <c r="L549" s="395"/>
      <c r="M549" s="394"/>
      <c r="N549" s="395"/>
      <c r="O549" s="395"/>
      <c r="P549" s="395"/>
      <c r="Q549" s="395"/>
      <c r="R549" s="393"/>
      <c r="S549" s="154"/>
      <c r="T549" s="154"/>
    </row>
    <row r="550" spans="1:20" s="149" customFormat="1" ht="18" customHeight="1" thickBot="1" x14ac:dyDescent="0.3">
      <c r="A550" s="335"/>
      <c r="B550" s="398">
        <f>SUM(B541:B549)</f>
        <v>470</v>
      </c>
      <c r="C550" s="461"/>
      <c r="D550" s="597"/>
      <c r="E550" s="463"/>
      <c r="F550" s="352"/>
      <c r="G550" s="350"/>
      <c r="H550" s="350"/>
      <c r="I550" s="350"/>
      <c r="J550" s="350"/>
      <c r="K550" s="351"/>
      <c r="L550" s="350"/>
      <c r="M550" s="352"/>
      <c r="N550" s="350"/>
      <c r="O550" s="350"/>
      <c r="P550" s="350"/>
      <c r="Q550" s="350"/>
      <c r="R550" s="760"/>
      <c r="S550" s="154"/>
      <c r="T550" s="154"/>
    </row>
    <row r="551" spans="1:20" s="149" customFormat="1" ht="18" customHeight="1" x14ac:dyDescent="0.25">
      <c r="A551" s="335"/>
      <c r="B551" s="397"/>
      <c r="C551" s="461"/>
      <c r="D551" s="597"/>
      <c r="E551" s="403"/>
      <c r="F551" s="394"/>
      <c r="G551" s="395"/>
      <c r="H551" s="395"/>
      <c r="I551" s="395"/>
      <c r="J551" s="395"/>
      <c r="K551" s="396"/>
      <c r="L551" s="395"/>
      <c r="M551" s="394"/>
      <c r="N551" s="395"/>
      <c r="O551" s="395"/>
      <c r="P551" s="395"/>
      <c r="Q551" s="395"/>
      <c r="R551" s="393"/>
      <c r="S551" s="154"/>
      <c r="T551" s="154"/>
    </row>
    <row r="552" spans="1:20" s="149" customFormat="1" ht="18" customHeight="1" x14ac:dyDescent="0.25">
      <c r="A552" s="335">
        <v>45402</v>
      </c>
      <c r="B552" s="397">
        <v>115</v>
      </c>
      <c r="C552" s="461"/>
      <c r="D552" s="808" t="s">
        <v>2439</v>
      </c>
      <c r="E552" s="403"/>
      <c r="F552" s="394"/>
      <c r="G552" s="395"/>
      <c r="H552" s="395"/>
      <c r="I552" s="395"/>
      <c r="J552" s="395"/>
      <c r="K552" s="396"/>
      <c r="L552" s="395"/>
      <c r="M552" s="394"/>
      <c r="N552" s="395"/>
      <c r="O552" s="395"/>
      <c r="P552" s="395"/>
      <c r="Q552" s="395"/>
      <c r="R552" s="393"/>
      <c r="S552" s="154"/>
      <c r="T552" s="154"/>
    </row>
    <row r="553" spans="1:20" s="149" customFormat="1" ht="18" customHeight="1" x14ac:dyDescent="0.25">
      <c r="A553" s="335"/>
      <c r="B553" s="397">
        <v>65</v>
      </c>
      <c r="C553" s="461"/>
      <c r="D553" s="808" t="s">
        <v>2440</v>
      </c>
      <c r="E553" s="403"/>
      <c r="F553" s="394"/>
      <c r="G553" s="395"/>
      <c r="H553" s="395"/>
      <c r="I553" s="395"/>
      <c r="J553" s="395"/>
      <c r="K553" s="396"/>
      <c r="L553" s="395"/>
      <c r="M553" s="394"/>
      <c r="N553" s="395"/>
      <c r="O553" s="395"/>
      <c r="P553" s="395"/>
      <c r="Q553" s="395"/>
      <c r="R553" s="393"/>
      <c r="S553" s="154"/>
      <c r="T553" s="154"/>
    </row>
    <row r="554" spans="1:20" s="149" customFormat="1" ht="18" customHeight="1" thickBot="1" x14ac:dyDescent="0.3">
      <c r="A554" s="335"/>
      <c r="B554" s="397">
        <v>25</v>
      </c>
      <c r="C554" s="461"/>
      <c r="D554" s="808" t="s">
        <v>2441</v>
      </c>
      <c r="E554" s="403"/>
      <c r="F554" s="394"/>
      <c r="G554" s="395"/>
      <c r="H554" s="395"/>
      <c r="I554" s="395"/>
      <c r="J554" s="395"/>
      <c r="K554" s="396"/>
      <c r="L554" s="395"/>
      <c r="M554" s="394"/>
      <c r="N554" s="395"/>
      <c r="O554" s="395"/>
      <c r="P554" s="395"/>
      <c r="Q554" s="395"/>
      <c r="R554" s="393"/>
      <c r="S554" s="154"/>
      <c r="T554" s="154"/>
    </row>
    <row r="555" spans="1:20" s="149" customFormat="1" ht="18" customHeight="1" thickBot="1" x14ac:dyDescent="0.3">
      <c r="A555" s="335"/>
      <c r="B555" s="398">
        <f>SUM(B552:B554)</f>
        <v>205</v>
      </c>
      <c r="C555" s="461"/>
      <c r="D555" s="597"/>
      <c r="E555" s="463"/>
      <c r="F555" s="352"/>
      <c r="G555" s="350"/>
      <c r="H555" s="350"/>
      <c r="I555" s="350"/>
      <c r="J555" s="350"/>
      <c r="K555" s="351"/>
      <c r="L555" s="350"/>
      <c r="M555" s="352"/>
      <c r="N555" s="350"/>
      <c r="O555" s="350"/>
      <c r="P555" s="350"/>
      <c r="Q555" s="350"/>
      <c r="R555" s="760"/>
      <c r="S555" s="154"/>
      <c r="T555" s="154"/>
    </row>
    <row r="556" spans="1:20" s="149" customFormat="1" ht="18" customHeight="1" x14ac:dyDescent="0.25">
      <c r="A556" s="335"/>
      <c r="B556" s="397"/>
      <c r="C556" s="461"/>
      <c r="D556" s="597"/>
      <c r="E556" s="403"/>
      <c r="F556" s="394"/>
      <c r="G556" s="395"/>
      <c r="H556" s="395"/>
      <c r="I556" s="395"/>
      <c r="J556" s="395"/>
      <c r="K556" s="396"/>
      <c r="L556" s="395"/>
      <c r="M556" s="394"/>
      <c r="N556" s="395"/>
      <c r="O556" s="395"/>
      <c r="P556" s="395"/>
      <c r="Q556" s="395"/>
      <c r="R556" s="393"/>
      <c r="S556" s="154"/>
      <c r="T556" s="154"/>
    </row>
    <row r="557" spans="1:20" s="149" customFormat="1" ht="18" customHeight="1" x14ac:dyDescent="0.25">
      <c r="A557" s="335">
        <v>45404</v>
      </c>
      <c r="B557" s="397">
        <v>120</v>
      </c>
      <c r="C557" s="461"/>
      <c r="D557" s="808" t="s">
        <v>2454</v>
      </c>
      <c r="E557" s="403"/>
      <c r="F557" s="394"/>
      <c r="G557" s="395"/>
      <c r="H557" s="395"/>
      <c r="I557" s="395"/>
      <c r="J557" s="395"/>
      <c r="K557" s="396"/>
      <c r="L557" s="395"/>
      <c r="M557" s="394"/>
      <c r="N557" s="395"/>
      <c r="O557" s="395"/>
      <c r="P557" s="395"/>
      <c r="Q557" s="395"/>
      <c r="R557" s="393"/>
      <c r="S557" s="154"/>
      <c r="T557" s="154"/>
    </row>
    <row r="558" spans="1:20" s="149" customFormat="1" ht="18" customHeight="1" x14ac:dyDescent="0.25">
      <c r="A558" s="335"/>
      <c r="B558" s="397">
        <v>10</v>
      </c>
      <c r="C558" s="461"/>
      <c r="D558" s="808" t="s">
        <v>2455</v>
      </c>
      <c r="E558" s="403"/>
      <c r="F558" s="394"/>
      <c r="G558" s="395"/>
      <c r="H558" s="395"/>
      <c r="I558" s="395"/>
      <c r="J558" s="395"/>
      <c r="K558" s="396"/>
      <c r="L558" s="395"/>
      <c r="M558" s="394"/>
      <c r="N558" s="395"/>
      <c r="O558" s="395"/>
      <c r="P558" s="395"/>
      <c r="Q558" s="395"/>
      <c r="R558" s="393"/>
      <c r="S558" s="154"/>
      <c r="T558" s="154"/>
    </row>
    <row r="559" spans="1:20" s="149" customFormat="1" ht="18" customHeight="1" x14ac:dyDescent="0.25">
      <c r="A559" s="335"/>
      <c r="B559" s="397"/>
      <c r="C559" s="461"/>
      <c r="D559" s="808" t="s">
        <v>2456</v>
      </c>
      <c r="E559" s="403"/>
      <c r="F559" s="394"/>
      <c r="G559" s="395"/>
      <c r="H559" s="395"/>
      <c r="I559" s="395"/>
      <c r="J559" s="395"/>
      <c r="K559" s="396"/>
      <c r="L559" s="395"/>
      <c r="M559" s="394"/>
      <c r="N559" s="395"/>
      <c r="O559" s="395"/>
      <c r="P559" s="395"/>
      <c r="Q559" s="395"/>
      <c r="R559" s="393"/>
      <c r="S559" s="154"/>
      <c r="T559" s="154"/>
    </row>
    <row r="560" spans="1:20" s="149" customFormat="1" ht="18" customHeight="1" x14ac:dyDescent="0.25">
      <c r="A560" s="335"/>
      <c r="B560" s="397"/>
      <c r="C560" s="461">
        <v>110</v>
      </c>
      <c r="D560" s="808" t="s">
        <v>2462</v>
      </c>
      <c r="E560" s="403"/>
      <c r="F560" s="394"/>
      <c r="G560" s="395"/>
      <c r="H560" s="395"/>
      <c r="I560" s="395"/>
      <c r="J560" s="395"/>
      <c r="K560" s="396"/>
      <c r="L560" s="395"/>
      <c r="M560" s="394"/>
      <c r="N560" s="395"/>
      <c r="O560" s="395"/>
      <c r="P560" s="395"/>
      <c r="Q560" s="395"/>
      <c r="R560" s="393"/>
      <c r="S560" s="154"/>
      <c r="T560" s="154"/>
    </row>
    <row r="561" spans="1:20" s="149" customFormat="1" ht="18" customHeight="1" x14ac:dyDescent="0.25">
      <c r="A561" s="335"/>
      <c r="B561" s="397"/>
      <c r="C561" s="461">
        <v>110</v>
      </c>
      <c r="D561" s="808" t="s">
        <v>2457</v>
      </c>
      <c r="E561" s="403"/>
      <c r="F561" s="394"/>
      <c r="G561" s="395"/>
      <c r="H561" s="395"/>
      <c r="I561" s="395"/>
      <c r="J561" s="395"/>
      <c r="K561" s="396"/>
      <c r="L561" s="395"/>
      <c r="M561" s="394"/>
      <c r="N561" s="395"/>
      <c r="O561" s="395"/>
      <c r="P561" s="395"/>
      <c r="Q561" s="395"/>
      <c r="R561" s="393"/>
      <c r="S561" s="154"/>
      <c r="T561" s="154"/>
    </row>
    <row r="562" spans="1:20" s="149" customFormat="1" ht="18" customHeight="1" x14ac:dyDescent="0.25">
      <c r="A562" s="335"/>
      <c r="B562" s="397"/>
      <c r="C562" s="461">
        <v>110</v>
      </c>
      <c r="D562" s="808" t="s">
        <v>2458</v>
      </c>
      <c r="E562" s="403"/>
      <c r="F562" s="394"/>
      <c r="G562" s="395"/>
      <c r="H562" s="395"/>
      <c r="I562" s="395"/>
      <c r="J562" s="395"/>
      <c r="K562" s="396"/>
      <c r="L562" s="395"/>
      <c r="M562" s="394"/>
      <c r="N562" s="395"/>
      <c r="O562" s="395"/>
      <c r="P562" s="395"/>
      <c r="Q562" s="395"/>
      <c r="R562" s="393"/>
      <c r="S562" s="154"/>
      <c r="T562" s="154"/>
    </row>
    <row r="563" spans="1:20" s="149" customFormat="1" ht="18" customHeight="1" x14ac:dyDescent="0.25">
      <c r="A563" s="335"/>
      <c r="B563" s="397">
        <v>125</v>
      </c>
      <c r="C563" s="461"/>
      <c r="D563" s="808" t="s">
        <v>2459</v>
      </c>
      <c r="E563" s="403"/>
      <c r="F563" s="394"/>
      <c r="G563" s="395"/>
      <c r="H563" s="395"/>
      <c r="I563" s="395"/>
      <c r="J563" s="395"/>
      <c r="K563" s="396"/>
      <c r="L563" s="395"/>
      <c r="M563" s="394"/>
      <c r="N563" s="395"/>
      <c r="O563" s="395"/>
      <c r="P563" s="395"/>
      <c r="Q563" s="395"/>
      <c r="R563" s="393"/>
      <c r="S563" s="154"/>
      <c r="T563" s="154"/>
    </row>
    <row r="564" spans="1:20" s="149" customFormat="1" ht="18" customHeight="1" x14ac:dyDescent="0.25">
      <c r="A564" s="335"/>
      <c r="B564" s="397"/>
      <c r="C564" s="461"/>
      <c r="D564" s="829" t="s">
        <v>2064</v>
      </c>
      <c r="E564" s="403"/>
      <c r="F564" s="394"/>
      <c r="G564" s="395"/>
      <c r="H564" s="395"/>
      <c r="I564" s="395"/>
      <c r="J564" s="395"/>
      <c r="K564" s="396"/>
      <c r="L564" s="395"/>
      <c r="M564" s="394"/>
      <c r="N564" s="395"/>
      <c r="O564" s="395"/>
      <c r="P564" s="395"/>
      <c r="Q564" s="395"/>
      <c r="R564" s="393"/>
      <c r="S564" s="154"/>
      <c r="T564" s="154"/>
    </row>
    <row r="565" spans="1:20" s="149" customFormat="1" ht="18" customHeight="1" x14ac:dyDescent="0.25">
      <c r="A565" s="335"/>
      <c r="B565" s="397"/>
      <c r="C565" s="461">
        <v>110</v>
      </c>
      <c r="D565" s="808" t="s">
        <v>2465</v>
      </c>
      <c r="E565" s="403"/>
      <c r="F565" s="394"/>
      <c r="G565" s="395"/>
      <c r="H565" s="395"/>
      <c r="I565" s="395"/>
      <c r="J565" s="395"/>
      <c r="K565" s="396"/>
      <c r="L565" s="395"/>
      <c r="M565" s="394"/>
      <c r="N565" s="395"/>
      <c r="O565" s="395"/>
      <c r="P565" s="395"/>
      <c r="Q565" s="395"/>
      <c r="R565" s="393"/>
      <c r="S565" s="154"/>
      <c r="T565" s="154"/>
    </row>
    <row r="566" spans="1:20" s="149" customFormat="1" ht="18" customHeight="1" x14ac:dyDescent="0.25">
      <c r="A566" s="335"/>
      <c r="B566" s="397"/>
      <c r="C566" s="461">
        <v>25</v>
      </c>
      <c r="D566" s="808" t="s">
        <v>2493</v>
      </c>
      <c r="E566" s="403"/>
      <c r="F566" s="394"/>
      <c r="G566" s="395"/>
      <c r="H566" s="395"/>
      <c r="I566" s="395"/>
      <c r="J566" s="395"/>
      <c r="K566" s="396"/>
      <c r="L566" s="395"/>
      <c r="M566" s="394"/>
      <c r="N566" s="395"/>
      <c r="O566" s="395"/>
      <c r="P566" s="395"/>
      <c r="Q566" s="395"/>
      <c r="R566" s="393"/>
      <c r="S566" s="154"/>
      <c r="T566" s="154"/>
    </row>
    <row r="567" spans="1:20" s="149" customFormat="1" ht="18" customHeight="1" x14ac:dyDescent="0.25">
      <c r="A567" s="335"/>
      <c r="B567" s="397"/>
      <c r="C567" s="461">
        <v>15</v>
      </c>
      <c r="D567" s="808" t="s">
        <v>2466</v>
      </c>
      <c r="E567" s="403"/>
      <c r="F567" s="394"/>
      <c r="G567" s="395"/>
      <c r="H567" s="395"/>
      <c r="I567" s="395"/>
      <c r="J567" s="395"/>
      <c r="K567" s="396"/>
      <c r="L567" s="395"/>
      <c r="M567" s="394"/>
      <c r="N567" s="395"/>
      <c r="O567" s="395"/>
      <c r="P567" s="395"/>
      <c r="Q567" s="395"/>
      <c r="R567" s="393"/>
      <c r="S567" s="154"/>
      <c r="T567" s="154"/>
    </row>
    <row r="568" spans="1:20" s="149" customFormat="1" ht="18" customHeight="1" thickBot="1" x14ac:dyDescent="0.3">
      <c r="A568" s="335"/>
      <c r="B568" s="397"/>
      <c r="C568" s="461"/>
      <c r="D568" s="597"/>
      <c r="E568" s="403"/>
      <c r="F568" s="394"/>
      <c r="G568" s="395"/>
      <c r="H568" s="395"/>
      <c r="I568" s="395"/>
      <c r="J568" s="395"/>
      <c r="K568" s="396"/>
      <c r="L568" s="395"/>
      <c r="M568" s="394"/>
      <c r="N568" s="395"/>
      <c r="O568" s="395"/>
      <c r="P568" s="395"/>
      <c r="Q568" s="395"/>
      <c r="R568" s="393"/>
      <c r="S568" s="154"/>
      <c r="T568" s="154"/>
    </row>
    <row r="569" spans="1:20" s="149" customFormat="1" ht="18" customHeight="1" thickBot="1" x14ac:dyDescent="0.3">
      <c r="A569" s="335"/>
      <c r="B569" s="398">
        <f>SUM(B557:B563)</f>
        <v>255</v>
      </c>
      <c r="C569" s="461"/>
      <c r="D569" s="597"/>
      <c r="E569" s="463"/>
      <c r="F569" s="352"/>
      <c r="G569" s="350"/>
      <c r="H569" s="350"/>
      <c r="I569" s="350"/>
      <c r="J569" s="350"/>
      <c r="K569" s="351"/>
      <c r="L569" s="350"/>
      <c r="M569" s="352"/>
      <c r="N569" s="350"/>
      <c r="O569" s="350"/>
      <c r="P569" s="350"/>
      <c r="Q569" s="350"/>
      <c r="R569" s="760"/>
      <c r="S569" s="154"/>
      <c r="T569" s="154"/>
    </row>
    <row r="570" spans="1:20" s="149" customFormat="1" ht="18" customHeight="1" x14ac:dyDescent="0.25">
      <c r="A570" s="335"/>
      <c r="B570" s="203"/>
      <c r="C570" s="461"/>
      <c r="D570" s="597"/>
      <c r="E570" s="336"/>
      <c r="F570" s="151"/>
      <c r="K570" s="201"/>
      <c r="M570" s="151"/>
      <c r="R570" s="154"/>
      <c r="S570" s="154"/>
      <c r="T570" s="154"/>
    </row>
    <row r="571" spans="1:20" s="149" customFormat="1" ht="18" customHeight="1" x14ac:dyDescent="0.25">
      <c r="A571" s="335">
        <v>45405</v>
      </c>
      <c r="B571" s="203">
        <v>10</v>
      </c>
      <c r="C571" s="461"/>
      <c r="D571" s="808" t="s">
        <v>2460</v>
      </c>
      <c r="E571" s="336"/>
      <c r="F571" s="151"/>
      <c r="K571" s="201"/>
      <c r="M571" s="151"/>
      <c r="R571" s="154"/>
      <c r="S571" s="154"/>
      <c r="T571" s="154"/>
    </row>
    <row r="572" spans="1:20" s="149" customFormat="1" ht="18" customHeight="1" thickBot="1" x14ac:dyDescent="0.3">
      <c r="A572" s="335"/>
      <c r="B572" s="203">
        <v>25</v>
      </c>
      <c r="C572" s="461"/>
      <c r="D572" s="808" t="s">
        <v>2467</v>
      </c>
      <c r="E572" s="336"/>
      <c r="F572" s="151"/>
      <c r="K572" s="201"/>
      <c r="M572" s="151"/>
      <c r="R572" s="154"/>
      <c r="S572" s="154"/>
      <c r="T572" s="154"/>
    </row>
    <row r="573" spans="1:20" s="149" customFormat="1" ht="18" customHeight="1" thickBot="1" x14ac:dyDescent="0.3">
      <c r="A573" s="335"/>
      <c r="B573" s="398">
        <f>SUM(B571:B572)</f>
        <v>35</v>
      </c>
      <c r="C573" s="461"/>
      <c r="D573" s="597"/>
      <c r="E573" s="336"/>
      <c r="F573" s="151"/>
      <c r="K573" s="201"/>
      <c r="M573" s="151"/>
      <c r="R573" s="154"/>
      <c r="S573" s="154"/>
      <c r="T573" s="154"/>
    </row>
    <row r="574" spans="1:20" s="149" customFormat="1" ht="18" customHeight="1" x14ac:dyDescent="0.25">
      <c r="A574" s="335"/>
      <c r="B574" s="203"/>
      <c r="C574" s="461"/>
      <c r="D574" s="597"/>
      <c r="E574" s="336"/>
      <c r="F574" s="151"/>
      <c r="K574" s="201"/>
      <c r="M574" s="151"/>
      <c r="R574" s="154"/>
      <c r="S574" s="154"/>
      <c r="T574" s="154"/>
    </row>
    <row r="575" spans="1:20" s="149" customFormat="1" ht="18" customHeight="1" x14ac:dyDescent="0.25">
      <c r="A575" s="335">
        <v>45406</v>
      </c>
      <c r="B575" s="203"/>
      <c r="C575" s="461"/>
      <c r="D575" s="829" t="s">
        <v>2468</v>
      </c>
      <c r="E575" s="336"/>
      <c r="F575" s="151"/>
      <c r="K575" s="201"/>
      <c r="M575" s="151"/>
      <c r="R575" s="154"/>
      <c r="S575" s="154"/>
      <c r="T575" s="154"/>
    </row>
    <row r="576" spans="1:20" s="149" customFormat="1" ht="18" customHeight="1" x14ac:dyDescent="0.25">
      <c r="A576" s="335"/>
      <c r="B576" s="203"/>
      <c r="C576" s="461">
        <v>100</v>
      </c>
      <c r="D576" s="808" t="s">
        <v>2469</v>
      </c>
      <c r="E576" s="336"/>
      <c r="F576" s="151">
        <v>100</v>
      </c>
      <c r="K576" s="201"/>
      <c r="M576" s="151"/>
      <c r="R576" s="154"/>
      <c r="S576" s="154"/>
      <c r="T576" s="154"/>
    </row>
    <row r="577" spans="1:20" s="149" customFormat="1" ht="18" customHeight="1" x14ac:dyDescent="0.25">
      <c r="A577" s="335"/>
      <c r="B577" s="203"/>
      <c r="C577" s="461">
        <v>115</v>
      </c>
      <c r="D577" s="881" t="s">
        <v>2476</v>
      </c>
      <c r="E577" s="336" t="s">
        <v>820</v>
      </c>
      <c r="F577" s="151">
        <v>140</v>
      </c>
      <c r="K577" s="201"/>
      <c r="M577" s="151"/>
      <c r="R577" s="154"/>
      <c r="S577" s="154"/>
      <c r="T577" s="154"/>
    </row>
    <row r="578" spans="1:20" s="149" customFormat="1" ht="18" customHeight="1" x14ac:dyDescent="0.25">
      <c r="A578" s="335"/>
      <c r="B578" s="203"/>
      <c r="C578" s="461">
        <v>140</v>
      </c>
      <c r="D578" s="808" t="s">
        <v>2470</v>
      </c>
      <c r="E578" s="336"/>
      <c r="F578" s="151">
        <v>145</v>
      </c>
      <c r="K578" s="201"/>
      <c r="M578" s="151"/>
      <c r="R578" s="154"/>
      <c r="S578" s="154"/>
      <c r="T578" s="154"/>
    </row>
    <row r="579" spans="1:20" s="149" customFormat="1" ht="18" customHeight="1" x14ac:dyDescent="0.25">
      <c r="A579" s="335"/>
      <c r="B579" s="203">
        <v>270</v>
      </c>
      <c r="C579" s="461"/>
      <c r="D579" s="829" t="s">
        <v>2471</v>
      </c>
      <c r="E579" s="336"/>
      <c r="F579" s="151">
        <f>SUM(F576:F578)</f>
        <v>385</v>
      </c>
      <c r="K579" s="201"/>
      <c r="M579" s="151"/>
      <c r="R579" s="154"/>
      <c r="S579" s="154"/>
      <c r="T579" s="154"/>
    </row>
    <row r="580" spans="1:20" s="149" customFormat="1" ht="18" customHeight="1" x14ac:dyDescent="0.25">
      <c r="A580" s="335"/>
      <c r="B580" s="203"/>
      <c r="C580" s="461">
        <v>115</v>
      </c>
      <c r="D580" s="808" t="s">
        <v>2472</v>
      </c>
      <c r="E580" s="336"/>
      <c r="F580" s="151"/>
      <c r="K580" s="201"/>
      <c r="M580" s="151"/>
      <c r="R580" s="154"/>
      <c r="S580" s="154"/>
      <c r="T580" s="154"/>
    </row>
    <row r="581" spans="1:20" s="149" customFormat="1" ht="18" customHeight="1" x14ac:dyDescent="0.25">
      <c r="A581" s="335"/>
      <c r="B581" s="203"/>
      <c r="C581" s="461">
        <v>100</v>
      </c>
      <c r="D581" s="808" t="s">
        <v>2473</v>
      </c>
      <c r="E581" s="336"/>
      <c r="F581" s="151"/>
      <c r="K581" s="201"/>
      <c r="M581" s="151"/>
      <c r="R581" s="154"/>
      <c r="S581" s="154"/>
      <c r="T581" s="154"/>
    </row>
    <row r="582" spans="1:20" s="149" customFormat="1" ht="18" customHeight="1" x14ac:dyDescent="0.25">
      <c r="A582" s="335"/>
      <c r="B582" s="203"/>
      <c r="C582" s="461">
        <v>115</v>
      </c>
      <c r="D582" s="808" t="s">
        <v>2474</v>
      </c>
      <c r="E582" s="336"/>
      <c r="F582" s="151"/>
      <c r="K582" s="201"/>
      <c r="M582" s="151"/>
      <c r="R582" s="154"/>
      <c r="S582" s="154"/>
      <c r="T582" s="154"/>
    </row>
    <row r="583" spans="1:20" s="149" customFormat="1" ht="18" customHeight="1" x14ac:dyDescent="0.25">
      <c r="A583" s="335"/>
      <c r="B583" s="203"/>
      <c r="C583" s="461">
        <v>100</v>
      </c>
      <c r="D583" s="808" t="s">
        <v>2475</v>
      </c>
      <c r="E583" s="336"/>
      <c r="F583" s="151"/>
      <c r="K583" s="201"/>
      <c r="M583" s="151"/>
      <c r="R583" s="154"/>
      <c r="S583" s="154"/>
      <c r="T583" s="154"/>
    </row>
    <row r="584" spans="1:20" s="149" customFormat="1" ht="18" customHeight="1" x14ac:dyDescent="0.25">
      <c r="A584" s="335"/>
      <c r="B584" s="203">
        <v>125</v>
      </c>
      <c r="C584" s="461"/>
      <c r="D584" s="808" t="s">
        <v>2477</v>
      </c>
      <c r="E584" s="336"/>
      <c r="F584" s="151"/>
      <c r="K584" s="201"/>
      <c r="M584" s="151"/>
      <c r="R584" s="154"/>
      <c r="S584" s="154"/>
      <c r="T584" s="154"/>
    </row>
    <row r="585" spans="1:20" s="149" customFormat="1" ht="18" customHeight="1" thickBot="1" x14ac:dyDescent="0.3">
      <c r="A585" s="335"/>
      <c r="B585" s="203">
        <v>45</v>
      </c>
      <c r="C585" s="461"/>
      <c r="D585" s="808" t="s">
        <v>2478</v>
      </c>
      <c r="E585" s="336"/>
      <c r="F585" s="151"/>
      <c r="K585" s="201"/>
      <c r="M585" s="151"/>
      <c r="R585" s="154"/>
      <c r="S585" s="154"/>
      <c r="T585" s="154"/>
    </row>
    <row r="586" spans="1:20" s="149" customFormat="1" ht="18" customHeight="1" thickBot="1" x14ac:dyDescent="0.3">
      <c r="A586" s="335"/>
      <c r="B586" s="398">
        <f>SUM(B575:B585)</f>
        <v>440</v>
      </c>
      <c r="C586" s="461"/>
      <c r="D586" s="597"/>
      <c r="E586" s="463"/>
      <c r="F586" s="352"/>
      <c r="G586" s="350"/>
      <c r="H586" s="350"/>
      <c r="I586" s="350"/>
      <c r="J586" s="350"/>
      <c r="K586" s="351"/>
      <c r="L586" s="350"/>
      <c r="M586" s="352"/>
      <c r="N586" s="350"/>
      <c r="O586" s="350"/>
      <c r="P586" s="350"/>
      <c r="Q586" s="353"/>
      <c r="R586" s="154"/>
      <c r="S586" s="154"/>
      <c r="T586" s="154"/>
    </row>
    <row r="587" spans="1:20" s="149" customFormat="1" ht="18" customHeight="1" x14ac:dyDescent="0.25">
      <c r="A587" s="335"/>
      <c r="B587" s="203"/>
      <c r="C587" s="461"/>
      <c r="D587" s="597"/>
      <c r="E587" s="336"/>
      <c r="F587" s="151"/>
      <c r="K587" s="201"/>
      <c r="M587" s="151"/>
      <c r="R587" s="154"/>
      <c r="S587" s="154"/>
      <c r="T587" s="154"/>
    </row>
    <row r="588" spans="1:20" s="149" customFormat="1" ht="18" customHeight="1" x14ac:dyDescent="0.25">
      <c r="A588" s="335">
        <v>45407</v>
      </c>
      <c r="B588" s="203">
        <v>10</v>
      </c>
      <c r="C588" s="461"/>
      <c r="D588" s="808" t="s">
        <v>2460</v>
      </c>
      <c r="E588" s="336"/>
      <c r="F588" s="151"/>
      <c r="K588" s="201"/>
      <c r="M588" s="151"/>
      <c r="R588" s="154"/>
      <c r="S588" s="154"/>
      <c r="T588" s="154"/>
    </row>
    <row r="589" spans="1:20" s="149" customFormat="1" ht="18" customHeight="1" x14ac:dyDescent="0.25">
      <c r="A589" s="335"/>
      <c r="B589" s="203">
        <v>150</v>
      </c>
      <c r="C589" s="461"/>
      <c r="D589" s="808" t="s">
        <v>2479</v>
      </c>
      <c r="E589" s="336"/>
      <c r="F589" s="151"/>
      <c r="K589" s="201"/>
      <c r="M589" s="151"/>
      <c r="R589" s="154"/>
      <c r="S589" s="154"/>
      <c r="T589" s="154"/>
    </row>
    <row r="590" spans="1:20" s="149" customFormat="1" ht="18" customHeight="1" x14ac:dyDescent="0.25">
      <c r="A590" s="335"/>
      <c r="B590" s="203">
        <v>150</v>
      </c>
      <c r="C590" s="461"/>
      <c r="D590" s="808" t="s">
        <v>2480</v>
      </c>
      <c r="E590" s="336"/>
      <c r="F590" s="151"/>
      <c r="K590" s="201"/>
      <c r="M590" s="151"/>
      <c r="R590" s="154"/>
      <c r="S590" s="154"/>
      <c r="T590" s="154"/>
    </row>
    <row r="591" spans="1:20" s="149" customFormat="1" ht="18" customHeight="1" x14ac:dyDescent="0.25">
      <c r="A591" s="335"/>
      <c r="B591" s="203">
        <v>120</v>
      </c>
      <c r="C591" s="461"/>
      <c r="D591" s="808" t="s">
        <v>2481</v>
      </c>
      <c r="E591" s="336"/>
      <c r="F591" s="151"/>
      <c r="K591" s="201"/>
      <c r="M591" s="151"/>
      <c r="R591" s="154"/>
      <c r="S591" s="154"/>
      <c r="T591" s="154"/>
    </row>
    <row r="592" spans="1:20" s="149" customFormat="1" ht="18" customHeight="1" thickBot="1" x14ac:dyDescent="0.3">
      <c r="A592" s="335"/>
      <c r="B592" s="203">
        <v>125</v>
      </c>
      <c r="C592" s="461"/>
      <c r="D592" s="808" t="s">
        <v>2501</v>
      </c>
      <c r="E592" s="336"/>
      <c r="F592" s="151"/>
      <c r="K592" s="201"/>
      <c r="M592" s="151"/>
      <c r="R592" s="154"/>
      <c r="S592" s="154"/>
      <c r="T592" s="154"/>
    </row>
    <row r="593" spans="1:20" s="149" customFormat="1" ht="18" customHeight="1" thickBot="1" x14ac:dyDescent="0.3">
      <c r="A593" s="335"/>
      <c r="B593" s="398">
        <f>SUM(B588:B592)</f>
        <v>555</v>
      </c>
      <c r="C593" s="461"/>
      <c r="D593" s="597"/>
      <c r="E593" s="463"/>
      <c r="F593" s="352"/>
      <c r="G593" s="350"/>
      <c r="H593" s="350"/>
      <c r="I593" s="350"/>
      <c r="J593" s="350"/>
      <c r="K593" s="351"/>
      <c r="L593" s="350"/>
      <c r="M593" s="352"/>
      <c r="N593" s="350"/>
      <c r="O593" s="350"/>
      <c r="P593" s="350"/>
      <c r="Q593" s="353"/>
      <c r="R593" s="154"/>
      <c r="S593" s="154"/>
      <c r="T593" s="154"/>
    </row>
    <row r="594" spans="1:20" s="149" customFormat="1" ht="18" customHeight="1" x14ac:dyDescent="0.25">
      <c r="A594" s="335"/>
      <c r="B594" s="397"/>
      <c r="C594" s="461"/>
      <c r="D594" s="597"/>
      <c r="E594" s="403"/>
      <c r="F594" s="394"/>
      <c r="G594" s="395"/>
      <c r="H594" s="395"/>
      <c r="I594" s="395"/>
      <c r="J594" s="395"/>
      <c r="K594" s="396"/>
      <c r="L594" s="395"/>
      <c r="M594" s="394"/>
      <c r="N594" s="395"/>
      <c r="O594" s="395"/>
      <c r="P594" s="395"/>
      <c r="Q594" s="395"/>
      <c r="R594" s="154"/>
      <c r="S594" s="154"/>
      <c r="T594" s="154"/>
    </row>
    <row r="595" spans="1:20" s="149" customFormat="1" ht="18" customHeight="1" x14ac:dyDescent="0.25">
      <c r="A595" s="335">
        <v>45408</v>
      </c>
      <c r="B595" s="397">
        <v>100</v>
      </c>
      <c r="C595" s="461"/>
      <c r="D595" s="808" t="s">
        <v>1973</v>
      </c>
      <c r="E595" s="403"/>
      <c r="F595" s="394"/>
      <c r="G595" s="395"/>
      <c r="H595" s="395"/>
      <c r="I595" s="395"/>
      <c r="J595" s="395"/>
      <c r="K595" s="396"/>
      <c r="L595" s="395"/>
      <c r="M595" s="394"/>
      <c r="N595" s="395"/>
      <c r="O595" s="395"/>
      <c r="P595" s="395"/>
      <c r="Q595" s="395"/>
      <c r="R595" s="154"/>
      <c r="S595" s="154"/>
      <c r="T595" s="154"/>
    </row>
    <row r="596" spans="1:20" s="149" customFormat="1" ht="18" customHeight="1" x14ac:dyDescent="0.25">
      <c r="A596" s="335"/>
      <c r="B596" s="397"/>
      <c r="C596" s="461">
        <v>125</v>
      </c>
      <c r="D596" s="808" t="s">
        <v>2482</v>
      </c>
      <c r="E596" s="403"/>
      <c r="F596" s="394"/>
      <c r="G596" s="395"/>
      <c r="H596" s="395"/>
      <c r="I596" s="395"/>
      <c r="J596" s="395"/>
      <c r="K596" s="396"/>
      <c r="L596" s="395"/>
      <c r="M596" s="394"/>
      <c r="N596" s="395"/>
      <c r="O596" s="395"/>
      <c r="P596" s="395"/>
      <c r="Q596" s="395"/>
      <c r="R596" s="154"/>
      <c r="S596" s="154"/>
      <c r="T596" s="154"/>
    </row>
    <row r="597" spans="1:20" s="149" customFormat="1" ht="18" customHeight="1" thickBot="1" x14ac:dyDescent="0.3">
      <c r="A597" s="335"/>
      <c r="B597" s="397">
        <v>10</v>
      </c>
      <c r="C597" s="461"/>
      <c r="D597" s="808" t="s">
        <v>2460</v>
      </c>
      <c r="E597" s="403"/>
      <c r="F597" s="394"/>
      <c r="G597" s="395"/>
      <c r="H597" s="395"/>
      <c r="I597" s="395"/>
      <c r="J597" s="395"/>
      <c r="K597" s="396"/>
      <c r="L597" s="395"/>
      <c r="M597" s="394"/>
      <c r="N597" s="395"/>
      <c r="O597" s="395"/>
      <c r="P597" s="395"/>
      <c r="Q597" s="395"/>
      <c r="R597" s="154"/>
      <c r="S597" s="154"/>
      <c r="T597" s="154"/>
    </row>
    <row r="598" spans="1:20" s="149" customFormat="1" ht="18" customHeight="1" thickBot="1" x14ac:dyDescent="0.3">
      <c r="A598" s="335"/>
      <c r="B598" s="398">
        <f>SUM(B595:B597)</f>
        <v>110</v>
      </c>
      <c r="C598" s="461"/>
      <c r="D598" s="597"/>
      <c r="E598" s="463"/>
      <c r="F598" s="352"/>
      <c r="G598" s="350"/>
      <c r="H598" s="350"/>
      <c r="I598" s="350"/>
      <c r="J598" s="350"/>
      <c r="K598" s="351"/>
      <c r="L598" s="350"/>
      <c r="M598" s="352"/>
      <c r="N598" s="350"/>
      <c r="O598" s="350"/>
      <c r="P598" s="350"/>
      <c r="Q598" s="353"/>
      <c r="R598" s="154"/>
      <c r="S598" s="154"/>
      <c r="T598" s="154"/>
    </row>
    <row r="599" spans="1:20" s="149" customFormat="1" ht="18" customHeight="1" x14ac:dyDescent="0.25">
      <c r="A599" s="335"/>
      <c r="B599" s="397"/>
      <c r="C599" s="461"/>
      <c r="D599" s="597"/>
      <c r="E599" s="403"/>
      <c r="F599" s="394"/>
      <c r="G599" s="395"/>
      <c r="H599" s="395"/>
      <c r="I599" s="395"/>
      <c r="J599" s="395"/>
      <c r="K599" s="396"/>
      <c r="L599" s="395"/>
      <c r="M599" s="394"/>
      <c r="N599" s="395"/>
      <c r="O599" s="395"/>
      <c r="P599" s="395"/>
      <c r="Q599" s="395"/>
      <c r="R599" s="154"/>
      <c r="S599" s="154"/>
      <c r="T599" s="154"/>
    </row>
    <row r="600" spans="1:20" s="395" customFormat="1" ht="18" customHeight="1" x14ac:dyDescent="0.25">
      <c r="A600" s="181">
        <v>45411</v>
      </c>
      <c r="B600" s="397">
        <v>85</v>
      </c>
      <c r="C600" s="205"/>
      <c r="D600" s="693" t="s">
        <v>2491</v>
      </c>
      <c r="E600" s="403"/>
      <c r="F600" s="394"/>
      <c r="K600" s="396"/>
      <c r="M600" s="394"/>
      <c r="R600" s="393"/>
      <c r="S600" s="393"/>
      <c r="T600" s="393"/>
    </row>
    <row r="601" spans="1:20" s="149" customFormat="1" ht="18" customHeight="1" x14ac:dyDescent="0.25">
      <c r="A601" s="335"/>
      <c r="B601" s="397"/>
      <c r="C601" s="461">
        <v>35</v>
      </c>
      <c r="D601" s="808" t="s">
        <v>2507</v>
      </c>
      <c r="E601" s="403"/>
      <c r="F601" s="394"/>
      <c r="G601" s="395"/>
      <c r="H601" s="395"/>
      <c r="I601" s="395"/>
      <c r="J601" s="395"/>
      <c r="K601" s="396"/>
      <c r="L601" s="395"/>
      <c r="M601" s="394"/>
      <c r="N601" s="395"/>
      <c r="O601" s="395"/>
      <c r="P601" s="395"/>
      <c r="Q601" s="395"/>
      <c r="R601" s="154"/>
      <c r="S601" s="154"/>
      <c r="T601" s="154"/>
    </row>
    <row r="602" spans="1:20" s="149" customFormat="1" ht="18" customHeight="1" thickBot="1" x14ac:dyDescent="0.3">
      <c r="A602" s="335"/>
      <c r="B602" s="397"/>
      <c r="C602" s="461"/>
      <c r="D602" s="808" t="s">
        <v>2508</v>
      </c>
      <c r="E602" s="403"/>
      <c r="F602" s="394"/>
      <c r="G602" s="395"/>
      <c r="H602" s="395"/>
      <c r="I602" s="395"/>
      <c r="J602" s="395"/>
      <c r="K602" s="396"/>
      <c r="L602" s="395"/>
      <c r="M602" s="394"/>
      <c r="N602" s="395"/>
      <c r="O602" s="395"/>
      <c r="P602" s="395"/>
      <c r="Q602" s="395"/>
      <c r="R602" s="154"/>
      <c r="S602" s="154"/>
      <c r="T602" s="154"/>
    </row>
    <row r="603" spans="1:20" s="149" customFormat="1" ht="18" customHeight="1" thickBot="1" x14ac:dyDescent="0.3">
      <c r="A603" s="335"/>
      <c r="B603" s="398">
        <f>SUM(B600:B602)</f>
        <v>85</v>
      </c>
      <c r="C603" s="461"/>
      <c r="D603" s="597"/>
      <c r="E603" s="463"/>
      <c r="F603" s="352"/>
      <c r="G603" s="350"/>
      <c r="H603" s="350"/>
      <c r="I603" s="350"/>
      <c r="J603" s="350"/>
      <c r="K603" s="351"/>
      <c r="L603" s="350"/>
      <c r="M603" s="352"/>
      <c r="N603" s="350"/>
      <c r="O603" s="350"/>
      <c r="P603" s="350"/>
      <c r="Q603" s="353"/>
      <c r="R603" s="154"/>
      <c r="S603" s="154"/>
      <c r="T603" s="154"/>
    </row>
    <row r="604" spans="1:20" s="149" customFormat="1" ht="18" customHeight="1" x14ac:dyDescent="0.25">
      <c r="A604" s="335"/>
      <c r="B604" s="397"/>
      <c r="C604" s="461"/>
      <c r="D604" s="597"/>
      <c r="E604" s="403"/>
      <c r="F604" s="394"/>
      <c r="G604" s="395"/>
      <c r="H604" s="395"/>
      <c r="I604" s="395"/>
      <c r="J604" s="395"/>
      <c r="K604" s="396"/>
      <c r="L604" s="395"/>
      <c r="M604" s="394"/>
      <c r="N604" s="395"/>
      <c r="O604" s="395"/>
      <c r="P604" s="395"/>
      <c r="Q604" s="395"/>
      <c r="R604" s="154"/>
      <c r="S604" s="154"/>
      <c r="T604" s="154"/>
    </row>
    <row r="605" spans="1:20" s="149" customFormat="1" ht="18" customHeight="1" x14ac:dyDescent="0.25">
      <c r="A605" s="335">
        <v>45412</v>
      </c>
      <c r="B605" s="397">
        <v>125</v>
      </c>
      <c r="C605" s="461"/>
      <c r="D605" s="808" t="s">
        <v>2505</v>
      </c>
      <c r="E605" s="403"/>
      <c r="F605" s="394"/>
      <c r="G605" s="395"/>
      <c r="H605" s="395"/>
      <c r="I605" s="395"/>
      <c r="J605" s="395"/>
      <c r="K605" s="396"/>
      <c r="L605" s="395"/>
      <c r="M605" s="394"/>
      <c r="N605" s="395"/>
      <c r="O605" s="395"/>
      <c r="P605" s="395"/>
      <c r="Q605" s="395"/>
      <c r="R605" s="154"/>
      <c r="S605" s="154"/>
      <c r="T605" s="154"/>
    </row>
    <row r="606" spans="1:20" s="149" customFormat="1" ht="18" customHeight="1" thickBot="1" x14ac:dyDescent="0.3">
      <c r="A606" s="335"/>
      <c r="B606" s="397">
        <v>90</v>
      </c>
      <c r="C606" s="461"/>
      <c r="D606" s="808" t="s">
        <v>2506</v>
      </c>
      <c r="E606" s="403"/>
      <c r="F606" s="394"/>
      <c r="G606" s="395"/>
      <c r="H606" s="395"/>
      <c r="I606" s="395"/>
      <c r="J606" s="395"/>
      <c r="K606" s="396"/>
      <c r="L606" s="395"/>
      <c r="M606" s="394"/>
      <c r="N606" s="395"/>
      <c r="O606" s="395"/>
      <c r="P606" s="395"/>
      <c r="Q606" s="395"/>
      <c r="R606" s="154"/>
      <c r="S606" s="154"/>
      <c r="T606" s="154"/>
    </row>
    <row r="607" spans="1:20" s="149" customFormat="1" ht="18" customHeight="1" thickBot="1" x14ac:dyDescent="0.3">
      <c r="A607" s="335"/>
      <c r="B607" s="398">
        <f>SUM(B605:B606)</f>
        <v>215</v>
      </c>
      <c r="C607" s="461"/>
      <c r="D607" s="597"/>
      <c r="E607" s="463"/>
      <c r="F607" s="352"/>
      <c r="G607" s="350"/>
      <c r="H607" s="350"/>
      <c r="I607" s="350"/>
      <c r="J607" s="350"/>
      <c r="K607" s="351"/>
      <c r="L607" s="350"/>
      <c r="M607" s="352"/>
      <c r="N607" s="350"/>
      <c r="O607" s="350"/>
      <c r="P607" s="350"/>
      <c r="Q607" s="353"/>
      <c r="R607" s="154"/>
      <c r="S607" s="154"/>
      <c r="T607" s="154"/>
    </row>
    <row r="608" spans="1:20" s="149" customFormat="1" ht="18" customHeight="1" x14ac:dyDescent="0.25">
      <c r="A608" s="335"/>
      <c r="B608" s="397"/>
      <c r="C608" s="461"/>
      <c r="D608" s="597"/>
      <c r="E608" s="403"/>
      <c r="F608" s="394"/>
      <c r="G608" s="395"/>
      <c r="H608" s="395"/>
      <c r="I608" s="395"/>
      <c r="J608" s="395"/>
      <c r="K608" s="396"/>
      <c r="L608" s="395"/>
      <c r="M608" s="394"/>
      <c r="N608" s="395"/>
      <c r="O608" s="395"/>
      <c r="P608" s="395"/>
      <c r="Q608" s="395"/>
      <c r="R608" s="154"/>
      <c r="S608" s="154"/>
      <c r="T608" s="154"/>
    </row>
    <row r="609" spans="1:20" s="149" customFormat="1" ht="18" customHeight="1" x14ac:dyDescent="0.25">
      <c r="A609" s="335"/>
      <c r="B609" s="203"/>
      <c r="C609" s="461"/>
      <c r="D609" s="597"/>
      <c r="E609" s="336"/>
      <c r="F609" s="151"/>
      <c r="K609" s="201"/>
      <c r="M609" s="151"/>
      <c r="R609" s="154"/>
      <c r="S609" s="154"/>
      <c r="T609" s="154"/>
    </row>
    <row r="610" spans="1:20" s="149" customFormat="1" ht="18" customHeight="1" x14ac:dyDescent="0.25">
      <c r="A610" s="237" t="s">
        <v>706</v>
      </c>
      <c r="B610" s="203">
        <f>+B434+B452+B459+B463+B467+B473+B484+B488+B496+B509+B514+B524+B539+B550+B555+B569+B573+L587+B586+B593+B598+B603+B607</f>
        <v>7090</v>
      </c>
      <c r="C610" s="461"/>
      <c r="D610" s="597"/>
      <c r="E610" s="336"/>
      <c r="F610" s="151"/>
      <c r="K610" s="201"/>
      <c r="M610" s="151"/>
      <c r="R610" s="154"/>
      <c r="S610" s="154"/>
      <c r="T610" s="154"/>
    </row>
    <row r="611" spans="1:20" s="149" customFormat="1" ht="18" customHeight="1" x14ac:dyDescent="0.25">
      <c r="A611" s="354" t="s">
        <v>707</v>
      </c>
      <c r="B611" s="203"/>
      <c r="C611" s="461"/>
      <c r="D611" s="597"/>
      <c r="E611" s="336"/>
      <c r="F611" s="151"/>
      <c r="K611" s="201"/>
      <c r="M611" s="151"/>
      <c r="R611" s="154"/>
      <c r="S611" s="154"/>
      <c r="T611" s="154"/>
    </row>
    <row r="612" spans="1:20" s="149" customFormat="1" ht="18" customHeight="1" x14ac:dyDescent="0.25">
      <c r="A612" s="354" t="s">
        <v>708</v>
      </c>
      <c r="B612" s="203"/>
      <c r="C612" s="461"/>
      <c r="D612" s="597"/>
      <c r="E612" s="336"/>
      <c r="F612" s="151"/>
      <c r="K612" s="201"/>
      <c r="M612" s="151"/>
      <c r="R612" s="154"/>
      <c r="S612" s="154"/>
      <c r="T612" s="154"/>
    </row>
    <row r="613" spans="1:20" s="149" customFormat="1" ht="18" customHeight="1" x14ac:dyDescent="0.25">
      <c r="A613" s="354" t="s">
        <v>709</v>
      </c>
      <c r="B613" s="203"/>
      <c r="C613" s="461"/>
      <c r="D613" s="597"/>
      <c r="E613" s="336"/>
      <c r="F613" s="151"/>
      <c r="K613" s="201"/>
      <c r="M613" s="151"/>
      <c r="R613" s="154"/>
      <c r="S613" s="154"/>
      <c r="T613" s="154"/>
    </row>
    <row r="614" spans="1:20" s="149" customFormat="1" ht="18" customHeight="1" x14ac:dyDescent="0.25">
      <c r="A614" s="354" t="s">
        <v>710</v>
      </c>
      <c r="B614" s="203"/>
      <c r="C614" s="461"/>
      <c r="D614" s="597"/>
      <c r="E614" s="336"/>
      <c r="F614" s="151"/>
      <c r="K614" s="201"/>
      <c r="M614" s="151"/>
      <c r="R614" s="154"/>
      <c r="S614" s="154"/>
      <c r="T614" s="154"/>
    </row>
    <row r="615" spans="1:20" s="149" customFormat="1" ht="18" customHeight="1" x14ac:dyDescent="0.25">
      <c r="A615" s="354" t="s">
        <v>711</v>
      </c>
      <c r="B615" s="203"/>
      <c r="C615" s="461"/>
      <c r="D615" s="597"/>
      <c r="E615" s="336"/>
      <c r="F615" s="151"/>
      <c r="K615" s="201"/>
      <c r="M615" s="151"/>
      <c r="R615" s="154"/>
      <c r="S615" s="154"/>
      <c r="T615" s="154"/>
    </row>
    <row r="616" spans="1:20" s="149" customFormat="1" ht="18" customHeight="1" x14ac:dyDescent="0.25">
      <c r="A616" s="354" t="s">
        <v>712</v>
      </c>
      <c r="B616" s="203"/>
      <c r="C616" s="461"/>
      <c r="D616" s="597"/>
      <c r="E616" s="336"/>
      <c r="F616" s="151"/>
      <c r="K616" s="201"/>
      <c r="M616" s="151"/>
      <c r="R616" s="154"/>
      <c r="S616" s="154"/>
      <c r="T616" s="154"/>
    </row>
    <row r="617" spans="1:20" s="149" customFormat="1" ht="18" customHeight="1" x14ac:dyDescent="0.25">
      <c r="A617" s="354" t="s">
        <v>713</v>
      </c>
      <c r="B617" s="203"/>
      <c r="C617" s="461"/>
      <c r="D617" s="597"/>
      <c r="E617" s="336"/>
      <c r="F617" s="151"/>
      <c r="K617" s="201"/>
      <c r="M617" s="151"/>
      <c r="R617" s="154"/>
      <c r="S617" s="154"/>
      <c r="T617" s="154"/>
    </row>
    <row r="618" spans="1:20" s="149" customFormat="1" ht="18" customHeight="1" x14ac:dyDescent="0.25">
      <c r="A618" s="335"/>
      <c r="B618" s="203"/>
      <c r="C618" s="461"/>
      <c r="D618" s="597"/>
      <c r="E618" s="336"/>
      <c r="F618" s="151"/>
      <c r="K618" s="201"/>
      <c r="M618" s="151"/>
      <c r="R618" s="154"/>
      <c r="S618" s="154"/>
      <c r="T618" s="154"/>
    </row>
    <row r="619" spans="1:20" s="874" customFormat="1" ht="18" customHeight="1" x14ac:dyDescent="0.3">
      <c r="A619" s="869"/>
      <c r="B619" s="870"/>
      <c r="C619" s="871"/>
      <c r="D619" s="899" t="s">
        <v>1262</v>
      </c>
      <c r="E619" s="900" t="s">
        <v>2538</v>
      </c>
      <c r="F619" s="873"/>
      <c r="K619" s="875"/>
      <c r="M619" s="873"/>
      <c r="R619" s="876"/>
      <c r="S619" s="876"/>
      <c r="T619" s="876"/>
    </row>
    <row r="620" spans="1:20" s="149" customFormat="1" ht="18" customHeight="1" x14ac:dyDescent="0.25">
      <c r="A620" s="335"/>
      <c r="B620" s="203"/>
      <c r="C620" s="461"/>
      <c r="D620" s="597"/>
      <c r="E620" s="336"/>
      <c r="F620" s="151"/>
      <c r="K620" s="201"/>
      <c r="M620" s="151"/>
      <c r="R620" s="154"/>
      <c r="S620" s="154"/>
      <c r="T620" s="154"/>
    </row>
    <row r="621" spans="1:20" s="149" customFormat="1" ht="18" customHeight="1" x14ac:dyDescent="0.25">
      <c r="A621" s="335">
        <v>45414</v>
      </c>
      <c r="B621" s="203">
        <v>150</v>
      </c>
      <c r="C621" s="461"/>
      <c r="D621" s="808" t="s">
        <v>2510</v>
      </c>
      <c r="E621" s="336"/>
      <c r="F621" s="151"/>
      <c r="K621" s="201"/>
      <c r="M621" s="151"/>
      <c r="R621" s="154"/>
      <c r="S621" s="154"/>
      <c r="T621" s="154"/>
    </row>
    <row r="622" spans="1:20" s="149" customFormat="1" ht="18" customHeight="1" x14ac:dyDescent="0.25">
      <c r="A622" s="335"/>
      <c r="B622" s="203">
        <v>60</v>
      </c>
      <c r="C622" s="461"/>
      <c r="D622" s="808" t="s">
        <v>2511</v>
      </c>
      <c r="E622" s="336"/>
      <c r="F622" s="151"/>
      <c r="K622" s="201"/>
      <c r="M622" s="151"/>
      <c r="R622" s="154"/>
      <c r="S622" s="154"/>
      <c r="T622" s="154"/>
    </row>
    <row r="623" spans="1:20" s="149" customFormat="1" ht="18" customHeight="1" thickBot="1" x14ac:dyDescent="0.3">
      <c r="A623" s="335"/>
      <c r="B623" s="203">
        <v>20</v>
      </c>
      <c r="C623" s="461">
        <v>50</v>
      </c>
      <c r="D623" s="808" t="s">
        <v>2513</v>
      </c>
      <c r="E623" s="336"/>
      <c r="F623" s="151"/>
      <c r="K623" s="201"/>
      <c r="M623" s="151"/>
      <c r="R623" s="154"/>
      <c r="S623" s="154"/>
      <c r="T623" s="154"/>
    </row>
    <row r="624" spans="1:20" s="149" customFormat="1" ht="18" customHeight="1" thickBot="1" x14ac:dyDescent="0.3">
      <c r="A624" s="335"/>
      <c r="B624" s="398">
        <f>SUM(B621:B623)</f>
        <v>230</v>
      </c>
      <c r="C624" s="461"/>
      <c r="D624" s="597"/>
      <c r="E624" s="463"/>
      <c r="F624" s="352"/>
      <c r="G624" s="350"/>
      <c r="H624" s="350"/>
      <c r="I624" s="350"/>
      <c r="J624" s="350"/>
      <c r="K624" s="351"/>
      <c r="L624" s="350"/>
      <c r="M624" s="352"/>
      <c r="N624" s="350"/>
      <c r="O624" s="350"/>
      <c r="P624" s="350"/>
      <c r="Q624" s="353"/>
      <c r="R624" s="154"/>
      <c r="S624" s="154"/>
      <c r="T624" s="154"/>
    </row>
    <row r="625" spans="1:20" s="149" customFormat="1" ht="18" customHeight="1" x14ac:dyDescent="0.25">
      <c r="A625" s="335"/>
      <c r="B625" s="203"/>
      <c r="C625" s="461"/>
      <c r="D625" s="597"/>
      <c r="E625" s="336"/>
      <c r="F625" s="151"/>
      <c r="K625" s="201"/>
      <c r="M625" s="151"/>
      <c r="R625" s="154"/>
      <c r="S625" s="154"/>
      <c r="T625" s="154"/>
    </row>
    <row r="626" spans="1:20" s="149" customFormat="1" ht="18" customHeight="1" x14ac:dyDescent="0.25">
      <c r="A626" s="335">
        <v>45415</v>
      </c>
      <c r="B626" s="203">
        <v>85</v>
      </c>
      <c r="C626" s="461"/>
      <c r="D626" s="808" t="s">
        <v>2514</v>
      </c>
      <c r="E626" s="336"/>
      <c r="F626" s="151"/>
      <c r="K626" s="201"/>
      <c r="M626" s="151"/>
      <c r="R626" s="154"/>
      <c r="S626" s="154"/>
      <c r="T626" s="154"/>
    </row>
    <row r="627" spans="1:20" s="149" customFormat="1" ht="18" customHeight="1" x14ac:dyDescent="0.25">
      <c r="A627" s="335"/>
      <c r="B627" s="203">
        <v>30</v>
      </c>
      <c r="C627" s="461"/>
      <c r="D627" s="808" t="s">
        <v>2515</v>
      </c>
      <c r="E627" s="336"/>
      <c r="F627" s="151"/>
      <c r="K627" s="201"/>
      <c r="M627" s="151"/>
      <c r="R627" s="154"/>
      <c r="S627" s="154"/>
      <c r="T627" s="154"/>
    </row>
    <row r="628" spans="1:20" s="149" customFormat="1" ht="18" customHeight="1" x14ac:dyDescent="0.25">
      <c r="A628" s="335"/>
      <c r="B628" s="203"/>
      <c r="C628" s="461">
        <v>65</v>
      </c>
      <c r="D628" s="808" t="s">
        <v>2516</v>
      </c>
      <c r="E628" s="336"/>
      <c r="F628" s="151"/>
      <c r="K628" s="201"/>
      <c r="M628" s="151"/>
      <c r="R628" s="154"/>
      <c r="S628" s="154"/>
      <c r="T628" s="154"/>
    </row>
    <row r="629" spans="1:20" s="149" customFormat="1" ht="18" customHeight="1" thickBot="1" x14ac:dyDescent="0.3">
      <c r="A629" s="335"/>
      <c r="B629" s="203"/>
      <c r="C629" s="461"/>
      <c r="D629" s="597"/>
      <c r="E629" s="336"/>
      <c r="F629" s="151"/>
      <c r="K629" s="201"/>
      <c r="M629" s="151"/>
      <c r="R629" s="154"/>
      <c r="S629" s="154"/>
      <c r="T629" s="154"/>
    </row>
    <row r="630" spans="1:20" s="149" customFormat="1" ht="18" customHeight="1" thickBot="1" x14ac:dyDescent="0.3">
      <c r="A630" s="335"/>
      <c r="B630" s="398">
        <f>SUM(B626:B629)</f>
        <v>115</v>
      </c>
      <c r="C630" s="461"/>
      <c r="D630" s="597"/>
      <c r="E630" s="463" t="s">
        <v>1699</v>
      </c>
      <c r="F630" s="352"/>
      <c r="G630" s="350"/>
      <c r="H630" s="350"/>
      <c r="I630" s="350"/>
      <c r="J630" s="350"/>
      <c r="K630" s="351"/>
      <c r="L630" s="350"/>
      <c r="M630" s="352"/>
      <c r="N630" s="350"/>
      <c r="O630" s="350"/>
      <c r="P630" s="350"/>
      <c r="Q630" s="353"/>
      <c r="R630" s="154"/>
      <c r="S630" s="154"/>
      <c r="T630" s="154"/>
    </row>
    <row r="631" spans="1:20" s="149" customFormat="1" ht="18" customHeight="1" x14ac:dyDescent="0.25">
      <c r="A631" s="335"/>
      <c r="B631" s="203"/>
      <c r="C631" s="461"/>
      <c r="D631" s="597"/>
      <c r="E631" s="336"/>
      <c r="F631" s="151"/>
      <c r="K631" s="201"/>
      <c r="M631" s="151"/>
      <c r="R631" s="154"/>
      <c r="S631" s="154"/>
      <c r="T631" s="154"/>
    </row>
    <row r="632" spans="1:20" s="149" customFormat="1" ht="18" customHeight="1" x14ac:dyDescent="0.25">
      <c r="A632" s="335">
        <v>45416</v>
      </c>
      <c r="B632" s="203">
        <v>35</v>
      </c>
      <c r="C632" s="461"/>
      <c r="D632" s="808" t="s">
        <v>2524</v>
      </c>
      <c r="E632" s="336"/>
      <c r="F632" s="151"/>
      <c r="K632" s="201"/>
      <c r="M632" s="151"/>
      <c r="R632" s="154"/>
      <c r="S632" s="154"/>
      <c r="T632" s="154"/>
    </row>
    <row r="633" spans="1:20" s="149" customFormat="1" ht="18" customHeight="1" x14ac:dyDescent="0.25">
      <c r="A633" s="335"/>
      <c r="B633" s="203">
        <v>55</v>
      </c>
      <c r="C633" s="461"/>
      <c r="D633" s="808" t="s">
        <v>2525</v>
      </c>
      <c r="E633" s="336"/>
      <c r="F633" s="151"/>
      <c r="K633" s="201"/>
      <c r="M633" s="151"/>
      <c r="R633" s="154"/>
      <c r="S633" s="154"/>
      <c r="T633" s="154"/>
    </row>
    <row r="634" spans="1:20" s="149" customFormat="1" ht="18" customHeight="1" x14ac:dyDescent="0.25">
      <c r="A634" s="335"/>
      <c r="B634" s="203">
        <v>100</v>
      </c>
      <c r="C634" s="461"/>
      <c r="D634" s="808" t="s">
        <v>2526</v>
      </c>
      <c r="E634" s="336"/>
      <c r="F634" s="151"/>
      <c r="K634" s="201"/>
      <c r="M634" s="151"/>
      <c r="R634" s="154"/>
      <c r="S634" s="154"/>
      <c r="T634" s="154"/>
    </row>
    <row r="635" spans="1:20" s="149" customFormat="1" ht="18" customHeight="1" x14ac:dyDescent="0.25">
      <c r="A635" s="335"/>
      <c r="B635" s="203">
        <v>110</v>
      </c>
      <c r="C635" s="461"/>
      <c r="D635" s="808" t="s">
        <v>2527</v>
      </c>
      <c r="E635" s="336"/>
      <c r="F635" s="151"/>
      <c r="K635" s="201"/>
      <c r="M635" s="151"/>
      <c r="R635" s="154"/>
      <c r="S635" s="154"/>
      <c r="T635" s="154"/>
    </row>
    <row r="636" spans="1:20" s="149" customFormat="1" ht="18" customHeight="1" x14ac:dyDescent="0.25">
      <c r="A636" s="335"/>
      <c r="B636" s="203">
        <v>110</v>
      </c>
      <c r="C636" s="461"/>
      <c r="D636" s="808" t="s">
        <v>2528</v>
      </c>
      <c r="E636" s="336"/>
      <c r="F636" s="151"/>
      <c r="K636" s="201"/>
      <c r="M636" s="151"/>
      <c r="R636" s="154"/>
      <c r="S636" s="154"/>
      <c r="T636" s="154"/>
    </row>
    <row r="637" spans="1:20" s="149" customFormat="1" ht="18" customHeight="1" thickBot="1" x14ac:dyDescent="0.3">
      <c r="A637" s="335"/>
      <c r="B637" s="203">
        <v>110</v>
      </c>
      <c r="C637" s="461"/>
      <c r="D637" s="808" t="s">
        <v>2529</v>
      </c>
      <c r="E637" s="336"/>
      <c r="F637" s="151"/>
      <c r="K637" s="201"/>
      <c r="M637" s="151"/>
      <c r="R637" s="154"/>
      <c r="S637" s="154"/>
      <c r="T637" s="154"/>
    </row>
    <row r="638" spans="1:20" s="149" customFormat="1" ht="18" customHeight="1" thickBot="1" x14ac:dyDescent="0.3">
      <c r="A638" s="335"/>
      <c r="B638" s="398">
        <f>SUM(B632:B637)</f>
        <v>520</v>
      </c>
      <c r="C638" s="461"/>
      <c r="D638" s="597"/>
      <c r="E638" s="463"/>
      <c r="F638" s="352"/>
      <c r="G638" s="350"/>
      <c r="H638" s="350"/>
      <c r="I638" s="350"/>
      <c r="J638" s="350"/>
      <c r="K638" s="351"/>
      <c r="L638" s="350"/>
      <c r="M638" s="352"/>
      <c r="N638" s="350"/>
      <c r="O638" s="350"/>
      <c r="P638" s="350"/>
      <c r="Q638" s="353"/>
      <c r="R638" s="154"/>
      <c r="S638" s="154"/>
      <c r="T638" s="154"/>
    </row>
    <row r="639" spans="1:20" s="149" customFormat="1" ht="18" customHeight="1" x14ac:dyDescent="0.25">
      <c r="A639" s="335"/>
      <c r="B639" s="203"/>
      <c r="C639" s="461"/>
      <c r="D639" s="597"/>
      <c r="E639" s="336"/>
      <c r="F639" s="151"/>
      <c r="K639" s="201"/>
      <c r="M639" s="151"/>
      <c r="R639" s="154"/>
      <c r="S639" s="154"/>
      <c r="T639" s="154"/>
    </row>
    <row r="640" spans="1:20" s="149" customFormat="1" ht="18" customHeight="1" x14ac:dyDescent="0.25">
      <c r="A640" s="335">
        <v>45418</v>
      </c>
      <c r="B640" s="203">
        <v>10</v>
      </c>
      <c r="C640" s="461"/>
      <c r="D640" s="808" t="s">
        <v>2455</v>
      </c>
      <c r="E640" s="336"/>
      <c r="F640" s="151"/>
      <c r="K640" s="201"/>
      <c r="M640" s="151"/>
      <c r="R640" s="154"/>
      <c r="S640" s="154"/>
      <c r="T640" s="154"/>
    </row>
    <row r="641" spans="1:20" s="149" customFormat="1" ht="18" customHeight="1" x14ac:dyDescent="0.25">
      <c r="A641" s="335"/>
      <c r="B641" s="203">
        <v>125</v>
      </c>
      <c r="C641" s="461"/>
      <c r="D641" s="808" t="s">
        <v>2530</v>
      </c>
      <c r="E641" s="336"/>
      <c r="F641" s="151"/>
      <c r="K641" s="201"/>
      <c r="M641" s="151"/>
      <c r="R641" s="154"/>
      <c r="S641" s="154"/>
      <c r="T641" s="154"/>
    </row>
    <row r="642" spans="1:20" s="149" customFormat="1" ht="18" customHeight="1" x14ac:dyDescent="0.25">
      <c r="A642" s="335"/>
      <c r="B642" s="203">
        <v>200</v>
      </c>
      <c r="C642" s="461"/>
      <c r="D642" s="808" t="s">
        <v>2531</v>
      </c>
      <c r="E642" s="336"/>
      <c r="F642" s="151"/>
      <c r="K642" s="201"/>
      <c r="M642" s="151"/>
      <c r="R642" s="154"/>
      <c r="S642" s="154"/>
      <c r="T642" s="154"/>
    </row>
    <row r="643" spans="1:20" s="149" customFormat="1" ht="18" customHeight="1" x14ac:dyDescent="0.25">
      <c r="A643" s="335"/>
      <c r="B643" s="203">
        <v>125</v>
      </c>
      <c r="C643" s="461"/>
      <c r="D643" s="808" t="s">
        <v>2546</v>
      </c>
      <c r="E643" s="336"/>
      <c r="F643" s="151"/>
      <c r="K643" s="201"/>
      <c r="M643" s="151"/>
      <c r="R643" s="154"/>
      <c r="S643" s="154"/>
      <c r="T643" s="154"/>
    </row>
    <row r="644" spans="1:20" s="149" customFormat="1" ht="18" customHeight="1" x14ac:dyDescent="0.25">
      <c r="A644" s="335"/>
      <c r="B644" s="203"/>
      <c r="C644" s="461"/>
      <c r="D644" s="829" t="s">
        <v>2600</v>
      </c>
      <c r="E644" s="336"/>
      <c r="F644" s="151"/>
      <c r="K644" s="201"/>
      <c r="M644" s="151"/>
      <c r="R644" s="154"/>
      <c r="S644" s="154"/>
      <c r="T644" s="154"/>
    </row>
    <row r="645" spans="1:20" s="149" customFormat="1" ht="18" customHeight="1" x14ac:dyDescent="0.25">
      <c r="A645" s="335"/>
      <c r="B645" s="203">
        <v>110</v>
      </c>
      <c r="C645" s="461">
        <v>105</v>
      </c>
      <c r="D645" s="808" t="s">
        <v>2532</v>
      </c>
      <c r="E645" s="336">
        <v>5</v>
      </c>
      <c r="F645" s="151"/>
      <c r="K645" s="201"/>
      <c r="M645" s="151"/>
      <c r="R645" s="154"/>
      <c r="S645" s="154"/>
      <c r="T645" s="154"/>
    </row>
    <row r="646" spans="1:20" s="149" customFormat="1" ht="18" customHeight="1" x14ac:dyDescent="0.25">
      <c r="A646" s="335"/>
      <c r="B646" s="203">
        <v>65</v>
      </c>
      <c r="C646" s="461">
        <v>65</v>
      </c>
      <c r="D646" s="808" t="s">
        <v>2547</v>
      </c>
      <c r="E646" s="336"/>
      <c r="F646" s="151"/>
      <c r="K646" s="201"/>
      <c r="M646" s="151"/>
      <c r="R646" s="154"/>
      <c r="S646" s="154"/>
      <c r="T646" s="154"/>
    </row>
    <row r="647" spans="1:20" s="149" customFormat="1" ht="18" customHeight="1" x14ac:dyDescent="0.25">
      <c r="A647" s="335"/>
      <c r="B647" s="203">
        <v>110</v>
      </c>
      <c r="C647" s="461">
        <v>105</v>
      </c>
      <c r="D647" s="808" t="s">
        <v>2533</v>
      </c>
      <c r="E647" s="336"/>
      <c r="F647" s="151"/>
      <c r="K647" s="201"/>
      <c r="M647" s="151"/>
      <c r="R647" s="154"/>
      <c r="S647" s="154"/>
      <c r="T647" s="154"/>
    </row>
    <row r="648" spans="1:20" s="149" customFormat="1" ht="18" customHeight="1" x14ac:dyDescent="0.25">
      <c r="A648" s="335"/>
      <c r="B648" s="203">
        <v>125</v>
      </c>
      <c r="C648" s="461">
        <v>115</v>
      </c>
      <c r="D648" s="808" t="s">
        <v>2534</v>
      </c>
      <c r="E648" s="336"/>
      <c r="F648" s="151"/>
      <c r="K648" s="201"/>
      <c r="M648" s="151"/>
      <c r="R648" s="154"/>
      <c r="S648" s="154"/>
      <c r="T648" s="154"/>
    </row>
    <row r="649" spans="1:20" s="149" customFormat="1" ht="18" customHeight="1" thickBot="1" x14ac:dyDescent="0.3">
      <c r="A649" s="335"/>
      <c r="B649" s="203"/>
      <c r="C649" s="461">
        <v>65</v>
      </c>
      <c r="D649" s="808" t="s">
        <v>2535</v>
      </c>
      <c r="E649" s="336"/>
      <c r="F649" s="151"/>
      <c r="K649" s="201"/>
      <c r="M649" s="151"/>
      <c r="R649" s="154"/>
      <c r="S649" s="154"/>
      <c r="T649" s="154"/>
    </row>
    <row r="650" spans="1:20" s="149" customFormat="1" ht="18" customHeight="1" thickBot="1" x14ac:dyDescent="0.3">
      <c r="A650" s="335"/>
      <c r="B650" s="398">
        <f>SUM(B640:B649)</f>
        <v>870</v>
      </c>
      <c r="C650" s="461"/>
      <c r="D650" s="597"/>
      <c r="E650" s="463"/>
      <c r="F650" s="352"/>
      <c r="G650" s="350"/>
      <c r="H650" s="350"/>
      <c r="I650" s="350"/>
      <c r="J650" s="350"/>
      <c r="K650" s="351"/>
      <c r="L650" s="350"/>
      <c r="M650" s="352"/>
      <c r="N650" s="350"/>
      <c r="O650" s="350"/>
      <c r="P650" s="350"/>
      <c r="Q650" s="353"/>
      <c r="R650" s="154"/>
      <c r="S650" s="154"/>
      <c r="T650" s="154"/>
    </row>
    <row r="651" spans="1:20" s="149" customFormat="1" ht="18" customHeight="1" x14ac:dyDescent="0.25">
      <c r="A651" s="335"/>
      <c r="B651" s="203"/>
      <c r="C651" s="461"/>
      <c r="D651" s="597"/>
      <c r="E651" s="336"/>
      <c r="F651" s="151"/>
      <c r="K651" s="201"/>
      <c r="M651" s="151"/>
      <c r="R651" s="154"/>
      <c r="S651" s="154"/>
      <c r="T651" s="154"/>
    </row>
    <row r="652" spans="1:20" s="149" customFormat="1" ht="18" customHeight="1" x14ac:dyDescent="0.25">
      <c r="A652" s="335">
        <v>45419</v>
      </c>
      <c r="B652" s="203">
        <v>10</v>
      </c>
      <c r="C652" s="461"/>
      <c r="D652" s="808" t="s">
        <v>2455</v>
      </c>
      <c r="E652" s="336"/>
      <c r="F652" s="151"/>
      <c r="K652" s="201"/>
      <c r="M652" s="151"/>
      <c r="R652" s="154"/>
      <c r="S652" s="154"/>
      <c r="T652" s="154"/>
    </row>
    <row r="653" spans="1:20" s="149" customFormat="1" ht="18" customHeight="1" thickBot="1" x14ac:dyDescent="0.3">
      <c r="A653" s="335"/>
      <c r="B653" s="203">
        <v>100</v>
      </c>
      <c r="C653" s="461"/>
      <c r="D653" s="808" t="s">
        <v>2548</v>
      </c>
      <c r="E653" s="336"/>
      <c r="F653" s="151"/>
      <c r="K653" s="201"/>
      <c r="M653" s="151"/>
      <c r="R653" s="154"/>
      <c r="S653" s="154"/>
      <c r="T653" s="154"/>
    </row>
    <row r="654" spans="1:20" s="149" customFormat="1" ht="18" customHeight="1" thickBot="1" x14ac:dyDescent="0.3">
      <c r="A654" s="335"/>
      <c r="B654" s="398">
        <f>SUM(B652:B653)</f>
        <v>110</v>
      </c>
      <c r="C654" s="461"/>
      <c r="D654" s="597"/>
      <c r="E654" s="463"/>
      <c r="F654" s="352"/>
      <c r="G654" s="350"/>
      <c r="H654" s="350"/>
      <c r="I654" s="350"/>
      <c r="J654" s="350"/>
      <c r="K654" s="351"/>
      <c r="L654" s="350"/>
      <c r="M654" s="352"/>
      <c r="N654" s="350"/>
      <c r="O654" s="350"/>
      <c r="P654" s="350"/>
      <c r="Q654" s="353"/>
      <c r="R654" s="154"/>
      <c r="S654" s="154"/>
      <c r="T654" s="154"/>
    </row>
    <row r="655" spans="1:20" s="149" customFormat="1" ht="18" customHeight="1" x14ac:dyDescent="0.25">
      <c r="A655" s="335"/>
      <c r="B655" s="397"/>
      <c r="C655" s="461"/>
      <c r="D655" s="597"/>
      <c r="E655" s="403"/>
      <c r="F655" s="394"/>
      <c r="G655" s="395"/>
      <c r="H655" s="395"/>
      <c r="I655" s="395"/>
      <c r="J655" s="395"/>
      <c r="K655" s="396"/>
      <c r="L655" s="395"/>
      <c r="M655" s="394"/>
      <c r="N655" s="395"/>
      <c r="O655" s="395"/>
      <c r="P655" s="395"/>
      <c r="Q655" s="395"/>
      <c r="R655" s="154"/>
      <c r="S655" s="154"/>
      <c r="T655" s="154"/>
    </row>
    <row r="656" spans="1:20" s="149" customFormat="1" ht="18" customHeight="1" x14ac:dyDescent="0.25">
      <c r="A656" s="335">
        <v>45420</v>
      </c>
      <c r="B656" s="397">
        <v>10</v>
      </c>
      <c r="C656" s="461"/>
      <c r="D656" s="808" t="s">
        <v>2455</v>
      </c>
      <c r="E656" s="403"/>
      <c r="F656" s="394"/>
      <c r="G656" s="395"/>
      <c r="H656" s="395"/>
      <c r="I656" s="395"/>
      <c r="J656" s="395"/>
      <c r="K656" s="396"/>
      <c r="L656" s="395"/>
      <c r="M656" s="394"/>
      <c r="N656" s="395"/>
      <c r="O656" s="395"/>
      <c r="P656" s="395"/>
      <c r="Q656" s="395"/>
      <c r="R656" s="154"/>
      <c r="S656" s="154"/>
      <c r="T656" s="154"/>
    </row>
    <row r="657" spans="1:20" s="149" customFormat="1" ht="18" customHeight="1" x14ac:dyDescent="0.25">
      <c r="A657" s="335"/>
      <c r="B657" s="397">
        <v>35</v>
      </c>
      <c r="C657" s="461"/>
      <c r="D657" s="808" t="s">
        <v>2549</v>
      </c>
      <c r="E657" s="403"/>
      <c r="F657" s="394"/>
      <c r="G657" s="395"/>
      <c r="H657" s="395"/>
      <c r="I657" s="395"/>
      <c r="J657" s="395"/>
      <c r="K657" s="396"/>
      <c r="L657" s="395"/>
      <c r="M657" s="394"/>
      <c r="N657" s="395"/>
      <c r="O657" s="395"/>
      <c r="P657" s="395"/>
      <c r="Q657" s="395"/>
      <c r="R657" s="154"/>
      <c r="S657" s="154"/>
      <c r="T657" s="154"/>
    </row>
    <row r="658" spans="1:20" s="149" customFormat="1" ht="18" customHeight="1" x14ac:dyDescent="0.25">
      <c r="A658" s="335"/>
      <c r="B658" s="397">
        <v>125</v>
      </c>
      <c r="C658" s="461"/>
      <c r="D658" s="808" t="s">
        <v>2550</v>
      </c>
      <c r="E658" s="403"/>
      <c r="F658" s="394"/>
      <c r="G658" s="395"/>
      <c r="H658" s="395"/>
      <c r="I658" s="395"/>
      <c r="J658" s="395"/>
      <c r="K658" s="396"/>
      <c r="L658" s="395"/>
      <c r="M658" s="394"/>
      <c r="N658" s="395"/>
      <c r="O658" s="395"/>
      <c r="P658" s="395"/>
      <c r="Q658" s="395"/>
      <c r="R658" s="154"/>
      <c r="S658" s="154"/>
      <c r="T658" s="154"/>
    </row>
    <row r="659" spans="1:20" s="149" customFormat="1" ht="18" customHeight="1" x14ac:dyDescent="0.25">
      <c r="A659" s="335"/>
      <c r="B659" s="397">
        <v>40</v>
      </c>
      <c r="C659" s="461"/>
      <c r="D659" s="808" t="s">
        <v>2551</v>
      </c>
      <c r="E659" s="403">
        <v>5</v>
      </c>
      <c r="F659" s="394"/>
      <c r="G659" s="395"/>
      <c r="H659" s="395"/>
      <c r="I659" s="395"/>
      <c r="J659" s="395"/>
      <c r="K659" s="396"/>
      <c r="L659" s="395"/>
      <c r="M659" s="394"/>
      <c r="N659" s="395"/>
      <c r="O659" s="395"/>
      <c r="P659" s="395"/>
      <c r="Q659" s="395"/>
      <c r="R659" s="154"/>
      <c r="S659" s="154"/>
      <c r="T659" s="154"/>
    </row>
    <row r="660" spans="1:20" s="149" customFormat="1" ht="18" customHeight="1" thickBot="1" x14ac:dyDescent="0.3">
      <c r="A660" s="335"/>
      <c r="B660" s="397">
        <v>30</v>
      </c>
      <c r="C660" s="461"/>
      <c r="D660" s="808" t="s">
        <v>2552</v>
      </c>
      <c r="E660" s="403"/>
      <c r="F660" s="394"/>
      <c r="G660" s="395"/>
      <c r="H660" s="395"/>
      <c r="I660" s="395"/>
      <c r="J660" s="395"/>
      <c r="K660" s="396"/>
      <c r="L660" s="395"/>
      <c r="M660" s="394"/>
      <c r="N660" s="395"/>
      <c r="O660" s="395"/>
      <c r="P660" s="395"/>
      <c r="Q660" s="395"/>
      <c r="R660" s="154"/>
      <c r="S660" s="154"/>
      <c r="T660" s="154"/>
    </row>
    <row r="661" spans="1:20" s="149" customFormat="1" ht="18" customHeight="1" thickBot="1" x14ac:dyDescent="0.3">
      <c r="A661" s="335"/>
      <c r="B661" s="398">
        <f>SUM(B656:B660)</f>
        <v>240</v>
      </c>
      <c r="C661" s="461"/>
      <c r="D661" s="597"/>
      <c r="E661" s="463"/>
      <c r="F661" s="352"/>
      <c r="G661" s="350"/>
      <c r="H661" s="350"/>
      <c r="I661" s="350"/>
      <c r="J661" s="350"/>
      <c r="K661" s="351"/>
      <c r="L661" s="350"/>
      <c r="M661" s="352"/>
      <c r="N661" s="350"/>
      <c r="O661" s="350"/>
      <c r="P661" s="350"/>
      <c r="Q661" s="353"/>
      <c r="R661" s="154"/>
      <c r="S661" s="154"/>
      <c r="T661" s="154"/>
    </row>
    <row r="662" spans="1:20" s="149" customFormat="1" ht="18" customHeight="1" x14ac:dyDescent="0.25">
      <c r="A662" s="335"/>
      <c r="B662" s="397"/>
      <c r="C662" s="461"/>
      <c r="D662" s="597"/>
      <c r="E662" s="403"/>
      <c r="F662" s="394"/>
      <c r="G662" s="395"/>
      <c r="H662" s="395"/>
      <c r="I662" s="395"/>
      <c r="J662" s="395"/>
      <c r="K662" s="396"/>
      <c r="L662" s="395"/>
      <c r="M662" s="394"/>
      <c r="N662" s="395"/>
      <c r="O662" s="395"/>
      <c r="P662" s="395"/>
      <c r="Q662" s="395"/>
      <c r="R662" s="154"/>
      <c r="S662" s="154"/>
      <c r="T662" s="154"/>
    </row>
    <row r="663" spans="1:20" s="149" customFormat="1" ht="18" customHeight="1" x14ac:dyDescent="0.25">
      <c r="A663" s="335">
        <v>45421</v>
      </c>
      <c r="B663" s="397"/>
      <c r="C663" s="461"/>
      <c r="D663" s="808" t="s">
        <v>2553</v>
      </c>
      <c r="E663" s="403"/>
      <c r="F663" s="394"/>
      <c r="G663" s="395"/>
      <c r="H663" s="395"/>
      <c r="I663" s="395"/>
      <c r="J663" s="395"/>
      <c r="K663" s="396"/>
      <c r="L663" s="395"/>
      <c r="M663" s="394"/>
      <c r="N663" s="395"/>
      <c r="O663" s="395"/>
      <c r="P663" s="395"/>
      <c r="Q663" s="395"/>
      <c r="R663" s="154"/>
      <c r="S663" s="154"/>
      <c r="T663" s="154"/>
    </row>
    <row r="664" spans="1:20" s="149" customFormat="1" ht="18" customHeight="1" x14ac:dyDescent="0.25">
      <c r="A664" s="335"/>
      <c r="B664" s="397">
        <v>120</v>
      </c>
      <c r="C664" s="461"/>
      <c r="D664" s="808" t="s">
        <v>2554</v>
      </c>
      <c r="E664" s="403">
        <v>5</v>
      </c>
      <c r="F664" s="394"/>
      <c r="G664" s="395"/>
      <c r="H664" s="395"/>
      <c r="I664" s="395"/>
      <c r="J664" s="395"/>
      <c r="K664" s="396"/>
      <c r="L664" s="395"/>
      <c r="M664" s="394"/>
      <c r="N664" s="395"/>
      <c r="O664" s="395"/>
      <c r="P664" s="395"/>
      <c r="Q664" s="395"/>
      <c r="R664" s="154"/>
      <c r="S664" s="154"/>
      <c r="T664" s="154"/>
    </row>
    <row r="665" spans="1:20" s="149" customFormat="1" ht="18" customHeight="1" x14ac:dyDescent="0.25">
      <c r="A665" s="335"/>
      <c r="B665" s="397">
        <v>105</v>
      </c>
      <c r="C665" s="461"/>
      <c r="D665" s="808" t="s">
        <v>2555</v>
      </c>
      <c r="E665" s="403">
        <v>5</v>
      </c>
      <c r="F665" s="394"/>
      <c r="G665" s="395"/>
      <c r="H665" s="395"/>
      <c r="I665" s="395"/>
      <c r="J665" s="395"/>
      <c r="K665" s="396"/>
      <c r="L665" s="395"/>
      <c r="M665" s="394"/>
      <c r="N665" s="395"/>
      <c r="O665" s="395"/>
      <c r="P665" s="395"/>
      <c r="Q665" s="395"/>
      <c r="R665" s="154"/>
      <c r="S665" s="154"/>
      <c r="T665" s="154"/>
    </row>
    <row r="666" spans="1:20" s="149" customFormat="1" ht="18" customHeight="1" x14ac:dyDescent="0.25">
      <c r="A666" s="335"/>
      <c r="B666" s="397">
        <v>40</v>
      </c>
      <c r="C666" s="461"/>
      <c r="D666" s="808" t="s">
        <v>2557</v>
      </c>
      <c r="E666" s="403"/>
      <c r="F666" s="394"/>
      <c r="G666" s="395"/>
      <c r="H666" s="395"/>
      <c r="I666" s="395"/>
      <c r="J666" s="395"/>
      <c r="K666" s="396"/>
      <c r="L666" s="395"/>
      <c r="M666" s="394"/>
      <c r="N666" s="395"/>
      <c r="O666" s="395"/>
      <c r="P666" s="395"/>
      <c r="Q666" s="395"/>
      <c r="R666" s="154"/>
      <c r="S666" s="154"/>
      <c r="T666" s="154"/>
    </row>
    <row r="667" spans="1:20" s="149" customFormat="1" ht="18" customHeight="1" x14ac:dyDescent="0.25">
      <c r="A667" s="335"/>
      <c r="B667" s="397">
        <v>50</v>
      </c>
      <c r="C667" s="461"/>
      <c r="D667" s="808" t="s">
        <v>2558</v>
      </c>
      <c r="E667" s="403"/>
      <c r="F667" s="394"/>
      <c r="G667" s="395"/>
      <c r="H667" s="395"/>
      <c r="I667" s="395"/>
      <c r="J667" s="395"/>
      <c r="K667" s="396"/>
      <c r="L667" s="395"/>
      <c r="M667" s="394"/>
      <c r="N667" s="395"/>
      <c r="O667" s="395"/>
      <c r="P667" s="395"/>
      <c r="Q667" s="395"/>
      <c r="R667" s="154"/>
      <c r="S667" s="154"/>
      <c r="T667" s="154"/>
    </row>
    <row r="668" spans="1:20" s="149" customFormat="1" ht="18" customHeight="1" thickBot="1" x14ac:dyDescent="0.3">
      <c r="A668" s="335"/>
      <c r="B668" s="397"/>
      <c r="C668" s="461">
        <v>50</v>
      </c>
      <c r="D668" s="808" t="s">
        <v>2574</v>
      </c>
      <c r="E668" s="403"/>
      <c r="F668" s="394"/>
      <c r="G668" s="395"/>
      <c r="H668" s="395"/>
      <c r="I668" s="395"/>
      <c r="J668" s="395"/>
      <c r="K668" s="396"/>
      <c r="L668" s="395"/>
      <c r="M668" s="394"/>
      <c r="N668" s="395"/>
      <c r="O668" s="395"/>
      <c r="P668" s="395"/>
      <c r="Q668" s="395"/>
      <c r="R668" s="154"/>
      <c r="S668" s="154"/>
      <c r="T668" s="154"/>
    </row>
    <row r="669" spans="1:20" s="149" customFormat="1" ht="18" customHeight="1" thickBot="1" x14ac:dyDescent="0.3">
      <c r="A669" s="335"/>
      <c r="B669" s="398">
        <f>SUM(B664:B667)</f>
        <v>315</v>
      </c>
      <c r="C669" s="461"/>
      <c r="D669" s="597"/>
      <c r="E669" s="463"/>
      <c r="F669" s="352"/>
      <c r="G669" s="350"/>
      <c r="H669" s="350"/>
      <c r="I669" s="350"/>
      <c r="J669" s="350"/>
      <c r="K669" s="351"/>
      <c r="L669" s="350"/>
      <c r="M669" s="352"/>
      <c r="N669" s="350"/>
      <c r="O669" s="350"/>
      <c r="P669" s="350"/>
      <c r="Q669" s="353"/>
      <c r="R669" s="154"/>
      <c r="S669" s="154"/>
      <c r="T669" s="154"/>
    </row>
    <row r="670" spans="1:20" s="149" customFormat="1" ht="18" customHeight="1" x14ac:dyDescent="0.25">
      <c r="A670" s="335"/>
      <c r="B670" s="397"/>
      <c r="C670" s="461"/>
      <c r="D670" s="597"/>
      <c r="E670" s="403"/>
      <c r="F670" s="394"/>
      <c r="G670" s="395"/>
      <c r="H670" s="395"/>
      <c r="I670" s="395"/>
      <c r="J670" s="395"/>
      <c r="K670" s="396"/>
      <c r="L670" s="395"/>
      <c r="M670" s="394"/>
      <c r="N670" s="395"/>
      <c r="O670" s="395"/>
      <c r="P670" s="395"/>
      <c r="Q670" s="395"/>
      <c r="R670" s="154"/>
      <c r="S670" s="154"/>
      <c r="T670" s="154"/>
    </row>
    <row r="671" spans="1:20" s="149" customFormat="1" ht="18" customHeight="1" x14ac:dyDescent="0.25">
      <c r="A671" s="335">
        <v>45422</v>
      </c>
      <c r="B671" s="397">
        <v>125</v>
      </c>
      <c r="C671" s="461"/>
      <c r="D671" s="808" t="s">
        <v>2562</v>
      </c>
      <c r="E671" s="403"/>
      <c r="F671" s="394"/>
      <c r="G671" s="395"/>
      <c r="H671" s="395"/>
      <c r="I671" s="395"/>
      <c r="J671" s="395"/>
      <c r="K671" s="396"/>
      <c r="L671" s="395"/>
      <c r="M671" s="394"/>
      <c r="N671" s="395"/>
      <c r="O671" s="395"/>
      <c r="P671" s="395"/>
      <c r="Q671" s="395"/>
      <c r="R671" s="154"/>
      <c r="S671" s="154"/>
      <c r="T671" s="154"/>
    </row>
    <row r="672" spans="1:20" s="149" customFormat="1" ht="18" customHeight="1" x14ac:dyDescent="0.25">
      <c r="A672" s="335"/>
      <c r="B672" s="397">
        <v>150</v>
      </c>
      <c r="C672" s="461"/>
      <c r="D672" s="808" t="s">
        <v>2559</v>
      </c>
      <c r="E672" s="403"/>
      <c r="F672" s="394"/>
      <c r="G672" s="395"/>
      <c r="H672" s="395"/>
      <c r="I672" s="395"/>
      <c r="J672" s="395"/>
      <c r="K672" s="396"/>
      <c r="L672" s="395"/>
      <c r="M672" s="394"/>
      <c r="N672" s="395"/>
      <c r="O672" s="395"/>
      <c r="P672" s="395"/>
      <c r="Q672" s="395"/>
      <c r="R672" s="154"/>
      <c r="S672" s="154"/>
      <c r="T672" s="154"/>
    </row>
    <row r="673" spans="1:20" s="149" customFormat="1" ht="18" customHeight="1" thickBot="1" x14ac:dyDescent="0.3">
      <c r="A673" s="335"/>
      <c r="B673" s="397">
        <v>125</v>
      </c>
      <c r="C673" s="461"/>
      <c r="D673" s="808" t="s">
        <v>2560</v>
      </c>
      <c r="E673" s="403"/>
      <c r="F673" s="394"/>
      <c r="G673" s="395"/>
      <c r="H673" s="395"/>
      <c r="I673" s="395"/>
      <c r="J673" s="395"/>
      <c r="K673" s="396"/>
      <c r="L673" s="395"/>
      <c r="M673" s="394"/>
      <c r="N673" s="395"/>
      <c r="O673" s="395"/>
      <c r="P673" s="395"/>
      <c r="Q673" s="395"/>
      <c r="R673" s="154"/>
      <c r="S673" s="154"/>
      <c r="T673" s="154"/>
    </row>
    <row r="674" spans="1:20" s="149" customFormat="1" ht="18" customHeight="1" thickBot="1" x14ac:dyDescent="0.3">
      <c r="A674" s="335"/>
      <c r="B674" s="398">
        <f>SUM(B671:B673)</f>
        <v>400</v>
      </c>
      <c r="C674" s="461"/>
      <c r="D674" s="597"/>
      <c r="E674" s="463"/>
      <c r="F674" s="352"/>
      <c r="G674" s="350"/>
      <c r="H674" s="350"/>
      <c r="I674" s="350"/>
      <c r="J674" s="350"/>
      <c r="K674" s="351"/>
      <c r="L674" s="350"/>
      <c r="M674" s="352"/>
      <c r="N674" s="350"/>
      <c r="O674" s="350"/>
      <c r="P674" s="350"/>
      <c r="Q674" s="353"/>
      <c r="R674" s="154"/>
      <c r="S674" s="154"/>
      <c r="T674" s="154"/>
    </row>
    <row r="675" spans="1:20" s="149" customFormat="1" ht="18" customHeight="1" x14ac:dyDescent="0.25">
      <c r="A675" s="335"/>
      <c r="B675" s="397"/>
      <c r="C675" s="883">
        <v>35</v>
      </c>
      <c r="D675" s="878" t="s">
        <v>985</v>
      </c>
      <c r="E675" s="403"/>
      <c r="F675" s="394"/>
      <c r="G675" s="395"/>
      <c r="H675" s="395"/>
      <c r="I675" s="395"/>
      <c r="J675" s="395"/>
      <c r="K675" s="396"/>
      <c r="L675" s="395"/>
      <c r="M675" s="394"/>
      <c r="N675" s="395"/>
      <c r="O675" s="395"/>
      <c r="P675" s="395"/>
      <c r="Q675" s="395"/>
      <c r="R675" s="154"/>
      <c r="S675" s="154"/>
      <c r="T675" s="154"/>
    </row>
    <row r="676" spans="1:20" s="149" customFormat="1" ht="18" customHeight="1" x14ac:dyDescent="0.25">
      <c r="A676" s="335">
        <v>45423</v>
      </c>
      <c r="B676" s="397">
        <v>60</v>
      </c>
      <c r="C676" s="461">
        <v>125</v>
      </c>
      <c r="D676" s="808" t="s">
        <v>2563</v>
      </c>
      <c r="E676" s="403"/>
      <c r="F676" s="394"/>
      <c r="G676" s="395"/>
      <c r="H676" s="395"/>
      <c r="I676" s="395"/>
      <c r="J676" s="395"/>
      <c r="K676" s="396"/>
      <c r="L676" s="395"/>
      <c r="M676" s="394"/>
      <c r="N676" s="395"/>
      <c r="O676" s="395"/>
      <c r="P676" s="395"/>
      <c r="Q676" s="395"/>
      <c r="R676" s="154"/>
      <c r="S676" s="154"/>
      <c r="T676" s="154"/>
    </row>
    <row r="677" spans="1:20" s="149" customFormat="1" ht="18" customHeight="1" x14ac:dyDescent="0.25">
      <c r="A677" s="335"/>
      <c r="B677" s="397">
        <v>85</v>
      </c>
      <c r="C677" s="461"/>
      <c r="D677" s="808" t="s">
        <v>2564</v>
      </c>
      <c r="E677" s="403"/>
      <c r="F677" s="394"/>
      <c r="G677" s="395"/>
      <c r="H677" s="395"/>
      <c r="I677" s="395"/>
      <c r="J677" s="395"/>
      <c r="K677" s="396"/>
      <c r="L677" s="395"/>
      <c r="M677" s="394"/>
      <c r="N677" s="395"/>
      <c r="O677" s="395"/>
      <c r="P677" s="395"/>
      <c r="Q677" s="395"/>
      <c r="R677" s="154"/>
      <c r="S677" s="154"/>
      <c r="T677" s="154"/>
    </row>
    <row r="678" spans="1:20" s="149" customFormat="1" ht="18" customHeight="1" thickBot="1" x14ac:dyDescent="0.3">
      <c r="A678" s="335"/>
      <c r="B678" s="397">
        <v>120</v>
      </c>
      <c r="C678" s="461"/>
      <c r="D678" s="808" t="s">
        <v>2565</v>
      </c>
      <c r="E678" s="403"/>
      <c r="F678" s="394"/>
      <c r="G678" s="395"/>
      <c r="H678" s="395"/>
      <c r="I678" s="395"/>
      <c r="J678" s="395"/>
      <c r="K678" s="396"/>
      <c r="L678" s="395"/>
      <c r="M678" s="394"/>
      <c r="N678" s="395"/>
      <c r="O678" s="395"/>
      <c r="P678" s="395"/>
      <c r="Q678" s="395"/>
      <c r="R678" s="154"/>
      <c r="S678" s="154"/>
      <c r="T678" s="154"/>
    </row>
    <row r="679" spans="1:20" s="149" customFormat="1" ht="18" customHeight="1" thickBot="1" x14ac:dyDescent="0.3">
      <c r="A679" s="335"/>
      <c r="B679" s="398">
        <f>SUM(B676:B678)</f>
        <v>265</v>
      </c>
      <c r="C679" s="461"/>
      <c r="D679" s="597"/>
      <c r="E679" s="463"/>
      <c r="F679" s="352"/>
      <c r="G679" s="350"/>
      <c r="H679" s="350"/>
      <c r="I679" s="350"/>
      <c r="J679" s="350"/>
      <c r="K679" s="351"/>
      <c r="L679" s="350"/>
      <c r="M679" s="352"/>
      <c r="N679" s="350"/>
      <c r="O679" s="350"/>
      <c r="P679" s="350"/>
      <c r="Q679" s="353"/>
      <c r="R679" s="154"/>
      <c r="S679" s="154"/>
      <c r="T679" s="154"/>
    </row>
    <row r="680" spans="1:20" s="149" customFormat="1" ht="18" customHeight="1" x14ac:dyDescent="0.25">
      <c r="A680" s="335"/>
      <c r="B680" s="397"/>
      <c r="C680" s="461"/>
      <c r="D680" s="597"/>
      <c r="E680" s="403"/>
      <c r="F680" s="394"/>
      <c r="G680" s="395"/>
      <c r="H680" s="395"/>
      <c r="I680" s="395"/>
      <c r="J680" s="395"/>
      <c r="K680" s="396"/>
      <c r="L680" s="395"/>
      <c r="M680" s="394"/>
      <c r="N680" s="395"/>
      <c r="O680" s="395"/>
      <c r="P680" s="395"/>
      <c r="Q680" s="395"/>
      <c r="R680" s="154"/>
      <c r="S680" s="154"/>
      <c r="T680" s="154"/>
    </row>
    <row r="681" spans="1:20" s="149" customFormat="1" ht="18" customHeight="1" x14ac:dyDescent="0.25">
      <c r="A681" s="335">
        <v>45425</v>
      </c>
      <c r="B681" s="397">
        <v>200</v>
      </c>
      <c r="C681" s="461"/>
      <c r="D681" s="808" t="s">
        <v>2566</v>
      </c>
      <c r="E681" s="403"/>
      <c r="F681" s="394"/>
      <c r="G681" s="395"/>
      <c r="H681" s="395"/>
      <c r="I681" s="395"/>
      <c r="J681" s="395"/>
      <c r="K681" s="396"/>
      <c r="L681" s="395"/>
      <c r="M681" s="394"/>
      <c r="N681" s="395"/>
      <c r="O681" s="395"/>
      <c r="P681" s="395"/>
      <c r="Q681" s="395"/>
      <c r="R681" s="154"/>
      <c r="S681" s="154"/>
      <c r="T681" s="154"/>
    </row>
    <row r="682" spans="1:20" s="149" customFormat="1" ht="18" customHeight="1" thickBot="1" x14ac:dyDescent="0.3">
      <c r="A682" s="335"/>
      <c r="B682" s="397">
        <v>10</v>
      </c>
      <c r="C682" s="461"/>
      <c r="D682" s="808" t="s">
        <v>2577</v>
      </c>
      <c r="E682" s="403"/>
      <c r="F682" s="394"/>
      <c r="G682" s="395"/>
      <c r="H682" s="395"/>
      <c r="I682" s="395"/>
      <c r="J682" s="395"/>
      <c r="K682" s="396"/>
      <c r="L682" s="395"/>
      <c r="M682" s="394"/>
      <c r="N682" s="395"/>
      <c r="O682" s="395"/>
      <c r="P682" s="395"/>
      <c r="Q682" s="395"/>
      <c r="R682" s="154"/>
      <c r="S682" s="154"/>
      <c r="T682" s="154"/>
    </row>
    <row r="683" spans="1:20" s="149" customFormat="1" ht="18" customHeight="1" thickBot="1" x14ac:dyDescent="0.3">
      <c r="A683" s="335"/>
      <c r="B683" s="398">
        <f>SUM(B681:B682)</f>
        <v>210</v>
      </c>
      <c r="C683" s="461"/>
      <c r="D683" s="597"/>
      <c r="E683" s="463"/>
      <c r="F683" s="352"/>
      <c r="G683" s="350"/>
      <c r="H683" s="350"/>
      <c r="I683" s="350"/>
      <c r="J683" s="350"/>
      <c r="K683" s="351"/>
      <c r="L683" s="350"/>
      <c r="M683" s="352"/>
      <c r="N683" s="350"/>
      <c r="O683" s="350"/>
      <c r="P683" s="350"/>
      <c r="Q683" s="353"/>
      <c r="R683" s="154"/>
      <c r="S683" s="154"/>
      <c r="T683" s="154"/>
    </row>
    <row r="684" spans="1:20" s="149" customFormat="1" ht="18" customHeight="1" x14ac:dyDescent="0.25">
      <c r="A684" s="335"/>
      <c r="B684" s="397"/>
      <c r="C684" s="461"/>
      <c r="D684" s="597"/>
      <c r="E684" s="403"/>
      <c r="F684" s="394"/>
      <c r="G684" s="395"/>
      <c r="H684" s="395"/>
      <c r="I684" s="395"/>
      <c r="J684" s="395"/>
      <c r="K684" s="396"/>
      <c r="L684" s="395"/>
      <c r="M684" s="394"/>
      <c r="N684" s="395"/>
      <c r="O684" s="395"/>
      <c r="P684" s="395"/>
      <c r="Q684" s="395"/>
      <c r="R684" s="154"/>
      <c r="S684" s="154"/>
      <c r="T684" s="154"/>
    </row>
    <row r="685" spans="1:20" s="149" customFormat="1" ht="18" customHeight="1" x14ac:dyDescent="0.25">
      <c r="A685" s="335">
        <v>45426</v>
      </c>
      <c r="B685" s="397">
        <v>100</v>
      </c>
      <c r="C685" s="461"/>
      <c r="D685" s="808" t="s">
        <v>2046</v>
      </c>
      <c r="E685" s="403"/>
      <c r="F685" s="394"/>
      <c r="G685" s="395"/>
      <c r="H685" s="395"/>
      <c r="I685" s="395"/>
      <c r="J685" s="395"/>
      <c r="K685" s="396"/>
      <c r="L685" s="395"/>
      <c r="M685" s="394"/>
      <c r="N685" s="395"/>
      <c r="O685" s="395"/>
      <c r="P685" s="395"/>
      <c r="Q685" s="395"/>
      <c r="R685" s="154"/>
      <c r="S685" s="154"/>
      <c r="T685" s="154"/>
    </row>
    <row r="686" spans="1:20" s="149" customFormat="1" ht="18" customHeight="1" x14ac:dyDescent="0.25">
      <c r="A686" s="335"/>
      <c r="B686" s="397"/>
      <c r="C686" s="461">
        <v>125</v>
      </c>
      <c r="D686" s="808" t="s">
        <v>2580</v>
      </c>
      <c r="E686" s="403"/>
      <c r="F686" s="394"/>
      <c r="G686" s="395"/>
      <c r="H686" s="395"/>
      <c r="I686" s="395"/>
      <c r="J686" s="395"/>
      <c r="K686" s="396"/>
      <c r="L686" s="395"/>
      <c r="M686" s="394"/>
      <c r="N686" s="395"/>
      <c r="O686" s="395"/>
      <c r="P686" s="395"/>
      <c r="Q686" s="395"/>
      <c r="R686" s="154"/>
      <c r="S686" s="154"/>
      <c r="T686" s="154"/>
    </row>
    <row r="687" spans="1:20" s="149" customFormat="1" ht="18" customHeight="1" x14ac:dyDescent="0.25">
      <c r="A687" s="335"/>
      <c r="B687" s="397"/>
      <c r="C687" s="461"/>
      <c r="D687" s="808" t="s">
        <v>2579</v>
      </c>
      <c r="E687" s="403"/>
      <c r="F687" s="394"/>
      <c r="G687" s="395"/>
      <c r="H687" s="395"/>
      <c r="I687" s="395"/>
      <c r="J687" s="395"/>
      <c r="K687" s="396"/>
      <c r="L687" s="395"/>
      <c r="M687" s="394"/>
      <c r="N687" s="395"/>
      <c r="O687" s="395"/>
      <c r="P687" s="395"/>
      <c r="Q687" s="395"/>
      <c r="R687" s="154"/>
      <c r="S687" s="154"/>
      <c r="T687" s="154"/>
    </row>
    <row r="688" spans="1:20" s="149" customFormat="1" ht="18" customHeight="1" x14ac:dyDescent="0.25">
      <c r="A688" s="335"/>
      <c r="B688" s="397">
        <v>20</v>
      </c>
      <c r="C688" s="461">
        <v>125</v>
      </c>
      <c r="D688" s="808" t="s">
        <v>2581</v>
      </c>
      <c r="E688" s="403"/>
      <c r="F688" s="394"/>
      <c r="G688" s="395"/>
      <c r="H688" s="395"/>
      <c r="I688" s="395"/>
      <c r="J688" s="395"/>
      <c r="K688" s="396"/>
      <c r="L688" s="395"/>
      <c r="M688" s="394"/>
      <c r="N688" s="395"/>
      <c r="O688" s="395"/>
      <c r="P688" s="395"/>
      <c r="Q688" s="395"/>
      <c r="R688" s="154"/>
      <c r="S688" s="154"/>
      <c r="T688" s="154"/>
    </row>
    <row r="689" spans="1:20" s="149" customFormat="1" ht="18" customHeight="1" thickBot="1" x14ac:dyDescent="0.3">
      <c r="A689" s="335"/>
      <c r="B689" s="397">
        <v>125</v>
      </c>
      <c r="C689" s="461"/>
      <c r="D689" s="808" t="s">
        <v>2582</v>
      </c>
      <c r="E689" s="403"/>
      <c r="F689" s="394"/>
      <c r="G689" s="395"/>
      <c r="H689" s="395"/>
      <c r="I689" s="395"/>
      <c r="J689" s="395"/>
      <c r="K689" s="396"/>
      <c r="L689" s="395"/>
      <c r="M689" s="394"/>
      <c r="N689" s="395"/>
      <c r="O689" s="395"/>
      <c r="P689" s="395"/>
      <c r="Q689" s="395"/>
      <c r="R689" s="154"/>
      <c r="S689" s="154"/>
      <c r="T689" s="154"/>
    </row>
    <row r="690" spans="1:20" s="149" customFormat="1" ht="18" customHeight="1" thickBot="1" x14ac:dyDescent="0.3">
      <c r="A690" s="335"/>
      <c r="B690" s="398">
        <f>SUM(B685:B689)</f>
        <v>245</v>
      </c>
      <c r="C690" s="461"/>
      <c r="D690" s="597"/>
      <c r="E690" s="463"/>
      <c r="F690" s="352"/>
      <c r="G690" s="350"/>
      <c r="H690" s="350"/>
      <c r="I690" s="350"/>
      <c r="J690" s="350"/>
      <c r="K690" s="351"/>
      <c r="L690" s="350"/>
      <c r="M690" s="352"/>
      <c r="N690" s="350"/>
      <c r="O690" s="350"/>
      <c r="P690" s="350"/>
      <c r="Q690" s="353"/>
      <c r="R690" s="154"/>
      <c r="S690" s="154"/>
      <c r="T690" s="154"/>
    </row>
    <row r="691" spans="1:20" s="149" customFormat="1" ht="18" customHeight="1" x14ac:dyDescent="0.25">
      <c r="A691" s="335"/>
      <c r="B691" s="397"/>
      <c r="C691" s="461"/>
      <c r="D691" s="597"/>
      <c r="E691" s="403"/>
      <c r="F691" s="394"/>
      <c r="G691" s="395"/>
      <c r="H691" s="395"/>
      <c r="I691" s="395"/>
      <c r="J691" s="395"/>
      <c r="K691" s="396"/>
      <c r="L691" s="395"/>
      <c r="M691" s="394"/>
      <c r="N691" s="395"/>
      <c r="O691" s="395"/>
      <c r="P691" s="395"/>
      <c r="Q691" s="395"/>
      <c r="R691" s="154"/>
      <c r="S691" s="154"/>
      <c r="T691" s="154"/>
    </row>
    <row r="692" spans="1:20" s="149" customFormat="1" ht="18" customHeight="1" x14ac:dyDescent="0.25">
      <c r="A692" s="335">
        <v>45427</v>
      </c>
      <c r="B692" s="397"/>
      <c r="C692" s="461">
        <v>150</v>
      </c>
      <c r="D692" s="597" t="s">
        <v>2583</v>
      </c>
      <c r="E692" s="403"/>
      <c r="F692" s="394"/>
      <c r="G692" s="395"/>
      <c r="H692" s="395"/>
      <c r="I692" s="395"/>
      <c r="J692" s="395"/>
      <c r="K692" s="396"/>
      <c r="L692" s="395"/>
      <c r="M692" s="394"/>
      <c r="N692" s="395"/>
      <c r="O692" s="395"/>
      <c r="P692" s="395"/>
      <c r="Q692" s="395"/>
      <c r="R692" s="154"/>
      <c r="S692" s="154"/>
      <c r="T692" s="154"/>
    </row>
    <row r="693" spans="1:20" s="149" customFormat="1" ht="18" customHeight="1" x14ac:dyDescent="0.25">
      <c r="A693" s="335"/>
      <c r="B693" s="397"/>
      <c r="C693" s="461">
        <v>125</v>
      </c>
      <c r="D693" s="808" t="s">
        <v>2586</v>
      </c>
      <c r="E693" s="403"/>
      <c r="F693" s="394"/>
      <c r="G693" s="395"/>
      <c r="H693" s="395"/>
      <c r="I693" s="395"/>
      <c r="J693" s="395"/>
      <c r="K693" s="396"/>
      <c r="L693" s="395"/>
      <c r="M693" s="394"/>
      <c r="N693" s="395"/>
      <c r="O693" s="395"/>
      <c r="P693" s="395"/>
      <c r="Q693" s="395"/>
      <c r="R693" s="154"/>
      <c r="S693" s="154"/>
      <c r="T693" s="154"/>
    </row>
    <row r="694" spans="1:20" s="149" customFormat="1" ht="18" customHeight="1" x14ac:dyDescent="0.25">
      <c r="A694" s="335"/>
      <c r="B694" s="397">
        <v>100</v>
      </c>
      <c r="C694" s="461"/>
      <c r="D694" s="808" t="s">
        <v>2601</v>
      </c>
      <c r="E694" s="403"/>
      <c r="F694" s="394"/>
      <c r="G694" s="395"/>
      <c r="H694" s="395"/>
      <c r="I694" s="395"/>
      <c r="J694" s="395"/>
      <c r="K694" s="396"/>
      <c r="L694" s="395"/>
      <c r="M694" s="394"/>
      <c r="N694" s="395"/>
      <c r="O694" s="395"/>
      <c r="P694" s="395"/>
      <c r="Q694" s="395"/>
      <c r="R694" s="154"/>
      <c r="S694" s="154"/>
      <c r="T694" s="154"/>
    </row>
    <row r="695" spans="1:20" s="149" customFormat="1" ht="18" customHeight="1" thickBot="1" x14ac:dyDescent="0.3">
      <c r="A695" s="335"/>
      <c r="B695" s="397">
        <v>10</v>
      </c>
      <c r="C695" s="461"/>
      <c r="D695" s="808" t="s">
        <v>2587</v>
      </c>
      <c r="E695" s="403"/>
      <c r="F695" s="394"/>
      <c r="G695" s="395"/>
      <c r="H695" s="395"/>
      <c r="I695" s="395"/>
      <c r="J695" s="395"/>
      <c r="K695" s="396"/>
      <c r="L695" s="395"/>
      <c r="M695" s="394"/>
      <c r="N695" s="395"/>
      <c r="O695" s="395"/>
      <c r="P695" s="395"/>
      <c r="Q695" s="395"/>
      <c r="R695" s="154"/>
      <c r="S695" s="154"/>
      <c r="T695" s="154"/>
    </row>
    <row r="696" spans="1:20" s="149" customFormat="1" ht="18" customHeight="1" thickBot="1" x14ac:dyDescent="0.3">
      <c r="A696" s="335"/>
      <c r="B696" s="398">
        <f>SUM(B692:B695)</f>
        <v>110</v>
      </c>
      <c r="C696" s="461"/>
      <c r="D696" s="597"/>
      <c r="E696" s="463"/>
      <c r="F696" s="352"/>
      <c r="G696" s="350"/>
      <c r="H696" s="350"/>
      <c r="I696" s="350"/>
      <c r="J696" s="350"/>
      <c r="K696" s="351"/>
      <c r="L696" s="350"/>
      <c r="M696" s="352"/>
      <c r="N696" s="350"/>
      <c r="O696" s="350"/>
      <c r="P696" s="350"/>
      <c r="Q696" s="353"/>
      <c r="R696" s="154"/>
      <c r="S696" s="154"/>
      <c r="T696" s="154"/>
    </row>
    <row r="697" spans="1:20" s="149" customFormat="1" ht="18" customHeight="1" x14ac:dyDescent="0.25">
      <c r="A697" s="335"/>
      <c r="B697" s="397"/>
      <c r="C697" s="461"/>
      <c r="D697" s="597"/>
      <c r="E697" s="403"/>
      <c r="F697" s="394"/>
      <c r="G697" s="395"/>
      <c r="H697" s="395"/>
      <c r="I697" s="395"/>
      <c r="J697" s="395"/>
      <c r="K697" s="396"/>
      <c r="L697" s="395"/>
      <c r="M697" s="394"/>
      <c r="N697" s="395"/>
      <c r="O697" s="395"/>
      <c r="P697" s="395"/>
      <c r="Q697" s="395"/>
      <c r="R697" s="154"/>
      <c r="S697" s="154"/>
      <c r="T697" s="154"/>
    </row>
    <row r="698" spans="1:20" s="149" customFormat="1" ht="18" customHeight="1" x14ac:dyDescent="0.25">
      <c r="A698" s="335">
        <v>45428</v>
      </c>
      <c r="B698" s="397">
        <v>45</v>
      </c>
      <c r="C698" s="461"/>
      <c r="D698" s="808" t="s">
        <v>2602</v>
      </c>
      <c r="E698" s="403"/>
      <c r="F698" s="394"/>
      <c r="G698" s="395"/>
      <c r="H698" s="395"/>
      <c r="I698" s="395"/>
      <c r="J698" s="395"/>
      <c r="K698" s="396"/>
      <c r="L698" s="395"/>
      <c r="M698" s="394"/>
      <c r="N698" s="395"/>
      <c r="O698" s="395"/>
      <c r="P698" s="395"/>
      <c r="Q698" s="395"/>
      <c r="R698" s="154"/>
      <c r="S698" s="154"/>
      <c r="T698" s="154"/>
    </row>
    <row r="699" spans="1:20" s="149" customFormat="1" ht="18" customHeight="1" x14ac:dyDescent="0.25">
      <c r="A699" s="335"/>
      <c r="B699" s="397">
        <v>45</v>
      </c>
      <c r="C699" s="461"/>
      <c r="D699" s="808" t="s">
        <v>2588</v>
      </c>
      <c r="E699" s="403"/>
      <c r="F699" s="394"/>
      <c r="G699" s="395"/>
      <c r="H699" s="395"/>
      <c r="I699" s="395"/>
      <c r="J699" s="395"/>
      <c r="K699" s="396"/>
      <c r="L699" s="395"/>
      <c r="M699" s="394"/>
      <c r="N699" s="395"/>
      <c r="O699" s="395"/>
      <c r="P699" s="395"/>
      <c r="Q699" s="395"/>
      <c r="R699" s="154"/>
      <c r="S699" s="154"/>
      <c r="T699" s="154"/>
    </row>
    <row r="700" spans="1:20" s="149" customFormat="1" ht="18" customHeight="1" x14ac:dyDescent="0.25">
      <c r="A700" s="335"/>
      <c r="B700" s="397">
        <v>45</v>
      </c>
      <c r="C700" s="461"/>
      <c r="D700" s="808" t="s">
        <v>2589</v>
      </c>
      <c r="E700" s="885" t="s">
        <v>2605</v>
      </c>
      <c r="F700" s="394"/>
      <c r="G700" s="395"/>
      <c r="H700" s="395"/>
      <c r="I700" s="395"/>
      <c r="J700" s="395"/>
      <c r="K700" s="396"/>
      <c r="L700" s="395"/>
      <c r="M700" s="394"/>
      <c r="N700" s="395"/>
      <c r="O700" s="395"/>
      <c r="P700" s="395"/>
      <c r="Q700" s="395"/>
      <c r="R700" s="154"/>
      <c r="S700" s="154"/>
      <c r="T700" s="154"/>
    </row>
    <row r="701" spans="1:20" s="149" customFormat="1" ht="18" customHeight="1" x14ac:dyDescent="0.25">
      <c r="A701" s="335"/>
      <c r="B701" s="397">
        <v>135</v>
      </c>
      <c r="C701" s="461"/>
      <c r="D701" s="808" t="s">
        <v>2730</v>
      </c>
      <c r="E701" s="403">
        <v>15</v>
      </c>
      <c r="F701" s="394" t="s">
        <v>2606</v>
      </c>
      <c r="G701" s="395"/>
      <c r="H701" s="395"/>
      <c r="I701" s="395"/>
      <c r="J701" s="395"/>
      <c r="K701" s="396"/>
      <c r="L701" s="395"/>
      <c r="M701" s="394"/>
      <c r="N701" s="395"/>
      <c r="O701" s="395"/>
      <c r="P701" s="395"/>
      <c r="Q701" s="395"/>
      <c r="R701" s="154"/>
      <c r="S701" s="154"/>
      <c r="T701" s="154"/>
    </row>
    <row r="702" spans="1:20" s="149" customFormat="1" ht="18" customHeight="1" x14ac:dyDescent="0.25">
      <c r="A702" s="335"/>
      <c r="B702" s="397">
        <v>200</v>
      </c>
      <c r="C702" s="461"/>
      <c r="D702" s="808" t="s">
        <v>2590</v>
      </c>
      <c r="E702" s="403"/>
      <c r="F702" s="394"/>
      <c r="G702" s="395"/>
      <c r="H702" s="395"/>
      <c r="I702" s="395"/>
      <c r="J702" s="395"/>
      <c r="K702" s="396"/>
      <c r="L702" s="395"/>
      <c r="M702" s="394"/>
      <c r="N702" s="395"/>
      <c r="O702" s="395"/>
      <c r="P702" s="395"/>
      <c r="Q702" s="395"/>
      <c r="R702" s="154"/>
      <c r="S702" s="154"/>
      <c r="T702" s="154"/>
    </row>
    <row r="703" spans="1:20" s="149" customFormat="1" ht="18" customHeight="1" thickBot="1" x14ac:dyDescent="0.3">
      <c r="A703" s="335"/>
      <c r="B703" s="203">
        <v>125</v>
      </c>
      <c r="C703" s="461"/>
      <c r="D703" s="808" t="s">
        <v>2607</v>
      </c>
      <c r="E703" s="336"/>
      <c r="F703" s="151"/>
      <c r="K703" s="201"/>
      <c r="M703" s="151"/>
      <c r="R703" s="154"/>
      <c r="S703" s="154"/>
      <c r="T703" s="154"/>
    </row>
    <row r="704" spans="1:20" s="149" customFormat="1" ht="18" customHeight="1" thickBot="1" x14ac:dyDescent="0.3">
      <c r="A704" s="335"/>
      <c r="B704" s="398">
        <f>SUM(B698:B703)</f>
        <v>595</v>
      </c>
      <c r="C704" s="461"/>
      <c r="D704" s="597"/>
      <c r="E704" s="463"/>
      <c r="F704" s="352"/>
      <c r="G704" s="350"/>
      <c r="H704" s="350"/>
      <c r="I704" s="350"/>
      <c r="J704" s="350"/>
      <c r="K704" s="351"/>
      <c r="L704" s="350"/>
      <c r="M704" s="352"/>
      <c r="N704" s="350"/>
      <c r="O704" s="350"/>
      <c r="P704" s="350"/>
      <c r="Q704" s="353"/>
      <c r="R704" s="154"/>
      <c r="S704" s="154"/>
      <c r="T704" s="154"/>
    </row>
    <row r="705" spans="1:20" s="149" customFormat="1" ht="18" customHeight="1" x14ac:dyDescent="0.25">
      <c r="A705" s="335"/>
      <c r="B705" s="203"/>
      <c r="C705" s="461"/>
      <c r="D705" s="597"/>
      <c r="E705" s="336"/>
      <c r="F705" s="151"/>
      <c r="K705" s="201"/>
      <c r="M705" s="151"/>
      <c r="R705" s="154"/>
      <c r="S705" s="154"/>
      <c r="T705" s="154"/>
    </row>
    <row r="706" spans="1:20" s="149" customFormat="1" ht="18" customHeight="1" x14ac:dyDescent="0.25">
      <c r="A706" s="335">
        <v>45429</v>
      </c>
      <c r="B706" s="203">
        <v>10</v>
      </c>
      <c r="C706" s="461"/>
      <c r="D706" s="808" t="s">
        <v>2591</v>
      </c>
      <c r="E706" s="336"/>
      <c r="F706" s="151"/>
      <c r="K706" s="201"/>
      <c r="M706" s="151"/>
      <c r="R706" s="154"/>
      <c r="S706" s="154"/>
      <c r="T706" s="154"/>
    </row>
    <row r="707" spans="1:20" s="149" customFormat="1" ht="18" customHeight="1" x14ac:dyDescent="0.25">
      <c r="A707" s="335"/>
      <c r="B707" s="203">
        <v>90</v>
      </c>
      <c r="C707" s="461"/>
      <c r="D707" s="808" t="s">
        <v>2609</v>
      </c>
      <c r="E707" s="336"/>
      <c r="F707" s="151"/>
      <c r="K707" s="201"/>
      <c r="M707" s="151"/>
      <c r="R707" s="154"/>
      <c r="S707" s="154"/>
      <c r="T707" s="154"/>
    </row>
    <row r="708" spans="1:20" s="149" customFormat="1" ht="18" customHeight="1" x14ac:dyDescent="0.25">
      <c r="A708" s="335"/>
      <c r="B708" s="149">
        <v>150</v>
      </c>
      <c r="C708" s="461"/>
      <c r="D708" s="807" t="s">
        <v>2592</v>
      </c>
      <c r="E708" s="336"/>
      <c r="F708" s="151"/>
      <c r="K708" s="201"/>
      <c r="M708" s="151"/>
      <c r="R708" s="154"/>
      <c r="S708" s="154"/>
      <c r="T708" s="154"/>
    </row>
    <row r="709" spans="1:20" s="149" customFormat="1" ht="18" customHeight="1" x14ac:dyDescent="0.25">
      <c r="A709" s="335"/>
      <c r="B709" s="149">
        <v>125</v>
      </c>
      <c r="C709" s="461"/>
      <c r="D709" s="807" t="s">
        <v>2593</v>
      </c>
      <c r="E709" s="336"/>
      <c r="F709" s="151"/>
      <c r="K709" s="201"/>
      <c r="M709" s="151"/>
      <c r="R709" s="154"/>
      <c r="S709" s="154"/>
      <c r="T709" s="154"/>
    </row>
    <row r="710" spans="1:20" s="149" customFormat="1" ht="18" customHeight="1" thickBot="1" x14ac:dyDescent="0.3">
      <c r="A710" s="335"/>
      <c r="B710" s="203">
        <v>55</v>
      </c>
      <c r="C710" s="461"/>
      <c r="D710" s="808" t="s">
        <v>2603</v>
      </c>
      <c r="E710" s="336"/>
      <c r="F710" s="151"/>
      <c r="K710" s="201"/>
      <c r="M710" s="151"/>
      <c r="R710" s="154"/>
      <c r="S710" s="154"/>
      <c r="T710" s="154"/>
    </row>
    <row r="711" spans="1:20" s="149" customFormat="1" ht="18" customHeight="1" thickBot="1" x14ac:dyDescent="0.3">
      <c r="A711" s="335"/>
      <c r="B711" s="398">
        <f>SUM(B706:B710)</f>
        <v>430</v>
      </c>
      <c r="C711" s="461"/>
      <c r="D711" s="597"/>
      <c r="E711" s="463"/>
      <c r="F711" s="352"/>
      <c r="G711" s="350"/>
      <c r="H711" s="350"/>
      <c r="I711" s="350"/>
      <c r="J711" s="350"/>
      <c r="K711" s="351"/>
      <c r="L711" s="350"/>
      <c r="M711" s="352"/>
      <c r="N711" s="350"/>
      <c r="O711" s="350"/>
      <c r="P711" s="350"/>
      <c r="Q711" s="353"/>
      <c r="R711" s="154"/>
      <c r="S711" s="154"/>
      <c r="T711" s="154"/>
    </row>
    <row r="712" spans="1:20" s="149" customFormat="1" ht="18" customHeight="1" x14ac:dyDescent="0.25">
      <c r="A712" s="335"/>
      <c r="B712" s="203"/>
      <c r="C712" s="461"/>
      <c r="D712" s="597"/>
      <c r="E712" s="336"/>
      <c r="F712" s="151"/>
      <c r="K712" s="201"/>
      <c r="M712" s="151"/>
      <c r="R712" s="154"/>
      <c r="S712" s="154"/>
      <c r="T712" s="154"/>
    </row>
    <row r="713" spans="1:20" s="149" customFormat="1" ht="18" customHeight="1" x14ac:dyDescent="0.25">
      <c r="A713" s="335">
        <v>45430</v>
      </c>
      <c r="B713" s="203">
        <v>40</v>
      </c>
      <c r="C713" s="461"/>
      <c r="D713" s="808" t="s">
        <v>1318</v>
      </c>
      <c r="E713" s="336">
        <v>5</v>
      </c>
      <c r="F713" s="151"/>
      <c r="K713" s="201"/>
      <c r="M713" s="151"/>
      <c r="R713" s="154"/>
      <c r="S713" s="154"/>
      <c r="T713" s="154"/>
    </row>
    <row r="714" spans="1:20" s="149" customFormat="1" ht="18" customHeight="1" x14ac:dyDescent="0.25">
      <c r="A714" s="335"/>
      <c r="B714" s="203">
        <v>120</v>
      </c>
      <c r="C714" s="461"/>
      <c r="D714" s="808" t="s">
        <v>2594</v>
      </c>
      <c r="E714" s="336"/>
      <c r="F714" s="151"/>
      <c r="K714" s="201"/>
      <c r="M714" s="151"/>
      <c r="R714" s="154"/>
      <c r="S714" s="154"/>
      <c r="T714" s="154"/>
    </row>
    <row r="715" spans="1:20" s="149" customFormat="1" ht="18" customHeight="1" x14ac:dyDescent="0.25">
      <c r="A715" s="335"/>
      <c r="B715" s="203">
        <v>160</v>
      </c>
      <c r="C715" s="461"/>
      <c r="D715" s="808" t="s">
        <v>2595</v>
      </c>
      <c r="E715" s="336"/>
      <c r="F715" s="151"/>
      <c r="K715" s="201"/>
      <c r="M715" s="151"/>
      <c r="R715" s="154"/>
      <c r="S715" s="154"/>
      <c r="T715" s="154"/>
    </row>
    <row r="716" spans="1:20" s="149" customFormat="1" ht="18" customHeight="1" x14ac:dyDescent="0.25">
      <c r="A716" s="335"/>
      <c r="B716" s="203"/>
      <c r="C716" s="461">
        <v>90</v>
      </c>
      <c r="D716" s="808" t="s">
        <v>2596</v>
      </c>
      <c r="E716" s="336"/>
      <c r="F716" s="151"/>
      <c r="K716" s="201"/>
      <c r="M716" s="151"/>
      <c r="R716" s="154"/>
      <c r="S716" s="154"/>
      <c r="T716" s="154"/>
    </row>
    <row r="717" spans="1:20" s="149" customFormat="1" ht="18" customHeight="1" thickBot="1" x14ac:dyDescent="0.3">
      <c r="A717" s="335"/>
      <c r="B717" s="203">
        <v>25</v>
      </c>
      <c r="C717" s="461"/>
      <c r="D717" s="808" t="s">
        <v>2597</v>
      </c>
      <c r="E717" s="336"/>
      <c r="F717" s="151"/>
      <c r="K717" s="201"/>
      <c r="M717" s="151"/>
      <c r="R717" s="154"/>
      <c r="S717" s="154"/>
      <c r="T717" s="154"/>
    </row>
    <row r="718" spans="1:20" s="149" customFormat="1" ht="18" customHeight="1" thickBot="1" x14ac:dyDescent="0.3">
      <c r="A718" s="335"/>
      <c r="B718" s="398">
        <f>SUM(B713:B717)</f>
        <v>345</v>
      </c>
      <c r="C718" s="461"/>
      <c r="D718" s="597"/>
      <c r="E718" s="463"/>
      <c r="F718" s="352"/>
      <c r="G718" s="350"/>
      <c r="H718" s="350"/>
      <c r="I718" s="350"/>
      <c r="J718" s="350"/>
      <c r="K718" s="351"/>
      <c r="L718" s="350"/>
      <c r="M718" s="352"/>
      <c r="N718" s="350"/>
      <c r="O718" s="350"/>
      <c r="P718" s="350"/>
      <c r="Q718" s="353"/>
      <c r="R718" s="154"/>
      <c r="S718" s="154"/>
      <c r="T718" s="154"/>
    </row>
    <row r="719" spans="1:20" s="149" customFormat="1" ht="18" customHeight="1" x14ac:dyDescent="0.25">
      <c r="A719" s="335"/>
      <c r="B719" s="203"/>
      <c r="C719" s="461"/>
      <c r="D719" s="597"/>
      <c r="E719" s="336"/>
      <c r="F719" s="151"/>
      <c r="K719" s="201"/>
      <c r="M719" s="151"/>
      <c r="R719" s="154"/>
      <c r="S719" s="154"/>
      <c r="T719" s="154"/>
    </row>
    <row r="720" spans="1:20" s="149" customFormat="1" ht="18" customHeight="1" x14ac:dyDescent="0.25">
      <c r="A720" s="335">
        <v>45432</v>
      </c>
      <c r="B720" s="203">
        <v>10</v>
      </c>
      <c r="C720" s="461"/>
      <c r="D720" s="808" t="s">
        <v>2460</v>
      </c>
      <c r="E720" s="336"/>
      <c r="F720" s="151"/>
      <c r="K720" s="201"/>
      <c r="M720" s="151"/>
      <c r="R720" s="154"/>
      <c r="S720" s="154"/>
      <c r="T720" s="154"/>
    </row>
    <row r="721" spans="1:20" s="149" customFormat="1" ht="18" customHeight="1" x14ac:dyDescent="0.25">
      <c r="A721" s="335"/>
      <c r="B721" s="203">
        <v>100</v>
      </c>
      <c r="C721" s="461"/>
      <c r="D721" s="808" t="s">
        <v>2346</v>
      </c>
      <c r="E721" s="336"/>
      <c r="F721" s="151"/>
      <c r="K721" s="201"/>
      <c r="M721" s="151"/>
      <c r="R721" s="154"/>
      <c r="S721" s="154"/>
      <c r="T721" s="154"/>
    </row>
    <row r="722" spans="1:20" s="149" customFormat="1" ht="18" customHeight="1" x14ac:dyDescent="0.25">
      <c r="A722" s="335"/>
      <c r="B722" s="203"/>
      <c r="C722" s="461">
        <v>200</v>
      </c>
      <c r="D722" s="808" t="s">
        <v>2620</v>
      </c>
      <c r="E722" s="336"/>
      <c r="F722" s="151"/>
      <c r="K722" s="201"/>
      <c r="M722" s="151"/>
      <c r="R722" s="154"/>
      <c r="S722" s="154"/>
      <c r="T722" s="154"/>
    </row>
    <row r="723" spans="1:20" s="149" customFormat="1" ht="18" customHeight="1" x14ac:dyDescent="0.25">
      <c r="A723" s="335"/>
      <c r="B723" s="203"/>
      <c r="C723" s="461"/>
      <c r="D723" s="591" t="s">
        <v>2621</v>
      </c>
      <c r="E723" s="336"/>
      <c r="F723" s="151"/>
      <c r="K723" s="201"/>
      <c r="M723" s="151"/>
      <c r="R723" s="154"/>
      <c r="S723" s="154"/>
      <c r="T723" s="154"/>
    </row>
    <row r="724" spans="1:20" s="149" customFormat="1" ht="18" customHeight="1" x14ac:dyDescent="0.25">
      <c r="A724" s="335"/>
      <c r="B724" s="203"/>
      <c r="C724" s="461">
        <v>150</v>
      </c>
      <c r="D724" s="808" t="s">
        <v>2622</v>
      </c>
      <c r="E724" s="336"/>
      <c r="F724" s="151"/>
      <c r="K724" s="201"/>
      <c r="M724" s="151"/>
      <c r="R724" s="154"/>
      <c r="S724" s="154"/>
      <c r="T724" s="154"/>
    </row>
    <row r="725" spans="1:20" s="149" customFormat="1" ht="18" customHeight="1" x14ac:dyDescent="0.25">
      <c r="A725" s="335"/>
      <c r="B725" s="203"/>
      <c r="C725" s="461">
        <v>250</v>
      </c>
      <c r="D725" s="808" t="s">
        <v>2672</v>
      </c>
      <c r="E725" s="336"/>
      <c r="F725" s="151"/>
      <c r="K725" s="201"/>
      <c r="M725" s="151"/>
      <c r="R725" s="154"/>
      <c r="S725" s="154"/>
      <c r="T725" s="154"/>
    </row>
    <row r="726" spans="1:20" s="149" customFormat="1" ht="18" customHeight="1" x14ac:dyDescent="0.25">
      <c r="A726" s="335"/>
      <c r="B726" s="203"/>
      <c r="C726" s="461">
        <v>90</v>
      </c>
      <c r="D726" s="808" t="s">
        <v>2624</v>
      </c>
      <c r="E726" s="336"/>
      <c r="F726" s="151"/>
      <c r="K726" s="201"/>
      <c r="M726" s="151"/>
      <c r="R726" s="154"/>
      <c r="S726" s="154"/>
      <c r="T726" s="154"/>
    </row>
    <row r="727" spans="1:20" s="149" customFormat="1" ht="18" customHeight="1" x14ac:dyDescent="0.25">
      <c r="A727" s="335"/>
      <c r="B727" s="203"/>
      <c r="C727" s="461">
        <v>90</v>
      </c>
      <c r="D727" s="808" t="s">
        <v>2623</v>
      </c>
      <c r="E727" s="336"/>
      <c r="F727" s="151"/>
      <c r="K727" s="201"/>
      <c r="M727" s="151"/>
      <c r="R727" s="154"/>
      <c r="S727" s="154"/>
      <c r="T727" s="154"/>
    </row>
    <row r="728" spans="1:20" s="149" customFormat="1" ht="18" customHeight="1" thickBot="1" x14ac:dyDescent="0.3">
      <c r="A728" s="335"/>
      <c r="B728" s="203">
        <v>40</v>
      </c>
      <c r="C728" s="461">
        <v>150</v>
      </c>
      <c r="D728" s="808" t="s">
        <v>2673</v>
      </c>
      <c r="E728" s="336"/>
      <c r="F728" s="747" t="s">
        <v>2674</v>
      </c>
      <c r="G728" s="113"/>
      <c r="H728" s="113"/>
      <c r="K728" s="201"/>
      <c r="M728" s="151"/>
      <c r="R728" s="154"/>
      <c r="S728" s="154"/>
      <c r="T728" s="154"/>
    </row>
    <row r="729" spans="1:20" s="149" customFormat="1" ht="18" customHeight="1" thickBot="1" x14ac:dyDescent="0.3">
      <c r="A729" s="335"/>
      <c r="B729" s="398">
        <f>SUM(B720:B728)</f>
        <v>150</v>
      </c>
      <c r="C729" s="461"/>
      <c r="D729" s="597"/>
      <c r="E729" s="463"/>
      <c r="F729" s="352"/>
      <c r="G729" s="350"/>
      <c r="H729" s="350"/>
      <c r="I729" s="350"/>
      <c r="J729" s="350"/>
      <c r="K729" s="351"/>
      <c r="L729" s="350"/>
      <c r="M729" s="352"/>
      <c r="N729" s="350"/>
      <c r="O729" s="350"/>
      <c r="P729" s="350"/>
      <c r="Q729" s="353"/>
      <c r="R729" s="154"/>
      <c r="S729" s="154"/>
      <c r="T729" s="154"/>
    </row>
    <row r="730" spans="1:20" s="149" customFormat="1" ht="18" customHeight="1" x14ac:dyDescent="0.25">
      <c r="A730" s="335"/>
      <c r="B730" s="203"/>
      <c r="C730" s="461"/>
      <c r="D730" s="597"/>
      <c r="E730" s="336"/>
      <c r="F730" s="151"/>
      <c r="K730" s="201"/>
      <c r="M730" s="151"/>
      <c r="R730" s="154"/>
      <c r="S730" s="154"/>
      <c r="T730" s="154"/>
    </row>
    <row r="731" spans="1:20" s="149" customFormat="1" ht="18" customHeight="1" x14ac:dyDescent="0.25">
      <c r="A731" s="335">
        <v>45433</v>
      </c>
      <c r="B731" s="203">
        <v>15</v>
      </c>
      <c r="C731" s="461"/>
      <c r="D731" s="808" t="s">
        <v>2455</v>
      </c>
      <c r="E731" s="336"/>
      <c r="F731" s="151"/>
      <c r="K731" s="201"/>
      <c r="M731" s="151"/>
      <c r="R731" s="154"/>
      <c r="S731" s="154"/>
      <c r="T731" s="154"/>
    </row>
    <row r="732" spans="1:20" s="149" customFormat="1" ht="18" customHeight="1" x14ac:dyDescent="0.25">
      <c r="A732" s="335"/>
      <c r="B732" s="203">
        <v>50</v>
      </c>
      <c r="C732" s="461"/>
      <c r="D732" s="829" t="s">
        <v>2625</v>
      </c>
      <c r="E732" s="336"/>
      <c r="F732" s="151"/>
      <c r="K732" s="201"/>
      <c r="M732" s="151"/>
      <c r="R732" s="154"/>
      <c r="S732" s="154"/>
      <c r="T732" s="154"/>
    </row>
    <row r="733" spans="1:20" s="149" customFormat="1" ht="18" customHeight="1" x14ac:dyDescent="0.25">
      <c r="A733" s="335"/>
      <c r="B733" s="203"/>
      <c r="C733" s="461">
        <v>150</v>
      </c>
      <c r="D733" s="808" t="s">
        <v>2627</v>
      </c>
      <c r="E733" s="336"/>
      <c r="F733" s="151"/>
      <c r="K733" s="201"/>
      <c r="M733" s="151"/>
      <c r="R733" s="154"/>
      <c r="S733" s="154"/>
      <c r="T733" s="154"/>
    </row>
    <row r="734" spans="1:20" s="149" customFormat="1" ht="18" customHeight="1" x14ac:dyDescent="0.25">
      <c r="A734" s="335"/>
      <c r="B734" s="203"/>
      <c r="C734" s="461">
        <v>45</v>
      </c>
      <c r="D734" s="808" t="s">
        <v>2626</v>
      </c>
      <c r="E734" s="336"/>
      <c r="F734" s="151"/>
      <c r="K734" s="201"/>
      <c r="M734" s="151"/>
      <c r="R734" s="154"/>
      <c r="S734" s="154"/>
      <c r="T734" s="154"/>
    </row>
    <row r="735" spans="1:20" s="149" customFormat="1" ht="18" customHeight="1" x14ac:dyDescent="0.25">
      <c r="A735" s="335"/>
      <c r="B735" s="203">
        <v>90</v>
      </c>
      <c r="C735" s="461"/>
      <c r="D735" s="808" t="s">
        <v>2728</v>
      </c>
      <c r="E735" s="336"/>
      <c r="F735" s="151"/>
      <c r="K735" s="201"/>
      <c r="M735" s="151"/>
      <c r="R735" s="154"/>
      <c r="S735" s="154"/>
      <c r="T735" s="154"/>
    </row>
    <row r="736" spans="1:20" s="149" customFormat="1" ht="18" customHeight="1" x14ac:dyDescent="0.25">
      <c r="A736" s="335"/>
      <c r="B736" s="203">
        <v>580</v>
      </c>
      <c r="C736" s="461"/>
      <c r="D736" s="808" t="s">
        <v>2628</v>
      </c>
      <c r="E736" s="336"/>
      <c r="F736" s="151"/>
      <c r="K736" s="201"/>
      <c r="M736" s="151"/>
      <c r="R736" s="154"/>
      <c r="S736" s="154"/>
      <c r="T736" s="154"/>
    </row>
    <row r="737" spans="1:20" s="149" customFormat="1" ht="18" customHeight="1" x14ac:dyDescent="0.25">
      <c r="A737" s="335"/>
      <c r="B737" s="203">
        <v>110</v>
      </c>
      <c r="C737" s="461"/>
      <c r="D737" s="808" t="s">
        <v>2629</v>
      </c>
      <c r="E737" s="336"/>
      <c r="F737" s="151"/>
      <c r="K737" s="201"/>
      <c r="M737" s="151"/>
      <c r="R737" s="154"/>
      <c r="S737" s="154"/>
      <c r="T737" s="154"/>
    </row>
    <row r="738" spans="1:20" s="149" customFormat="1" ht="18" customHeight="1" thickBot="1" x14ac:dyDescent="0.3">
      <c r="A738" s="335"/>
      <c r="B738" s="203">
        <v>100</v>
      </c>
      <c r="C738" s="461"/>
      <c r="D738" s="808" t="s">
        <v>2633</v>
      </c>
      <c r="E738" s="336"/>
      <c r="F738" s="151"/>
      <c r="K738" s="201"/>
      <c r="M738" s="151"/>
      <c r="R738" s="154"/>
      <c r="S738" s="154"/>
      <c r="T738" s="154"/>
    </row>
    <row r="739" spans="1:20" s="149" customFormat="1" ht="18" customHeight="1" thickBot="1" x14ac:dyDescent="0.3">
      <c r="A739" s="335"/>
      <c r="B739" s="398">
        <f>SUM(B731:B738)</f>
        <v>945</v>
      </c>
      <c r="C739" s="461"/>
      <c r="D739" s="597"/>
      <c r="E739" s="463"/>
      <c r="F739" s="352"/>
      <c r="G739" s="350"/>
      <c r="H739" s="350"/>
      <c r="I739" s="350"/>
      <c r="J739" s="350"/>
      <c r="K739" s="351"/>
      <c r="L739" s="350"/>
      <c r="M739" s="352"/>
      <c r="N739" s="350"/>
      <c r="O739" s="350"/>
      <c r="P739" s="350"/>
      <c r="Q739" s="353"/>
      <c r="R739" s="154"/>
      <c r="S739" s="154"/>
      <c r="T739" s="154"/>
    </row>
    <row r="740" spans="1:20" s="149" customFormat="1" ht="18" customHeight="1" x14ac:dyDescent="0.25">
      <c r="A740" s="335"/>
      <c r="B740" s="203"/>
      <c r="C740" s="461"/>
      <c r="D740" s="597"/>
      <c r="E740" s="336"/>
      <c r="F740" s="151"/>
      <c r="K740" s="201"/>
      <c r="M740" s="151"/>
      <c r="R740" s="154"/>
      <c r="S740" s="154"/>
      <c r="T740" s="154"/>
    </row>
    <row r="741" spans="1:20" s="149" customFormat="1" ht="18" customHeight="1" x14ac:dyDescent="0.25">
      <c r="A741" s="335">
        <v>45434</v>
      </c>
      <c r="B741" s="203">
        <v>65</v>
      </c>
      <c r="C741" s="461"/>
      <c r="D741" s="808" t="s">
        <v>2630</v>
      </c>
      <c r="E741" s="336"/>
      <c r="F741" s="151"/>
      <c r="K741" s="201"/>
      <c r="M741" s="151"/>
      <c r="R741" s="154"/>
      <c r="S741" s="154"/>
      <c r="T741" s="154"/>
    </row>
    <row r="742" spans="1:20" s="149" customFormat="1" ht="18" customHeight="1" x14ac:dyDescent="0.25">
      <c r="A742" s="335"/>
      <c r="B742" s="203">
        <v>90</v>
      </c>
      <c r="C742" s="461"/>
      <c r="D742" s="808" t="s">
        <v>2631</v>
      </c>
      <c r="E742" s="336"/>
      <c r="F742" s="151"/>
      <c r="K742" s="201"/>
      <c r="M742" s="151"/>
      <c r="R742" s="154"/>
      <c r="S742" s="154"/>
      <c r="T742" s="154"/>
    </row>
    <row r="743" spans="1:20" s="149" customFormat="1" ht="18" customHeight="1" thickBot="1" x14ac:dyDescent="0.3">
      <c r="A743" s="335"/>
      <c r="B743" s="149">
        <v>70</v>
      </c>
      <c r="C743" s="461"/>
      <c r="D743" s="807" t="s">
        <v>2632</v>
      </c>
      <c r="E743" s="336"/>
      <c r="F743" s="151"/>
      <c r="K743" s="201"/>
      <c r="M743" s="151"/>
      <c r="R743" s="154"/>
      <c r="S743" s="154"/>
      <c r="T743" s="154"/>
    </row>
    <row r="744" spans="1:20" s="149" customFormat="1" ht="18" customHeight="1" thickBot="1" x14ac:dyDescent="0.3">
      <c r="A744" s="335"/>
      <c r="B744" s="398">
        <f>SUM(B741:B743)</f>
        <v>225</v>
      </c>
      <c r="C744" s="461"/>
      <c r="D744" s="597"/>
      <c r="E744" s="463"/>
      <c r="F744" s="352"/>
      <c r="G744" s="350"/>
      <c r="H744" s="350"/>
      <c r="I744" s="350"/>
      <c r="J744" s="350"/>
      <c r="K744" s="351"/>
      <c r="L744" s="350"/>
      <c r="M744" s="352"/>
      <c r="N744" s="350"/>
      <c r="O744" s="350"/>
      <c r="P744" s="350"/>
      <c r="Q744" s="353"/>
      <c r="R744" s="154"/>
      <c r="S744" s="154"/>
      <c r="T744" s="154"/>
    </row>
    <row r="745" spans="1:20" s="149" customFormat="1" ht="18" customHeight="1" x14ac:dyDescent="0.25">
      <c r="A745" s="335"/>
      <c r="B745" s="203"/>
      <c r="C745" s="461"/>
      <c r="D745" s="597"/>
      <c r="E745" s="336"/>
      <c r="F745" s="151"/>
      <c r="K745" s="201"/>
      <c r="M745" s="151"/>
      <c r="R745" s="154"/>
      <c r="S745" s="154"/>
      <c r="T745" s="154"/>
    </row>
    <row r="746" spans="1:20" s="149" customFormat="1" ht="18" customHeight="1" x14ac:dyDescent="0.25">
      <c r="A746" s="335">
        <v>45435</v>
      </c>
      <c r="B746" s="203">
        <v>6</v>
      </c>
      <c r="C746" s="461">
        <v>110</v>
      </c>
      <c r="D746" s="808" t="s">
        <v>2638</v>
      </c>
      <c r="E746" s="336"/>
      <c r="F746" s="151"/>
      <c r="K746" s="201"/>
      <c r="M746" s="151"/>
      <c r="R746" s="154"/>
      <c r="S746" s="154"/>
      <c r="T746" s="154"/>
    </row>
    <row r="747" spans="1:20" s="149" customFormat="1" ht="18" customHeight="1" x14ac:dyDescent="0.25">
      <c r="A747" s="335"/>
      <c r="B747" s="203"/>
      <c r="C747" s="461">
        <v>125</v>
      </c>
      <c r="D747" s="808" t="s">
        <v>2639</v>
      </c>
      <c r="E747" s="336"/>
      <c r="F747" s="151"/>
      <c r="K747" s="201"/>
      <c r="M747" s="151"/>
      <c r="R747" s="154"/>
      <c r="S747" s="154"/>
      <c r="T747" s="154"/>
    </row>
    <row r="748" spans="1:20" s="149" customFormat="1" ht="18" customHeight="1" x14ac:dyDescent="0.25">
      <c r="A748" s="335"/>
      <c r="B748" s="203">
        <v>100</v>
      </c>
      <c r="C748" s="461"/>
      <c r="D748" s="808" t="s">
        <v>1877</v>
      </c>
      <c r="E748" s="336"/>
      <c r="F748" s="151"/>
      <c r="K748" s="201"/>
      <c r="M748" s="151"/>
      <c r="R748" s="154"/>
      <c r="S748" s="154"/>
      <c r="T748" s="154"/>
    </row>
    <row r="749" spans="1:20" s="149" customFormat="1" ht="18" customHeight="1" x14ac:dyDescent="0.25">
      <c r="A749" s="335"/>
      <c r="B749" s="203"/>
      <c r="C749" s="461"/>
      <c r="D749" s="829" t="s">
        <v>2640</v>
      </c>
      <c r="E749" s="336"/>
      <c r="F749" s="151"/>
      <c r="H749" s="149">
        <v>718957162</v>
      </c>
      <c r="K749" s="201"/>
      <c r="M749" s="151"/>
      <c r="R749" s="154"/>
      <c r="S749" s="154"/>
      <c r="T749" s="154"/>
    </row>
    <row r="750" spans="1:20" s="149" customFormat="1" ht="18" customHeight="1" x14ac:dyDescent="0.25">
      <c r="A750" s="335"/>
      <c r="B750" s="203"/>
      <c r="C750" s="461">
        <v>125</v>
      </c>
      <c r="D750" s="808" t="s">
        <v>2715</v>
      </c>
      <c r="E750" s="336"/>
      <c r="F750" s="151"/>
      <c r="K750" s="201"/>
      <c r="M750" s="151"/>
      <c r="R750" s="154"/>
      <c r="S750" s="154"/>
      <c r="T750" s="154"/>
    </row>
    <row r="751" spans="1:20" s="149" customFormat="1" ht="18" customHeight="1" x14ac:dyDescent="0.25">
      <c r="A751" s="335"/>
      <c r="B751" s="203"/>
      <c r="C751" s="149">
        <v>55</v>
      </c>
      <c r="D751" s="938" t="s">
        <v>2641</v>
      </c>
      <c r="E751" s="336"/>
      <c r="F751" s="151"/>
      <c r="K751" s="201"/>
      <c r="M751" s="151"/>
      <c r="R751" s="154"/>
      <c r="S751" s="154"/>
      <c r="T751" s="154"/>
    </row>
    <row r="752" spans="1:20" s="149" customFormat="1" ht="18" customHeight="1" thickBot="1" x14ac:dyDescent="0.3">
      <c r="A752" s="335"/>
      <c r="B752" s="203">
        <v>25</v>
      </c>
      <c r="C752" s="461"/>
      <c r="D752" s="808" t="s">
        <v>2642</v>
      </c>
      <c r="E752" s="336"/>
      <c r="F752" s="151"/>
      <c r="K752" s="201"/>
      <c r="M752" s="151"/>
      <c r="R752" s="154"/>
      <c r="S752" s="154"/>
      <c r="T752" s="154"/>
    </row>
    <row r="753" spans="1:20" s="149" customFormat="1" ht="18" customHeight="1" thickBot="1" x14ac:dyDescent="0.3">
      <c r="A753" s="335"/>
      <c r="B753" s="398">
        <f>SUM(B746:B752)</f>
        <v>131</v>
      </c>
      <c r="C753" s="461"/>
      <c r="D753" s="597"/>
      <c r="E753" s="463"/>
      <c r="F753" s="352"/>
      <c r="G753" s="350"/>
      <c r="H753" s="350"/>
      <c r="I753" s="350"/>
      <c r="J753" s="350"/>
      <c r="K753" s="351"/>
      <c r="L753" s="350"/>
      <c r="M753" s="352"/>
      <c r="N753" s="350"/>
      <c r="O753" s="350"/>
      <c r="P753" s="350"/>
      <c r="Q753" s="353"/>
      <c r="R753" s="154"/>
      <c r="S753" s="154"/>
      <c r="T753" s="154"/>
    </row>
    <row r="754" spans="1:20" s="149" customFormat="1" ht="18" customHeight="1" x14ac:dyDescent="0.25">
      <c r="A754" s="335"/>
      <c r="B754" s="203"/>
      <c r="C754" s="461"/>
      <c r="D754" s="597"/>
      <c r="E754" s="336"/>
      <c r="F754" s="151"/>
      <c r="K754" s="201"/>
      <c r="M754" s="151"/>
      <c r="R754" s="154"/>
      <c r="S754" s="154"/>
      <c r="T754" s="154"/>
    </row>
    <row r="755" spans="1:20" s="149" customFormat="1" ht="18" customHeight="1" x14ac:dyDescent="0.25">
      <c r="A755" s="335">
        <v>45436</v>
      </c>
      <c r="B755" s="203">
        <v>25</v>
      </c>
      <c r="C755" s="461"/>
      <c r="D755" s="808" t="s">
        <v>2643</v>
      </c>
      <c r="E755" s="336"/>
      <c r="F755" s="151"/>
      <c r="K755" s="201"/>
      <c r="M755" s="151"/>
      <c r="R755" s="154"/>
      <c r="S755" s="154"/>
      <c r="T755" s="154"/>
    </row>
    <row r="756" spans="1:20" s="149" customFormat="1" ht="18" customHeight="1" x14ac:dyDescent="0.25">
      <c r="A756" s="335"/>
      <c r="B756" s="203">
        <v>10</v>
      </c>
      <c r="C756" s="461"/>
      <c r="D756" s="808" t="s">
        <v>2732</v>
      </c>
      <c r="E756" s="336"/>
      <c r="F756" s="151"/>
      <c r="K756" s="201"/>
      <c r="M756" s="151"/>
      <c r="R756" s="154"/>
      <c r="S756" s="154"/>
      <c r="T756" s="154"/>
    </row>
    <row r="757" spans="1:20" s="149" customFormat="1" ht="18" customHeight="1" x14ac:dyDescent="0.25">
      <c r="A757" s="335"/>
      <c r="B757" s="203">
        <v>45</v>
      </c>
      <c r="C757" s="461"/>
      <c r="D757" s="808" t="s">
        <v>2644</v>
      </c>
      <c r="E757" s="336"/>
      <c r="F757" s="151"/>
      <c r="K757" s="201"/>
      <c r="M757" s="151"/>
      <c r="R757" s="154"/>
      <c r="S757" s="154"/>
      <c r="T757" s="154"/>
    </row>
    <row r="758" spans="1:20" s="149" customFormat="1" ht="18" customHeight="1" thickBot="1" x14ac:dyDescent="0.3">
      <c r="A758" s="335"/>
      <c r="B758" s="203">
        <v>10</v>
      </c>
      <c r="C758" s="461"/>
      <c r="D758" s="808" t="s">
        <v>2455</v>
      </c>
      <c r="E758" s="336"/>
      <c r="F758" s="151"/>
      <c r="K758" s="201"/>
      <c r="M758" s="151"/>
      <c r="R758" s="154"/>
      <c r="S758" s="154"/>
      <c r="T758" s="154"/>
    </row>
    <row r="759" spans="1:20" s="149" customFormat="1" ht="18" customHeight="1" thickBot="1" x14ac:dyDescent="0.3">
      <c r="A759" s="335"/>
      <c r="B759" s="398">
        <f>SUM(B755:B758)</f>
        <v>90</v>
      </c>
      <c r="C759" s="461"/>
      <c r="D759" s="597"/>
      <c r="E759" s="463"/>
      <c r="F759" s="352"/>
      <c r="G759" s="350"/>
      <c r="H759" s="350"/>
      <c r="I759" s="350"/>
      <c r="J759" s="350"/>
      <c r="K759" s="351"/>
      <c r="L759" s="350"/>
      <c r="M759" s="352"/>
      <c r="N759" s="350"/>
      <c r="O759" s="350"/>
      <c r="P759" s="350"/>
      <c r="Q759" s="353"/>
      <c r="R759" s="154"/>
      <c r="S759" s="154"/>
      <c r="T759" s="154"/>
    </row>
    <row r="760" spans="1:20" s="149" customFormat="1" ht="18" customHeight="1" x14ac:dyDescent="0.25">
      <c r="A760" s="335"/>
      <c r="B760" s="397"/>
      <c r="C760" s="461"/>
      <c r="D760" s="597"/>
      <c r="E760" s="403"/>
      <c r="F760" s="394"/>
      <c r="G760" s="395"/>
      <c r="H760" s="395"/>
      <c r="I760" s="395"/>
      <c r="J760" s="395"/>
      <c r="K760" s="396"/>
      <c r="L760" s="395"/>
      <c r="M760" s="394"/>
      <c r="N760" s="395"/>
      <c r="O760" s="395"/>
      <c r="P760" s="395"/>
      <c r="Q760" s="395"/>
      <c r="R760" s="154"/>
      <c r="S760" s="154"/>
      <c r="T760" s="154"/>
    </row>
    <row r="761" spans="1:20" s="149" customFormat="1" ht="18" customHeight="1" x14ac:dyDescent="0.25">
      <c r="A761" s="335">
        <v>45437</v>
      </c>
      <c r="B761" s="397">
        <v>145</v>
      </c>
      <c r="C761" s="461"/>
      <c r="D761" s="808" t="s">
        <v>2645</v>
      </c>
      <c r="E761" s="403"/>
      <c r="F761" s="394"/>
      <c r="G761" s="395"/>
      <c r="H761" s="395"/>
      <c r="I761" s="395"/>
      <c r="J761" s="395"/>
      <c r="K761" s="396"/>
      <c r="L761" s="395"/>
      <c r="M761" s="394"/>
      <c r="N761" s="395"/>
      <c r="O761" s="395"/>
      <c r="P761" s="395"/>
      <c r="Q761" s="395"/>
      <c r="R761" s="154"/>
      <c r="S761" s="154"/>
      <c r="T761" s="154"/>
    </row>
    <row r="762" spans="1:20" s="149" customFormat="1" ht="18" customHeight="1" x14ac:dyDescent="0.25">
      <c r="A762" s="335"/>
      <c r="B762" s="397"/>
      <c r="C762" s="461"/>
      <c r="D762" s="808" t="s">
        <v>2646</v>
      </c>
      <c r="E762" s="403"/>
      <c r="F762" s="394"/>
      <c r="G762" s="395"/>
      <c r="H762" s="395"/>
      <c r="I762" s="395"/>
      <c r="J762" s="395"/>
      <c r="K762" s="396"/>
      <c r="L762" s="395"/>
      <c r="M762" s="394"/>
      <c r="N762" s="395"/>
      <c r="O762" s="395"/>
      <c r="P762" s="395"/>
      <c r="Q762" s="395"/>
      <c r="R762" s="154"/>
      <c r="S762" s="154"/>
      <c r="T762" s="154"/>
    </row>
    <row r="763" spans="1:20" s="149" customFormat="1" ht="18" customHeight="1" x14ac:dyDescent="0.25">
      <c r="A763" s="335"/>
      <c r="B763" s="397"/>
      <c r="C763" s="461">
        <v>45</v>
      </c>
      <c r="D763" s="808" t="s">
        <v>2647</v>
      </c>
      <c r="E763" s="403"/>
      <c r="F763" s="394"/>
      <c r="G763" s="395"/>
      <c r="H763" s="395"/>
      <c r="I763" s="395"/>
      <c r="J763" s="395"/>
      <c r="K763" s="396"/>
      <c r="L763" s="395"/>
      <c r="M763" s="394"/>
      <c r="N763" s="395"/>
      <c r="O763" s="395"/>
      <c r="P763" s="395"/>
      <c r="Q763" s="395"/>
      <c r="R763" s="154"/>
      <c r="S763" s="154"/>
      <c r="T763" s="154"/>
    </row>
    <row r="764" spans="1:20" s="149" customFormat="1" ht="18" customHeight="1" x14ac:dyDescent="0.25">
      <c r="A764" s="335"/>
      <c r="B764" s="397"/>
      <c r="C764" s="461">
        <v>45</v>
      </c>
      <c r="D764" s="808" t="s">
        <v>2648</v>
      </c>
      <c r="E764" s="403"/>
      <c r="F764" s="394"/>
      <c r="G764" s="395"/>
      <c r="H764" s="395"/>
      <c r="I764" s="395"/>
      <c r="J764" s="395"/>
      <c r="K764" s="396"/>
      <c r="L764" s="395"/>
      <c r="M764" s="394"/>
      <c r="N764" s="395"/>
      <c r="O764" s="395"/>
      <c r="P764" s="395"/>
      <c r="Q764" s="395"/>
      <c r="R764" s="154"/>
      <c r="S764" s="154"/>
      <c r="T764" s="154"/>
    </row>
    <row r="765" spans="1:20" s="149" customFormat="1" ht="18" customHeight="1" thickBot="1" x14ac:dyDescent="0.3">
      <c r="A765" s="335"/>
      <c r="B765" s="397"/>
      <c r="C765" s="461">
        <v>45</v>
      </c>
      <c r="D765" s="808" t="s">
        <v>2649</v>
      </c>
      <c r="E765" s="403"/>
      <c r="F765" s="394"/>
      <c r="G765" s="395"/>
      <c r="H765" s="395"/>
      <c r="I765" s="395"/>
      <c r="J765" s="395"/>
      <c r="K765" s="396"/>
      <c r="L765" s="395"/>
      <c r="M765" s="394"/>
      <c r="N765" s="395"/>
      <c r="O765" s="395"/>
      <c r="P765" s="395"/>
      <c r="Q765" s="395"/>
      <c r="R765" s="154"/>
      <c r="S765" s="154"/>
      <c r="T765" s="154"/>
    </row>
    <row r="766" spans="1:20" s="149" customFormat="1" ht="18" customHeight="1" thickBot="1" x14ac:dyDescent="0.3">
      <c r="A766" s="335"/>
      <c r="B766" s="398">
        <f>SUM(B761:B765)</f>
        <v>145</v>
      </c>
      <c r="C766" s="461"/>
      <c r="D766" s="597"/>
      <c r="E766" s="463"/>
      <c r="F766" s="352"/>
      <c r="G766" s="350"/>
      <c r="H766" s="350"/>
      <c r="I766" s="350"/>
      <c r="J766" s="350"/>
      <c r="K766" s="351"/>
      <c r="L766" s="350"/>
      <c r="M766" s="352"/>
      <c r="N766" s="350"/>
      <c r="O766" s="350"/>
      <c r="P766" s="350"/>
      <c r="Q766" s="353"/>
      <c r="R766" s="154"/>
      <c r="S766" s="154"/>
      <c r="T766" s="154"/>
    </row>
    <row r="767" spans="1:20" s="149" customFormat="1" ht="18" customHeight="1" x14ac:dyDescent="0.25">
      <c r="A767" s="335"/>
      <c r="B767" s="397"/>
      <c r="C767" s="461"/>
      <c r="D767" s="597"/>
      <c r="E767" s="403"/>
      <c r="F767" s="394"/>
      <c r="G767" s="395"/>
      <c r="H767" s="395"/>
      <c r="I767" s="395"/>
      <c r="J767" s="395"/>
      <c r="K767" s="396"/>
      <c r="L767" s="395"/>
      <c r="M767" s="394"/>
      <c r="N767" s="395"/>
      <c r="O767" s="395"/>
      <c r="P767" s="395"/>
      <c r="Q767" s="395"/>
      <c r="R767" s="154"/>
      <c r="S767" s="154"/>
      <c r="T767" s="154"/>
    </row>
    <row r="768" spans="1:20" s="149" customFormat="1" ht="18" customHeight="1" x14ac:dyDescent="0.25">
      <c r="A768" s="335">
        <v>45439</v>
      </c>
      <c r="B768" s="397">
        <v>10</v>
      </c>
      <c r="C768" s="461"/>
      <c r="D768" s="808" t="s">
        <v>2455</v>
      </c>
      <c r="E768" s="403"/>
      <c r="F768" s="394"/>
      <c r="G768" s="395"/>
      <c r="H768" s="395"/>
      <c r="I768" s="395"/>
      <c r="J768" s="395"/>
      <c r="K768" s="396"/>
      <c r="L768" s="395"/>
      <c r="M768" s="394"/>
      <c r="N768" s="395"/>
      <c r="O768" s="395"/>
      <c r="P768" s="395"/>
      <c r="Q768" s="395"/>
      <c r="R768" s="154"/>
      <c r="S768" s="154"/>
      <c r="T768" s="154"/>
    </row>
    <row r="769" spans="1:20" s="149" customFormat="1" ht="18" customHeight="1" x14ac:dyDescent="0.25">
      <c r="A769" s="335"/>
      <c r="B769" s="397">
        <v>65</v>
      </c>
      <c r="C769" s="461"/>
      <c r="D769" s="808" t="s">
        <v>2650</v>
      </c>
      <c r="E769" s="403"/>
      <c r="F769" s="394"/>
      <c r="G769" s="395"/>
      <c r="H769" s="395"/>
      <c r="I769" s="395"/>
      <c r="J769" s="395"/>
      <c r="K769" s="396"/>
      <c r="L769" s="395"/>
      <c r="M769" s="394"/>
      <c r="N769" s="395"/>
      <c r="O769" s="395"/>
      <c r="P769" s="395"/>
      <c r="Q769" s="395"/>
      <c r="R769" s="154"/>
      <c r="S769" s="154"/>
      <c r="T769" s="154"/>
    </row>
    <row r="770" spans="1:20" s="149" customFormat="1" ht="18" customHeight="1" x14ac:dyDescent="0.25">
      <c r="A770" s="335"/>
      <c r="B770" s="397">
        <v>85</v>
      </c>
      <c r="C770" s="461"/>
      <c r="D770" s="808" t="s">
        <v>2651</v>
      </c>
      <c r="E770" s="403"/>
      <c r="F770" s="394"/>
      <c r="G770" s="395"/>
      <c r="H770" s="395"/>
      <c r="I770" s="395"/>
      <c r="J770" s="395"/>
      <c r="K770" s="396"/>
      <c r="L770" s="395"/>
      <c r="M770" s="394"/>
      <c r="N770" s="395"/>
      <c r="O770" s="395"/>
      <c r="P770" s="395"/>
      <c r="Q770" s="395"/>
      <c r="R770" s="154"/>
      <c r="S770" s="154"/>
      <c r="T770" s="154"/>
    </row>
    <row r="771" spans="1:20" s="149" customFormat="1" ht="18" customHeight="1" x14ac:dyDescent="0.25">
      <c r="A771" s="335"/>
      <c r="B771" s="397">
        <v>85</v>
      </c>
      <c r="C771" s="461"/>
      <c r="D771" s="808" t="s">
        <v>2652</v>
      </c>
      <c r="E771" s="403"/>
      <c r="F771" s="394"/>
      <c r="G771" s="395"/>
      <c r="H771" s="395"/>
      <c r="I771" s="395"/>
      <c r="J771" s="395"/>
      <c r="K771" s="396"/>
      <c r="L771" s="395"/>
      <c r="M771" s="394"/>
      <c r="N771" s="395"/>
      <c r="O771" s="395"/>
      <c r="P771" s="395"/>
      <c r="Q771" s="395"/>
      <c r="R771" s="154"/>
      <c r="S771" s="154"/>
      <c r="T771" s="154"/>
    </row>
    <row r="772" spans="1:20" s="149" customFormat="1" ht="18" customHeight="1" x14ac:dyDescent="0.25">
      <c r="A772" s="335"/>
      <c r="B772" s="397">
        <v>30</v>
      </c>
      <c r="C772" s="461"/>
      <c r="D772" s="829" t="s">
        <v>2653</v>
      </c>
      <c r="E772" s="403"/>
      <c r="F772" s="394"/>
      <c r="G772" s="395"/>
      <c r="H772" s="395"/>
      <c r="I772" s="395"/>
      <c r="J772" s="395"/>
      <c r="K772" s="396"/>
      <c r="L772" s="395"/>
      <c r="M772" s="394"/>
      <c r="N772" s="395"/>
      <c r="O772" s="395"/>
      <c r="P772" s="395"/>
      <c r="Q772" s="395"/>
      <c r="R772" s="154"/>
      <c r="S772" s="154"/>
      <c r="T772" s="154"/>
    </row>
    <row r="773" spans="1:20" s="149" customFormat="1" ht="18" customHeight="1" x14ac:dyDescent="0.25">
      <c r="A773" s="335"/>
      <c r="B773" s="397"/>
      <c r="C773" s="461">
        <v>85</v>
      </c>
      <c r="D773" s="808" t="s">
        <v>2654</v>
      </c>
      <c r="E773" s="403"/>
      <c r="F773" s="394"/>
      <c r="G773" s="395"/>
      <c r="H773" s="395"/>
      <c r="I773" s="395"/>
      <c r="J773" s="395"/>
      <c r="K773" s="396"/>
      <c r="L773" s="395"/>
      <c r="M773" s="394"/>
      <c r="N773" s="395"/>
      <c r="O773" s="395"/>
      <c r="P773" s="395"/>
      <c r="Q773" s="395"/>
      <c r="R773" s="154"/>
      <c r="S773" s="154"/>
      <c r="T773" s="154"/>
    </row>
    <row r="774" spans="1:20" s="149" customFormat="1" ht="18" customHeight="1" thickBot="1" x14ac:dyDescent="0.3">
      <c r="A774" s="335"/>
      <c r="B774" s="397"/>
      <c r="C774" s="461">
        <v>85</v>
      </c>
      <c r="D774" s="808" t="s">
        <v>2655</v>
      </c>
      <c r="E774" s="403"/>
      <c r="F774" s="394"/>
      <c r="G774" s="395"/>
      <c r="H774" s="395"/>
      <c r="I774" s="395"/>
      <c r="J774" s="395"/>
      <c r="K774" s="396"/>
      <c r="L774" s="395"/>
      <c r="M774" s="394"/>
      <c r="N774" s="395"/>
      <c r="O774" s="395"/>
      <c r="P774" s="395"/>
      <c r="Q774" s="395"/>
      <c r="R774" s="154"/>
      <c r="S774" s="154"/>
      <c r="T774" s="154"/>
    </row>
    <row r="775" spans="1:20" s="149" customFormat="1" ht="18" hidden="1" customHeight="1" thickBot="1" x14ac:dyDescent="0.3">
      <c r="A775" s="335"/>
      <c r="B775" s="397"/>
      <c r="E775" s="403"/>
      <c r="F775" s="394"/>
      <c r="G775" s="395"/>
      <c r="H775" s="395"/>
      <c r="I775" s="395"/>
      <c r="J775" s="395"/>
      <c r="K775" s="396"/>
      <c r="L775" s="395"/>
      <c r="M775" s="394"/>
      <c r="N775" s="395"/>
      <c r="O775" s="395"/>
      <c r="P775" s="395"/>
      <c r="Q775" s="395"/>
      <c r="R775" s="154"/>
      <c r="S775" s="154"/>
      <c r="T775" s="154"/>
    </row>
    <row r="776" spans="1:20" s="149" customFormat="1" ht="18" customHeight="1" thickBot="1" x14ac:dyDescent="0.3">
      <c r="A776" s="335"/>
      <c r="B776" s="398">
        <f>SUM(B768:B774)</f>
        <v>275</v>
      </c>
      <c r="E776" s="463"/>
      <c r="F776" s="352"/>
      <c r="G776" s="350"/>
      <c r="H776" s="350"/>
      <c r="I776" s="350"/>
      <c r="J776" s="350"/>
      <c r="K776" s="351"/>
      <c r="L776" s="350"/>
      <c r="M776" s="352"/>
      <c r="N776" s="350"/>
      <c r="O776" s="350"/>
      <c r="P776" s="350"/>
      <c r="Q776" s="353"/>
      <c r="R776" s="154"/>
      <c r="S776" s="154"/>
      <c r="T776" s="154"/>
    </row>
    <row r="777" spans="1:20" s="149" customFormat="1" ht="18" customHeight="1" x14ac:dyDescent="0.25">
      <c r="A777" s="335"/>
      <c r="B777" s="203"/>
      <c r="C777" s="461"/>
      <c r="D777" s="597"/>
      <c r="E777" s="336"/>
      <c r="F777" s="151"/>
      <c r="K777" s="201"/>
      <c r="M777" s="151"/>
      <c r="R777" s="154"/>
      <c r="S777" s="154"/>
      <c r="T777" s="154"/>
    </row>
    <row r="778" spans="1:20" s="149" customFormat="1" ht="18" customHeight="1" x14ac:dyDescent="0.25">
      <c r="A778" s="335">
        <v>45440</v>
      </c>
      <c r="B778" s="203">
        <v>50</v>
      </c>
      <c r="C778" s="461"/>
      <c r="D778" s="808" t="s">
        <v>2656</v>
      </c>
      <c r="E778" s="336"/>
      <c r="F778" s="151"/>
      <c r="K778" s="201"/>
      <c r="M778" s="151"/>
      <c r="R778" s="154"/>
      <c r="S778" s="154"/>
      <c r="T778" s="154"/>
    </row>
    <row r="779" spans="1:20" s="149" customFormat="1" ht="18" customHeight="1" thickBot="1" x14ac:dyDescent="0.3">
      <c r="A779" s="335"/>
      <c r="B779" s="203">
        <v>10</v>
      </c>
      <c r="C779" s="461"/>
      <c r="D779" s="808" t="s">
        <v>2455</v>
      </c>
      <c r="E779" s="336"/>
      <c r="F779" s="151"/>
      <c r="K779" s="201"/>
      <c r="M779" s="151"/>
      <c r="R779" s="154"/>
      <c r="S779" s="154"/>
      <c r="T779" s="154"/>
    </row>
    <row r="780" spans="1:20" s="149" customFormat="1" ht="18" customHeight="1" thickBot="1" x14ac:dyDescent="0.3">
      <c r="A780" s="335"/>
      <c r="B780" s="398">
        <f>SUM(B778:B779)</f>
        <v>60</v>
      </c>
      <c r="C780" s="461"/>
      <c r="D780" s="597"/>
      <c r="E780" s="463"/>
      <c r="F780" s="352"/>
      <c r="G780" s="350"/>
      <c r="H780" s="350"/>
      <c r="I780" s="350"/>
      <c r="J780" s="350"/>
      <c r="K780" s="351"/>
      <c r="L780" s="350"/>
      <c r="M780" s="352"/>
      <c r="N780" s="350"/>
      <c r="O780" s="350"/>
      <c r="P780" s="350"/>
      <c r="Q780" s="353"/>
      <c r="R780" s="154"/>
      <c r="S780" s="154"/>
      <c r="T780" s="154"/>
    </row>
    <row r="781" spans="1:20" s="149" customFormat="1" ht="18" customHeight="1" x14ac:dyDescent="0.25">
      <c r="A781" s="335"/>
      <c r="B781" s="397"/>
      <c r="C781" s="461"/>
      <c r="D781" s="597"/>
      <c r="E781" s="403"/>
      <c r="F781" s="394"/>
      <c r="G781" s="395"/>
      <c r="H781" s="395"/>
      <c r="I781" s="395"/>
      <c r="J781" s="395"/>
      <c r="K781" s="396"/>
      <c r="L781" s="395"/>
      <c r="M781" s="394"/>
      <c r="N781" s="395"/>
      <c r="O781" s="395"/>
      <c r="P781" s="395"/>
      <c r="Q781" s="395"/>
      <c r="R781" s="154"/>
      <c r="S781" s="154"/>
      <c r="T781" s="154"/>
    </row>
    <row r="782" spans="1:20" s="149" customFormat="1" ht="18" customHeight="1" x14ac:dyDescent="0.25">
      <c r="A782" s="335">
        <v>45441</v>
      </c>
      <c r="B782" s="397"/>
      <c r="C782" s="461">
        <v>85</v>
      </c>
      <c r="D782" s="808" t="s">
        <v>2657</v>
      </c>
      <c r="E782" s="403"/>
      <c r="F782" s="394"/>
      <c r="G782" s="395"/>
      <c r="H782" s="395"/>
      <c r="I782" s="395"/>
      <c r="J782" s="395"/>
      <c r="K782" s="396"/>
      <c r="L782" s="395"/>
      <c r="M782" s="394"/>
      <c r="N782" s="395"/>
      <c r="O782" s="395"/>
      <c r="P782" s="395"/>
      <c r="Q782" s="395"/>
      <c r="R782" s="154"/>
      <c r="S782" s="154"/>
      <c r="T782" s="154"/>
    </row>
    <row r="783" spans="1:20" s="149" customFormat="1" ht="18" customHeight="1" x14ac:dyDescent="0.25">
      <c r="A783" s="335"/>
      <c r="B783" s="397">
        <v>10</v>
      </c>
      <c r="C783" s="461"/>
      <c r="D783" s="808" t="s">
        <v>2455</v>
      </c>
      <c r="E783" s="403"/>
      <c r="F783" s="394"/>
      <c r="G783" s="395"/>
      <c r="H783" s="395"/>
      <c r="I783" s="395"/>
      <c r="J783" s="395"/>
      <c r="K783" s="396"/>
      <c r="L783" s="395"/>
      <c r="M783" s="394"/>
      <c r="N783" s="395"/>
      <c r="O783" s="395"/>
      <c r="P783" s="395"/>
      <c r="Q783" s="395"/>
      <c r="R783" s="154"/>
      <c r="S783" s="154"/>
      <c r="T783" s="154"/>
    </row>
    <row r="784" spans="1:20" s="149" customFormat="1" ht="18" customHeight="1" x14ac:dyDescent="0.25">
      <c r="A784" s="335"/>
      <c r="B784" s="397">
        <v>140</v>
      </c>
      <c r="C784" s="461"/>
      <c r="D784" s="808" t="s">
        <v>2661</v>
      </c>
      <c r="E784" s="403"/>
      <c r="F784" s="394"/>
      <c r="G784" s="395"/>
      <c r="H784" s="395"/>
      <c r="I784" s="395"/>
      <c r="J784" s="395"/>
      <c r="K784" s="396"/>
      <c r="L784" s="395"/>
      <c r="M784" s="394"/>
      <c r="N784" s="395"/>
      <c r="O784" s="395"/>
      <c r="P784" s="395"/>
      <c r="Q784" s="395"/>
      <c r="R784" s="154"/>
      <c r="S784" s="154"/>
      <c r="T784" s="154"/>
    </row>
    <row r="785" spans="1:20" s="149" customFormat="1" ht="18" customHeight="1" thickBot="1" x14ac:dyDescent="0.3">
      <c r="A785" s="335"/>
      <c r="B785" s="397"/>
      <c r="C785" s="461">
        <v>85</v>
      </c>
      <c r="D785" s="808" t="s">
        <v>2838</v>
      </c>
      <c r="E785" s="403"/>
      <c r="F785" s="394"/>
      <c r="G785" s="395"/>
      <c r="H785" s="395"/>
      <c r="I785" s="395"/>
      <c r="J785" s="395"/>
      <c r="K785" s="396"/>
      <c r="L785" s="395"/>
      <c r="M785" s="394"/>
      <c r="N785" s="395"/>
      <c r="O785" s="395"/>
      <c r="P785" s="395"/>
      <c r="Q785" s="395"/>
      <c r="R785" s="154"/>
      <c r="S785" s="154"/>
      <c r="T785" s="154"/>
    </row>
    <row r="786" spans="1:20" s="149" customFormat="1" ht="18" customHeight="1" thickBot="1" x14ac:dyDescent="0.3">
      <c r="A786" s="335"/>
      <c r="B786" s="398">
        <f>SUM(B782:B784)</f>
        <v>150</v>
      </c>
      <c r="C786" s="461"/>
      <c r="D786" s="597"/>
      <c r="E786" s="463"/>
      <c r="F786" s="352"/>
      <c r="G786" s="350"/>
      <c r="H786" s="350"/>
      <c r="I786" s="350"/>
      <c r="J786" s="350"/>
      <c r="K786" s="351"/>
      <c r="L786" s="350"/>
      <c r="M786" s="352"/>
      <c r="N786" s="350"/>
      <c r="O786" s="350"/>
      <c r="P786" s="350"/>
      <c r="Q786" s="353"/>
      <c r="R786" s="154"/>
      <c r="S786" s="154"/>
      <c r="T786" s="154"/>
    </row>
    <row r="787" spans="1:20" s="149" customFormat="1" ht="18" customHeight="1" x14ac:dyDescent="0.25">
      <c r="A787" s="335"/>
      <c r="B787" s="397"/>
      <c r="C787" s="461"/>
      <c r="D787" s="597"/>
      <c r="E787" s="403"/>
      <c r="F787" s="394"/>
      <c r="G787" s="395"/>
      <c r="H787" s="395"/>
      <c r="I787" s="395"/>
      <c r="J787" s="395"/>
      <c r="K787" s="396"/>
      <c r="L787" s="395"/>
      <c r="M787" s="394"/>
      <c r="N787" s="395"/>
      <c r="O787" s="395"/>
      <c r="P787" s="395"/>
      <c r="Q787" s="395"/>
      <c r="R787" s="154"/>
      <c r="S787" s="154"/>
      <c r="T787" s="154"/>
    </row>
    <row r="788" spans="1:20" s="149" customFormat="1" ht="18" customHeight="1" x14ac:dyDescent="0.25">
      <c r="A788" s="335">
        <v>45442</v>
      </c>
      <c r="B788" s="397">
        <v>100</v>
      </c>
      <c r="C788" s="461"/>
      <c r="D788" s="808" t="s">
        <v>2658</v>
      </c>
      <c r="E788" s="403"/>
      <c r="F788" s="394"/>
      <c r="G788" s="395"/>
      <c r="H788" s="395"/>
      <c r="I788" s="395"/>
      <c r="J788" s="395"/>
      <c r="K788" s="396"/>
      <c r="L788" s="395"/>
      <c r="M788" s="394"/>
      <c r="N788" s="395"/>
      <c r="O788" s="395"/>
      <c r="P788" s="395"/>
      <c r="Q788" s="395"/>
      <c r="R788" s="154"/>
      <c r="S788" s="154"/>
      <c r="T788" s="154"/>
    </row>
    <row r="789" spans="1:20" s="149" customFormat="1" ht="18" customHeight="1" x14ac:dyDescent="0.25">
      <c r="A789" s="335"/>
      <c r="B789" s="397">
        <v>10</v>
      </c>
      <c r="C789" s="461"/>
      <c r="D789" s="808" t="s">
        <v>2455</v>
      </c>
      <c r="E789" s="403"/>
      <c r="F789" s="394"/>
      <c r="G789" s="395"/>
      <c r="H789" s="395"/>
      <c r="I789" s="395"/>
      <c r="J789" s="395"/>
      <c r="K789" s="396"/>
      <c r="L789" s="395"/>
      <c r="M789" s="394"/>
      <c r="N789" s="395"/>
      <c r="O789" s="395"/>
      <c r="P789" s="395"/>
      <c r="Q789" s="395"/>
      <c r="R789" s="154"/>
      <c r="S789" s="154"/>
      <c r="T789" s="154"/>
    </row>
    <row r="790" spans="1:20" s="149" customFormat="1" ht="18" customHeight="1" thickBot="1" x14ac:dyDescent="0.3">
      <c r="A790" s="335"/>
      <c r="B790" s="397">
        <v>100</v>
      </c>
      <c r="C790" s="461"/>
      <c r="D790" s="808" t="s">
        <v>2415</v>
      </c>
      <c r="E790" s="403"/>
      <c r="F790" s="394"/>
      <c r="G790" s="395"/>
      <c r="H790" s="395"/>
      <c r="I790" s="395"/>
      <c r="J790" s="395"/>
      <c r="K790" s="396"/>
      <c r="L790" s="395"/>
      <c r="M790" s="394"/>
      <c r="N790" s="395"/>
      <c r="O790" s="395"/>
      <c r="P790" s="395"/>
      <c r="Q790" s="395"/>
      <c r="R790" s="154"/>
      <c r="S790" s="154"/>
      <c r="T790" s="154"/>
    </row>
    <row r="791" spans="1:20" s="149" customFormat="1" ht="18" customHeight="1" thickBot="1" x14ac:dyDescent="0.3">
      <c r="A791" s="335"/>
      <c r="B791" s="398">
        <f>SUM(B788:B790)</f>
        <v>210</v>
      </c>
      <c r="C791" s="461"/>
      <c r="D791" s="597"/>
      <c r="E791" s="463"/>
      <c r="F791" s="352"/>
      <c r="G791" s="350"/>
      <c r="H791" s="350"/>
      <c r="I791" s="350"/>
      <c r="J791" s="350"/>
      <c r="K791" s="351"/>
      <c r="L791" s="350"/>
      <c r="M791" s="352"/>
      <c r="N791" s="350"/>
      <c r="O791" s="350"/>
      <c r="P791" s="350"/>
      <c r="Q791" s="353"/>
      <c r="R791" s="154"/>
      <c r="S791" s="154"/>
      <c r="T791" s="154"/>
    </row>
    <row r="792" spans="1:20" s="149" customFormat="1" ht="18" customHeight="1" x14ac:dyDescent="0.25">
      <c r="A792" s="335"/>
      <c r="B792" s="397"/>
      <c r="C792" s="461"/>
      <c r="D792" s="597"/>
      <c r="E792" s="403"/>
      <c r="F792" s="394"/>
      <c r="G792" s="395"/>
      <c r="H792" s="395"/>
      <c r="I792" s="395"/>
      <c r="J792" s="395"/>
      <c r="K792" s="396"/>
      <c r="L792" s="395"/>
      <c r="M792" s="394"/>
      <c r="N792" s="395"/>
      <c r="O792" s="395"/>
      <c r="P792" s="395"/>
      <c r="Q792" s="395"/>
      <c r="R792" s="154"/>
      <c r="S792" s="154"/>
      <c r="T792" s="154"/>
    </row>
    <row r="793" spans="1:20" s="149" customFormat="1" ht="18" customHeight="1" x14ac:dyDescent="0.25">
      <c r="A793" s="335">
        <v>45443</v>
      </c>
      <c r="B793" s="397"/>
      <c r="C793" s="461"/>
      <c r="D793" s="829" t="s">
        <v>2662</v>
      </c>
      <c r="E793" s="403"/>
      <c r="F793" s="394"/>
      <c r="G793" s="395"/>
      <c r="H793" s="395"/>
      <c r="I793" s="395"/>
      <c r="J793" s="395"/>
      <c r="K793" s="396"/>
      <c r="L793" s="395"/>
      <c r="M793" s="394"/>
      <c r="N793" s="395"/>
      <c r="O793" s="395"/>
      <c r="P793" s="395"/>
      <c r="Q793" s="395"/>
      <c r="R793" s="154"/>
      <c r="S793" s="154"/>
      <c r="T793" s="154"/>
    </row>
    <row r="794" spans="1:20" s="149" customFormat="1" ht="18" customHeight="1" x14ac:dyDescent="0.25">
      <c r="A794" s="335"/>
      <c r="B794" s="397"/>
      <c r="C794" s="461">
        <v>75</v>
      </c>
      <c r="D794" s="808" t="s">
        <v>2663</v>
      </c>
      <c r="E794" s="403"/>
      <c r="F794" s="394"/>
      <c r="G794" s="395"/>
      <c r="H794" s="395"/>
      <c r="I794" s="395"/>
      <c r="J794" s="395"/>
      <c r="K794" s="396"/>
      <c r="L794" s="395"/>
      <c r="M794" s="394"/>
      <c r="N794" s="395"/>
      <c r="O794" s="395"/>
      <c r="P794" s="395"/>
      <c r="Q794" s="395"/>
      <c r="R794" s="154"/>
      <c r="S794" s="154"/>
      <c r="T794" s="154"/>
    </row>
    <row r="795" spans="1:20" s="149" customFormat="1" ht="18" customHeight="1" x14ac:dyDescent="0.25">
      <c r="A795" s="335"/>
      <c r="B795" s="397"/>
      <c r="C795" s="461">
        <v>15</v>
      </c>
      <c r="D795" s="597" t="s">
        <v>2664</v>
      </c>
      <c r="E795" s="403"/>
      <c r="F795" s="394"/>
      <c r="G795" s="395"/>
      <c r="H795" s="395"/>
      <c r="I795" s="395"/>
      <c r="J795" s="395"/>
      <c r="K795" s="396"/>
      <c r="L795" s="395"/>
      <c r="M795" s="394"/>
      <c r="N795" s="395"/>
      <c r="O795" s="395"/>
      <c r="P795" s="395"/>
      <c r="Q795" s="395"/>
      <c r="R795" s="154"/>
      <c r="S795" s="154"/>
      <c r="T795" s="154"/>
    </row>
    <row r="796" spans="1:20" s="149" customFormat="1" ht="18" customHeight="1" x14ac:dyDescent="0.25">
      <c r="A796" s="335"/>
      <c r="B796" s="397">
        <v>20</v>
      </c>
      <c r="C796" s="461"/>
      <c r="D796" s="808" t="s">
        <v>2455</v>
      </c>
      <c r="E796" s="403"/>
      <c r="F796" s="394"/>
      <c r="G796" s="395"/>
      <c r="H796" s="395"/>
      <c r="I796" s="395"/>
      <c r="J796" s="395"/>
      <c r="K796" s="396"/>
      <c r="L796" s="395"/>
      <c r="M796" s="394"/>
      <c r="N796" s="395"/>
      <c r="O796" s="395"/>
      <c r="P796" s="395"/>
      <c r="Q796" s="395"/>
      <c r="R796" s="154"/>
      <c r="S796" s="154"/>
      <c r="T796" s="154"/>
    </row>
    <row r="797" spans="1:20" s="149" customFormat="1" ht="18" customHeight="1" x14ac:dyDescent="0.25">
      <c r="A797" s="335"/>
      <c r="B797" s="397">
        <v>150</v>
      </c>
      <c r="C797" s="461"/>
      <c r="D797" s="808" t="s">
        <v>2665</v>
      </c>
      <c r="E797" s="403"/>
      <c r="F797" s="394"/>
      <c r="G797" s="395"/>
      <c r="H797" s="395"/>
      <c r="I797" s="395"/>
      <c r="J797" s="395"/>
      <c r="K797" s="396"/>
      <c r="L797" s="395"/>
      <c r="M797" s="394"/>
      <c r="N797" s="395"/>
      <c r="O797" s="395"/>
      <c r="P797" s="395"/>
      <c r="Q797" s="395"/>
      <c r="R797" s="154"/>
      <c r="S797" s="154"/>
      <c r="T797" s="154"/>
    </row>
    <row r="798" spans="1:20" s="149" customFormat="1" ht="18" customHeight="1" thickBot="1" x14ac:dyDescent="0.3">
      <c r="A798" s="335"/>
      <c r="B798" s="397">
        <v>35</v>
      </c>
      <c r="C798" s="461"/>
      <c r="D798" s="808" t="s">
        <v>2666</v>
      </c>
      <c r="E798" s="403"/>
      <c r="F798" s="394"/>
      <c r="G798" s="395"/>
      <c r="H798" s="395"/>
      <c r="I798" s="395"/>
      <c r="J798" s="395"/>
      <c r="K798" s="396"/>
      <c r="L798" s="395"/>
      <c r="M798" s="394"/>
      <c r="N798" s="395"/>
      <c r="O798" s="395"/>
      <c r="P798" s="395"/>
      <c r="Q798" s="395"/>
      <c r="R798" s="154"/>
      <c r="S798" s="154"/>
      <c r="T798" s="154"/>
    </row>
    <row r="799" spans="1:20" s="149" customFormat="1" ht="18" customHeight="1" thickBot="1" x14ac:dyDescent="0.3">
      <c r="A799" s="335"/>
      <c r="B799" s="398">
        <f>SUM(B793:B798)</f>
        <v>205</v>
      </c>
      <c r="C799" s="461"/>
      <c r="D799" s="597"/>
      <c r="E799" s="463"/>
      <c r="F799" s="352"/>
      <c r="G799" s="350"/>
      <c r="H799" s="350"/>
      <c r="I799" s="350"/>
      <c r="J799" s="350"/>
      <c r="K799" s="351"/>
      <c r="L799" s="350"/>
      <c r="M799" s="352"/>
      <c r="N799" s="350"/>
      <c r="O799" s="350"/>
      <c r="P799" s="350"/>
      <c r="Q799" s="353"/>
      <c r="R799" s="154"/>
      <c r="S799" s="154"/>
      <c r="T799" s="154"/>
    </row>
    <row r="800" spans="1:20" s="149" customFormat="1" ht="18" customHeight="1" x14ac:dyDescent="0.25">
      <c r="A800" s="335"/>
      <c r="B800" s="203"/>
      <c r="C800" s="461"/>
      <c r="D800" s="597"/>
      <c r="E800" s="903"/>
      <c r="F800" s="151"/>
      <c r="K800" s="201"/>
      <c r="M800" s="151"/>
      <c r="R800" s="154"/>
      <c r="S800" s="154"/>
      <c r="T800" s="154"/>
    </row>
    <row r="801" spans="1:20" s="149" customFormat="1" ht="18" customHeight="1" x14ac:dyDescent="0.25">
      <c r="A801" s="237" t="s">
        <v>706</v>
      </c>
      <c r="B801" s="203">
        <f>+B624+B638+B650+B654+B661+B669+B674+B679+B683+B690+B696+B704+B711+B718+B729+B739+B744+B753+B759+B766+B776+B780+B786+B791+B799</f>
        <v>7471</v>
      </c>
      <c r="C801" s="461"/>
      <c r="D801" s="597"/>
      <c r="E801" s="336"/>
      <c r="F801" s="151"/>
      <c r="K801" s="201"/>
      <c r="M801" s="151"/>
      <c r="R801" s="154"/>
      <c r="S801" s="154"/>
      <c r="T801" s="154"/>
    </row>
    <row r="802" spans="1:20" s="149" customFormat="1" ht="18" customHeight="1" x14ac:dyDescent="0.25">
      <c r="A802" s="354" t="s">
        <v>707</v>
      </c>
      <c r="B802" s="203"/>
      <c r="C802" s="461"/>
      <c r="D802" s="597"/>
      <c r="E802" s="903"/>
      <c r="F802" s="151"/>
      <c r="K802" s="201"/>
      <c r="M802" s="151"/>
      <c r="R802" s="154"/>
      <c r="S802" s="154"/>
      <c r="T802" s="154"/>
    </row>
    <row r="803" spans="1:20" s="149" customFormat="1" ht="18" customHeight="1" x14ac:dyDescent="0.25">
      <c r="A803" s="354" t="s">
        <v>708</v>
      </c>
      <c r="B803" s="203"/>
      <c r="C803" s="461"/>
      <c r="D803" s="597"/>
      <c r="E803" s="336"/>
      <c r="F803" s="151"/>
      <c r="K803" s="201"/>
      <c r="M803" s="151"/>
      <c r="R803" s="154"/>
      <c r="S803" s="154"/>
      <c r="T803" s="154"/>
    </row>
    <row r="804" spans="1:20" s="149" customFormat="1" ht="18" customHeight="1" x14ac:dyDescent="0.25">
      <c r="A804" s="354" t="s">
        <v>709</v>
      </c>
      <c r="B804" s="203"/>
      <c r="C804" s="461"/>
      <c r="D804" s="597"/>
      <c r="E804" s="336"/>
      <c r="F804" s="151"/>
      <c r="K804" s="201"/>
      <c r="M804" s="151"/>
      <c r="R804" s="154"/>
      <c r="S804" s="154"/>
      <c r="T804" s="154"/>
    </row>
    <row r="805" spans="1:20" s="149" customFormat="1" ht="18" customHeight="1" x14ac:dyDescent="0.25">
      <c r="A805" s="354" t="s">
        <v>710</v>
      </c>
      <c r="B805" s="203"/>
      <c r="C805" s="461"/>
      <c r="D805" s="597"/>
      <c r="E805" s="336"/>
      <c r="F805" s="151"/>
      <c r="K805" s="201"/>
      <c r="M805" s="151"/>
      <c r="R805" s="154"/>
      <c r="S805" s="154"/>
      <c r="T805" s="154"/>
    </row>
    <row r="806" spans="1:20" s="149" customFormat="1" ht="18" customHeight="1" x14ac:dyDescent="0.25">
      <c r="A806" s="354" t="s">
        <v>711</v>
      </c>
      <c r="B806" s="203"/>
      <c r="C806" s="461"/>
      <c r="D806" s="597"/>
      <c r="E806" s="336"/>
      <c r="F806" s="151"/>
      <c r="K806" s="201"/>
      <c r="M806" s="151"/>
      <c r="R806" s="154"/>
      <c r="S806" s="154"/>
      <c r="T806" s="154"/>
    </row>
    <row r="807" spans="1:20" s="149" customFormat="1" ht="18" customHeight="1" x14ac:dyDescent="0.25">
      <c r="A807" s="354" t="s">
        <v>712</v>
      </c>
      <c r="B807" s="203"/>
      <c r="C807" s="461"/>
      <c r="D807" s="597"/>
      <c r="E807" s="336"/>
      <c r="F807" s="151"/>
      <c r="K807" s="201"/>
      <c r="M807" s="151"/>
      <c r="R807" s="154"/>
      <c r="S807" s="154"/>
      <c r="T807" s="154"/>
    </row>
    <row r="808" spans="1:20" s="149" customFormat="1" ht="18" customHeight="1" x14ac:dyDescent="0.25">
      <c r="A808" s="354" t="s">
        <v>713</v>
      </c>
      <c r="B808" s="203"/>
      <c r="C808" s="461"/>
      <c r="D808" s="597"/>
      <c r="E808" s="336"/>
      <c r="F808" s="151"/>
      <c r="K808" s="201"/>
      <c r="M808" s="151"/>
      <c r="R808" s="154"/>
      <c r="S808" s="154"/>
      <c r="T808" s="154"/>
    </row>
    <row r="809" spans="1:20" s="149" customFormat="1" ht="18" customHeight="1" x14ac:dyDescent="0.25">
      <c r="A809" s="354"/>
      <c r="B809" s="203"/>
      <c r="C809" s="461"/>
      <c r="D809" s="597"/>
      <c r="E809" s="336"/>
      <c r="F809" s="151"/>
      <c r="K809" s="201"/>
      <c r="M809" s="151"/>
      <c r="R809" s="154"/>
      <c r="S809" s="154"/>
      <c r="T809" s="154"/>
    </row>
    <row r="810" spans="1:20" s="874" customFormat="1" ht="18" customHeight="1" x14ac:dyDescent="0.3">
      <c r="A810" s="869"/>
      <c r="B810" s="870"/>
      <c r="C810" s="871"/>
      <c r="D810" s="899" t="s">
        <v>1369</v>
      </c>
      <c r="E810" s="184"/>
      <c r="F810" s="873"/>
      <c r="K810" s="875"/>
      <c r="M810" s="873"/>
      <c r="R810" s="876"/>
      <c r="S810" s="876"/>
      <c r="T810" s="876"/>
    </row>
    <row r="811" spans="1:20" s="149" customFormat="1" ht="18" customHeight="1" x14ac:dyDescent="0.25">
      <c r="A811" s="335">
        <v>45446</v>
      </c>
      <c r="B811" s="203">
        <v>100</v>
      </c>
      <c r="C811" s="461"/>
      <c r="D811" s="808" t="s">
        <v>2688</v>
      </c>
      <c r="E811" s="336"/>
      <c r="F811" s="151"/>
      <c r="K811" s="201"/>
      <c r="M811" s="151"/>
      <c r="R811" s="154"/>
      <c r="S811" s="154"/>
      <c r="T811" s="154"/>
    </row>
    <row r="812" spans="1:20" s="149" customFormat="1" ht="18" customHeight="1" x14ac:dyDescent="0.25">
      <c r="A812" s="335"/>
      <c r="B812" s="203">
        <v>60</v>
      </c>
      <c r="C812" s="461"/>
      <c r="D812" s="808" t="s">
        <v>1983</v>
      </c>
      <c r="E812" s="336"/>
      <c r="F812" s="151"/>
      <c r="K812" s="201"/>
      <c r="M812" s="151"/>
      <c r="R812" s="154"/>
      <c r="S812" s="154"/>
      <c r="T812" s="154"/>
    </row>
    <row r="813" spans="1:20" s="149" customFormat="1" ht="18" customHeight="1" x14ac:dyDescent="0.25">
      <c r="A813" s="335"/>
      <c r="B813" s="203">
        <v>45</v>
      </c>
      <c r="C813" s="461"/>
      <c r="D813" s="808" t="s">
        <v>2689</v>
      </c>
      <c r="E813" s="336"/>
      <c r="F813" s="151"/>
      <c r="K813" s="201"/>
      <c r="M813" s="151"/>
      <c r="R813" s="154"/>
      <c r="S813" s="154"/>
      <c r="T813" s="154"/>
    </row>
    <row r="814" spans="1:20" s="149" customFormat="1" ht="18" customHeight="1" x14ac:dyDescent="0.25">
      <c r="A814" s="335"/>
      <c r="B814" s="203"/>
      <c r="C814" s="461">
        <v>125</v>
      </c>
      <c r="D814" s="881" t="s">
        <v>2690</v>
      </c>
      <c r="E814" s="336" t="s">
        <v>820</v>
      </c>
      <c r="F814" s="151"/>
      <c r="K814" s="201"/>
      <c r="M814" s="151"/>
      <c r="R814" s="154"/>
      <c r="S814" s="154"/>
      <c r="T814" s="154"/>
    </row>
    <row r="815" spans="1:20" s="149" customFormat="1" ht="18" customHeight="1" x14ac:dyDescent="0.25">
      <c r="A815" s="335"/>
      <c r="B815" s="203">
        <v>75</v>
      </c>
      <c r="C815" s="461"/>
      <c r="D815" s="808" t="s">
        <v>2702</v>
      </c>
      <c r="E815" s="336"/>
      <c r="F815" s="151"/>
      <c r="K815" s="201"/>
      <c r="M815" s="151"/>
      <c r="R815" s="154"/>
      <c r="S815" s="154"/>
      <c r="T815" s="154"/>
    </row>
    <row r="816" spans="1:20" s="149" customFormat="1" ht="18" customHeight="1" x14ac:dyDescent="0.25">
      <c r="A816" s="335"/>
      <c r="B816" s="203"/>
      <c r="C816" s="461"/>
      <c r="D816" s="597"/>
      <c r="E816" s="336"/>
      <c r="F816" s="151"/>
      <c r="K816" s="201"/>
      <c r="M816" s="151"/>
      <c r="R816" s="154"/>
      <c r="S816" s="154"/>
      <c r="T816" s="154"/>
    </row>
    <row r="817" spans="1:20" s="149" customFormat="1" ht="18" customHeight="1" thickBot="1" x14ac:dyDescent="0.3">
      <c r="A817" s="335"/>
      <c r="B817" s="203"/>
      <c r="C817" s="461"/>
      <c r="D817" s="597"/>
      <c r="E817" s="336"/>
      <c r="F817" s="151"/>
      <c r="K817" s="201"/>
      <c r="M817" s="151"/>
      <c r="R817" s="154"/>
      <c r="S817" s="154"/>
      <c r="T817" s="154"/>
    </row>
    <row r="818" spans="1:20" s="149" customFormat="1" ht="18" customHeight="1" thickBot="1" x14ac:dyDescent="0.3">
      <c r="A818" s="335"/>
      <c r="B818" s="398">
        <f>SUM(B811:B817)</f>
        <v>280</v>
      </c>
      <c r="C818" s="461"/>
      <c r="D818" s="597"/>
      <c r="E818" s="463"/>
      <c r="F818" s="352"/>
      <c r="G818" s="350"/>
      <c r="H818" s="350"/>
      <c r="I818" s="350"/>
      <c r="J818" s="350"/>
      <c r="K818" s="351"/>
      <c r="L818" s="350"/>
      <c r="M818" s="352"/>
      <c r="N818" s="350"/>
      <c r="O818" s="350"/>
      <c r="P818" s="353"/>
      <c r="R818" s="154"/>
      <c r="S818" s="154"/>
      <c r="T818" s="154"/>
    </row>
    <row r="819" spans="1:20" s="149" customFormat="1" ht="18" customHeight="1" x14ac:dyDescent="0.25">
      <c r="A819" s="335"/>
      <c r="B819" s="203"/>
      <c r="C819" s="461"/>
      <c r="D819" s="597"/>
      <c r="E819" s="336"/>
      <c r="F819" s="151"/>
      <c r="K819" s="201"/>
      <c r="M819" s="151"/>
      <c r="R819" s="154"/>
      <c r="S819" s="154"/>
      <c r="T819" s="154"/>
    </row>
    <row r="820" spans="1:20" s="149" customFormat="1" ht="18" customHeight="1" x14ac:dyDescent="0.25">
      <c r="A820" s="335"/>
      <c r="B820" s="203">
        <v>95</v>
      </c>
      <c r="C820" s="461"/>
      <c r="D820" s="808" t="s">
        <v>2709</v>
      </c>
      <c r="E820" s="336"/>
      <c r="F820" s="151"/>
      <c r="K820" s="201"/>
      <c r="M820" s="151"/>
      <c r="R820" s="154"/>
      <c r="S820" s="154"/>
      <c r="T820" s="154"/>
    </row>
    <row r="821" spans="1:20" s="149" customFormat="1" ht="18" customHeight="1" x14ac:dyDescent="0.25">
      <c r="A821" s="335">
        <v>45447</v>
      </c>
      <c r="B821" s="203">
        <v>115</v>
      </c>
      <c r="C821" s="461"/>
      <c r="D821" s="808" t="s">
        <v>2703</v>
      </c>
      <c r="E821" s="336"/>
      <c r="F821" s="151"/>
      <c r="K821" s="201"/>
      <c r="M821" s="151"/>
      <c r="R821" s="154"/>
      <c r="S821" s="154"/>
      <c r="T821" s="154"/>
    </row>
    <row r="822" spans="1:20" s="149" customFormat="1" ht="18" customHeight="1" x14ac:dyDescent="0.25">
      <c r="A822" s="335"/>
      <c r="B822" s="203">
        <v>135</v>
      </c>
      <c r="C822" s="461"/>
      <c r="D822" s="808" t="s">
        <v>2733</v>
      </c>
      <c r="E822" s="336"/>
      <c r="F822" s="151"/>
      <c r="K822" s="201"/>
      <c r="M822" s="151"/>
      <c r="R822" s="154"/>
      <c r="S822" s="154"/>
      <c r="T822" s="154"/>
    </row>
    <row r="823" spans="1:20" s="149" customFormat="1" ht="18" customHeight="1" x14ac:dyDescent="0.25">
      <c r="A823" s="335"/>
      <c r="B823" s="203">
        <v>100</v>
      </c>
      <c r="C823" s="461"/>
      <c r="D823" s="808" t="s">
        <v>2548</v>
      </c>
      <c r="E823" s="336"/>
      <c r="F823" s="151"/>
      <c r="K823" s="201"/>
      <c r="M823" s="151"/>
      <c r="R823" s="154"/>
      <c r="S823" s="154"/>
      <c r="T823" s="154"/>
    </row>
    <row r="824" spans="1:20" s="149" customFormat="1" ht="18" customHeight="1" x14ac:dyDescent="0.25">
      <c r="A824" s="335"/>
      <c r="B824" s="203"/>
      <c r="C824" s="461"/>
      <c r="D824" s="829" t="s">
        <v>1903</v>
      </c>
      <c r="E824" s="336"/>
      <c r="F824" s="151"/>
      <c r="K824" s="201"/>
      <c r="M824" s="151"/>
      <c r="R824" s="154"/>
      <c r="S824" s="154"/>
      <c r="T824" s="154"/>
    </row>
    <row r="825" spans="1:20" s="149" customFormat="1" ht="18" customHeight="1" x14ac:dyDescent="0.25">
      <c r="A825" s="335"/>
      <c r="B825" s="203"/>
      <c r="C825" s="461">
        <v>110</v>
      </c>
      <c r="D825" s="808" t="s">
        <v>2704</v>
      </c>
      <c r="E825" s="336"/>
      <c r="F825" s="151"/>
      <c r="K825" s="201"/>
      <c r="M825" s="151"/>
      <c r="R825" s="154"/>
      <c r="S825" s="154"/>
      <c r="T825" s="154"/>
    </row>
    <row r="826" spans="1:20" s="149" customFormat="1" ht="18" customHeight="1" x14ac:dyDescent="0.25">
      <c r="A826" s="335"/>
      <c r="B826" s="203"/>
      <c r="C826" s="461">
        <v>45</v>
      </c>
      <c r="D826" s="808" t="s">
        <v>2705</v>
      </c>
      <c r="E826" s="336"/>
      <c r="F826" s="151"/>
      <c r="K826" s="201"/>
      <c r="M826" s="151"/>
      <c r="R826" s="154"/>
      <c r="S826" s="154"/>
      <c r="T826" s="154"/>
    </row>
    <row r="827" spans="1:20" s="149" customFormat="1" ht="18" customHeight="1" x14ac:dyDescent="0.25">
      <c r="A827" s="335"/>
      <c r="B827" s="203"/>
      <c r="C827" s="461"/>
      <c r="D827" s="829" t="s">
        <v>2706</v>
      </c>
      <c r="E827" s="336"/>
      <c r="F827" s="151"/>
      <c r="K827" s="201"/>
      <c r="M827" s="151"/>
      <c r="R827" s="154"/>
      <c r="S827" s="154"/>
      <c r="T827" s="154"/>
    </row>
    <row r="828" spans="1:20" s="149" customFormat="1" ht="18" customHeight="1" x14ac:dyDescent="0.25">
      <c r="A828" s="335"/>
      <c r="B828" s="203"/>
      <c r="C828" s="461">
        <v>110</v>
      </c>
      <c r="D828" s="808" t="s">
        <v>2707</v>
      </c>
      <c r="E828" s="336"/>
      <c r="F828" s="151"/>
      <c r="K828" s="201"/>
      <c r="M828" s="151"/>
      <c r="R828" s="154"/>
      <c r="S828" s="154"/>
      <c r="T828" s="154"/>
    </row>
    <row r="829" spans="1:20" s="149" customFormat="1" ht="18" customHeight="1" x14ac:dyDescent="0.25">
      <c r="A829" s="335"/>
      <c r="B829" s="203"/>
      <c r="C829" s="461">
        <v>75</v>
      </c>
      <c r="D829" s="808" t="s">
        <v>2708</v>
      </c>
      <c r="E829" s="336"/>
      <c r="F829" s="151"/>
      <c r="K829" s="201"/>
      <c r="M829" s="151"/>
      <c r="R829" s="154"/>
      <c r="S829" s="154"/>
      <c r="T829" s="154"/>
    </row>
    <row r="830" spans="1:20" s="149" customFormat="1" ht="18" customHeight="1" x14ac:dyDescent="0.25">
      <c r="A830" s="335"/>
      <c r="B830" s="203">
        <v>10</v>
      </c>
      <c r="C830" s="461">
        <v>45</v>
      </c>
      <c r="D830" s="808" t="s">
        <v>2710</v>
      </c>
      <c r="E830" s="336"/>
      <c r="F830" s="151"/>
      <c r="K830" s="201"/>
      <c r="M830" s="151"/>
      <c r="R830" s="154"/>
      <c r="S830" s="154"/>
      <c r="T830" s="154"/>
    </row>
    <row r="831" spans="1:20" s="149" customFormat="1" ht="18" customHeight="1" thickBot="1" x14ac:dyDescent="0.3">
      <c r="A831" s="335"/>
      <c r="B831" s="203">
        <v>10</v>
      </c>
      <c r="C831" s="461"/>
      <c r="D831" s="808" t="s">
        <v>2577</v>
      </c>
      <c r="E831" s="336"/>
      <c r="F831" s="151"/>
      <c r="K831" s="201"/>
      <c r="M831" s="151"/>
      <c r="R831" s="154"/>
      <c r="S831" s="154"/>
      <c r="T831" s="154"/>
    </row>
    <row r="832" spans="1:20" s="149" customFormat="1" ht="18" customHeight="1" thickBot="1" x14ac:dyDescent="0.3">
      <c r="A832" s="335"/>
      <c r="B832" s="398">
        <f>SUM(B820:B831)</f>
        <v>465</v>
      </c>
      <c r="C832" s="461"/>
      <c r="D832" s="597"/>
      <c r="E832" s="463"/>
      <c r="F832" s="352"/>
      <c r="G832" s="350"/>
      <c r="H832" s="350"/>
      <c r="I832" s="350"/>
      <c r="J832" s="350"/>
      <c r="K832" s="351"/>
      <c r="L832" s="350"/>
      <c r="M832" s="352"/>
      <c r="N832" s="350"/>
      <c r="O832" s="350"/>
      <c r="P832" s="353"/>
      <c r="R832" s="154"/>
      <c r="S832" s="154"/>
      <c r="T832" s="154"/>
    </row>
    <row r="833" spans="1:20" s="149" customFormat="1" ht="18" customHeight="1" thickBot="1" x14ac:dyDescent="0.3">
      <c r="A833" s="335"/>
      <c r="B833" s="203"/>
      <c r="C833" s="461"/>
      <c r="D833" s="597"/>
      <c r="E833" s="336"/>
      <c r="F833" s="151"/>
      <c r="K833" s="201"/>
      <c r="M833" s="151"/>
      <c r="R833" s="154"/>
      <c r="S833" s="154"/>
      <c r="T833" s="154"/>
    </row>
    <row r="834" spans="1:20" s="149" customFormat="1" ht="18" customHeight="1" thickBot="1" x14ac:dyDescent="0.3">
      <c r="A834" s="335">
        <v>45448</v>
      </c>
      <c r="B834" s="398">
        <v>10</v>
      </c>
      <c r="C834" s="461"/>
      <c r="D834" s="808" t="s">
        <v>2455</v>
      </c>
      <c r="E834" s="463"/>
      <c r="F834" s="352"/>
      <c r="G834" s="350"/>
      <c r="H834" s="350"/>
      <c r="I834" s="350"/>
      <c r="J834" s="350"/>
      <c r="K834" s="351"/>
      <c r="L834" s="350"/>
      <c r="M834" s="352"/>
      <c r="N834" s="350"/>
      <c r="O834" s="350"/>
      <c r="P834" s="353"/>
      <c r="R834" s="154"/>
      <c r="S834" s="154"/>
      <c r="T834" s="154"/>
    </row>
    <row r="835" spans="1:20" s="149" customFormat="1" ht="18" customHeight="1" x14ac:dyDescent="0.25">
      <c r="A835" s="335"/>
      <c r="B835" s="397"/>
      <c r="C835" s="461"/>
      <c r="D835" s="597"/>
      <c r="E835" s="403"/>
      <c r="F835" s="394"/>
      <c r="G835" s="395"/>
      <c r="H835" s="395"/>
      <c r="I835" s="395"/>
      <c r="J835" s="395"/>
      <c r="K835" s="396"/>
      <c r="L835" s="395"/>
      <c r="M835" s="394"/>
      <c r="N835" s="395"/>
      <c r="O835" s="395"/>
      <c r="P835" s="395"/>
      <c r="R835" s="154"/>
      <c r="S835" s="154"/>
      <c r="T835" s="154"/>
    </row>
    <row r="836" spans="1:20" s="149" customFormat="1" ht="18" customHeight="1" x14ac:dyDescent="0.25">
      <c r="A836" s="335">
        <v>45449</v>
      </c>
      <c r="B836" s="397">
        <v>100</v>
      </c>
      <c r="C836" s="461"/>
      <c r="D836" s="829" t="s">
        <v>2734</v>
      </c>
      <c r="E836" s="403"/>
      <c r="F836" s="394"/>
      <c r="G836" s="395"/>
      <c r="H836" s="395"/>
      <c r="I836" s="395"/>
      <c r="J836" s="395"/>
      <c r="K836" s="396"/>
      <c r="L836" s="395"/>
      <c r="M836" s="394"/>
      <c r="N836" s="395"/>
      <c r="O836" s="395"/>
      <c r="P836" s="395"/>
      <c r="R836" s="154"/>
      <c r="S836" s="154"/>
      <c r="T836" s="154"/>
    </row>
    <row r="837" spans="1:20" s="149" customFormat="1" ht="18" customHeight="1" x14ac:dyDescent="0.25">
      <c r="A837" s="335"/>
      <c r="B837" s="397"/>
      <c r="C837" s="461"/>
      <c r="D837" s="829" t="s">
        <v>2390</v>
      </c>
      <c r="E837" s="403"/>
      <c r="F837" s="394"/>
      <c r="G837" s="395"/>
      <c r="H837" s="395"/>
      <c r="I837" s="395"/>
      <c r="J837" s="395"/>
      <c r="K837" s="396"/>
      <c r="L837" s="395"/>
      <c r="M837" s="394"/>
      <c r="N837" s="395"/>
      <c r="O837" s="395"/>
      <c r="P837" s="395"/>
      <c r="R837" s="154"/>
      <c r="S837" s="154"/>
      <c r="T837" s="154"/>
    </row>
    <row r="838" spans="1:20" s="149" customFormat="1" ht="18" customHeight="1" x14ac:dyDescent="0.25">
      <c r="A838" s="335"/>
      <c r="B838" s="397"/>
      <c r="C838" s="461">
        <v>25</v>
      </c>
      <c r="D838" s="808" t="s">
        <v>2735</v>
      </c>
      <c r="E838" s="403"/>
      <c r="F838" s="394"/>
      <c r="G838" s="395"/>
      <c r="H838" s="395"/>
      <c r="I838" s="395"/>
      <c r="J838" s="395"/>
      <c r="K838" s="396"/>
      <c r="L838" s="395"/>
      <c r="M838" s="394"/>
      <c r="N838" s="395"/>
      <c r="O838" s="395"/>
      <c r="P838" s="395"/>
      <c r="R838" s="154"/>
      <c r="S838" s="154"/>
      <c r="T838" s="154"/>
    </row>
    <row r="839" spans="1:20" s="149" customFormat="1" ht="18" customHeight="1" x14ac:dyDescent="0.25">
      <c r="A839" s="335"/>
      <c r="B839" s="397"/>
      <c r="C839" s="461">
        <v>25</v>
      </c>
      <c r="D839" s="808" t="s">
        <v>2743</v>
      </c>
      <c r="E839" s="403"/>
      <c r="F839" s="394"/>
      <c r="G839" s="395"/>
      <c r="H839" s="395"/>
      <c r="I839" s="395"/>
      <c r="J839" s="395"/>
      <c r="K839" s="396"/>
      <c r="L839" s="395"/>
      <c r="M839" s="394"/>
      <c r="N839" s="395"/>
      <c r="O839" s="395"/>
      <c r="P839" s="395"/>
      <c r="R839" s="154"/>
      <c r="S839" s="154"/>
      <c r="T839" s="154"/>
    </row>
    <row r="840" spans="1:20" s="149" customFormat="1" ht="18" customHeight="1" thickBot="1" x14ac:dyDescent="0.3">
      <c r="A840" s="335"/>
      <c r="B840" s="397">
        <v>50</v>
      </c>
      <c r="C840" s="461"/>
      <c r="D840" s="808" t="s">
        <v>2736</v>
      </c>
      <c r="E840" s="403"/>
      <c r="F840" s="394"/>
      <c r="G840" s="395"/>
      <c r="H840" s="395"/>
      <c r="I840" s="395"/>
      <c r="J840" s="395"/>
      <c r="K840" s="396"/>
      <c r="L840" s="395"/>
      <c r="M840" s="394"/>
      <c r="N840" s="395"/>
      <c r="O840" s="395"/>
      <c r="P840" s="395"/>
      <c r="R840" s="154"/>
      <c r="S840" s="154"/>
      <c r="T840" s="154"/>
    </row>
    <row r="841" spans="1:20" s="149" customFormat="1" ht="18" customHeight="1" thickBot="1" x14ac:dyDescent="0.3">
      <c r="A841" s="335"/>
      <c r="B841" s="398">
        <f>SUM(B836:B840)</f>
        <v>150</v>
      </c>
      <c r="C841" s="461"/>
      <c r="D841" s="597"/>
      <c r="E841" s="463"/>
      <c r="F841" s="352"/>
      <c r="G841" s="350"/>
      <c r="H841" s="350"/>
      <c r="I841" s="350"/>
      <c r="J841" s="350"/>
      <c r="K841" s="351"/>
      <c r="L841" s="350"/>
      <c r="M841" s="352"/>
      <c r="N841" s="350"/>
      <c r="O841" s="350"/>
      <c r="P841" s="353"/>
      <c r="R841" s="154"/>
      <c r="S841" s="154"/>
      <c r="T841" s="154"/>
    </row>
    <row r="842" spans="1:20" s="149" customFormat="1" ht="18" customHeight="1" x14ac:dyDescent="0.25">
      <c r="A842" s="335"/>
      <c r="B842" s="397"/>
      <c r="C842" s="461"/>
      <c r="D842" s="597"/>
      <c r="E842" s="403"/>
      <c r="F842" s="394"/>
      <c r="G842" s="395"/>
      <c r="H842" s="395"/>
      <c r="I842" s="395"/>
      <c r="J842" s="395"/>
      <c r="K842" s="396"/>
      <c r="L842" s="395"/>
      <c r="M842" s="394"/>
      <c r="N842" s="395"/>
      <c r="O842" s="395"/>
      <c r="P842" s="395"/>
      <c r="R842" s="154"/>
      <c r="S842" s="154"/>
      <c r="T842" s="154"/>
    </row>
    <row r="843" spans="1:20" s="149" customFormat="1" ht="18" customHeight="1" x14ac:dyDescent="0.25">
      <c r="A843" s="335">
        <v>45450</v>
      </c>
      <c r="B843" s="397">
        <v>35</v>
      </c>
      <c r="C843" s="461"/>
      <c r="D843" s="808" t="s">
        <v>2738</v>
      </c>
      <c r="E843" s="403"/>
      <c r="F843" s="394"/>
      <c r="G843" s="395"/>
      <c r="H843" s="395"/>
      <c r="I843" s="395"/>
      <c r="J843" s="395"/>
      <c r="K843" s="396"/>
      <c r="L843" s="395"/>
      <c r="M843" s="394"/>
      <c r="N843" s="395"/>
      <c r="O843" s="395"/>
      <c r="P843" s="395"/>
      <c r="R843" s="154"/>
      <c r="S843" s="154"/>
      <c r="T843" s="154"/>
    </row>
    <row r="844" spans="1:20" s="149" customFormat="1" ht="18" customHeight="1" x14ac:dyDescent="0.25">
      <c r="A844" s="335"/>
      <c r="B844" s="397">
        <v>5</v>
      </c>
      <c r="C844" s="461"/>
      <c r="D844" s="709" t="s">
        <v>2739</v>
      </c>
      <c r="E844" s="403"/>
      <c r="F844" s="394"/>
      <c r="G844" s="395"/>
      <c r="H844" s="395"/>
      <c r="I844" s="395"/>
      <c r="J844" s="395"/>
      <c r="K844" s="396"/>
      <c r="L844" s="395"/>
      <c r="M844" s="394"/>
      <c r="N844" s="395"/>
      <c r="O844" s="395"/>
      <c r="P844" s="395"/>
      <c r="R844" s="154"/>
      <c r="S844" s="154"/>
      <c r="T844" s="154"/>
    </row>
    <row r="845" spans="1:20" s="149" customFormat="1" ht="18" customHeight="1" x14ac:dyDescent="0.25">
      <c r="A845" s="335"/>
      <c r="B845" s="397"/>
      <c r="C845" s="461">
        <v>55</v>
      </c>
      <c r="D845" s="808" t="s">
        <v>2740</v>
      </c>
      <c r="E845" s="403"/>
      <c r="F845" s="394"/>
      <c r="G845" s="395"/>
      <c r="H845" s="395"/>
      <c r="I845" s="395"/>
      <c r="J845" s="395"/>
      <c r="K845" s="396"/>
      <c r="L845" s="395"/>
      <c r="M845" s="394"/>
      <c r="N845" s="395"/>
      <c r="O845" s="395"/>
      <c r="P845" s="395"/>
      <c r="R845" s="154"/>
      <c r="S845" s="154"/>
      <c r="T845" s="154"/>
    </row>
    <row r="846" spans="1:20" s="149" customFormat="1" ht="18" customHeight="1" x14ac:dyDescent="0.25">
      <c r="A846" s="335"/>
      <c r="B846" s="397">
        <v>100</v>
      </c>
      <c r="C846" s="461"/>
      <c r="D846" s="808" t="s">
        <v>2741</v>
      </c>
      <c r="E846" s="403"/>
      <c r="F846" s="394"/>
      <c r="G846" s="395"/>
      <c r="H846" s="395"/>
      <c r="I846" s="395"/>
      <c r="J846" s="395"/>
      <c r="K846" s="396"/>
      <c r="L846" s="395"/>
      <c r="M846" s="394"/>
      <c r="N846" s="395"/>
      <c r="O846" s="395"/>
      <c r="P846" s="395"/>
      <c r="R846" s="154"/>
      <c r="S846" s="154"/>
      <c r="T846" s="154"/>
    </row>
    <row r="847" spans="1:20" s="149" customFormat="1" ht="18" customHeight="1" thickBot="1" x14ac:dyDescent="0.3">
      <c r="A847" s="335"/>
      <c r="B847" s="397"/>
      <c r="C847" s="461">
        <v>110</v>
      </c>
      <c r="D847" s="808" t="s">
        <v>2742</v>
      </c>
      <c r="E847" s="403"/>
      <c r="F847" s="394"/>
      <c r="G847" s="395"/>
      <c r="H847" s="395"/>
      <c r="I847" s="395"/>
      <c r="J847" s="395"/>
      <c r="K847" s="396"/>
      <c r="L847" s="395"/>
      <c r="M847" s="394"/>
      <c r="N847" s="395"/>
      <c r="O847" s="395"/>
      <c r="P847" s="395"/>
      <c r="R847" s="154"/>
      <c r="S847" s="154"/>
      <c r="T847" s="154"/>
    </row>
    <row r="848" spans="1:20" s="149" customFormat="1" ht="18" customHeight="1" thickBot="1" x14ac:dyDescent="0.3">
      <c r="A848" s="335"/>
      <c r="B848" s="398">
        <f>SUM(B843:B847)</f>
        <v>140</v>
      </c>
      <c r="C848" s="461"/>
      <c r="D848" s="597"/>
      <c r="E848" s="463"/>
      <c r="F848" s="352"/>
      <c r="G848" s="350"/>
      <c r="H848" s="350"/>
      <c r="I848" s="350"/>
      <c r="J848" s="350"/>
      <c r="K848" s="351"/>
      <c r="L848" s="350"/>
      <c r="M848" s="352"/>
      <c r="N848" s="350"/>
      <c r="O848" s="350"/>
      <c r="P848" s="353"/>
      <c r="R848" s="154"/>
      <c r="S848" s="154"/>
      <c r="T848" s="154"/>
    </row>
    <row r="849" spans="1:20" s="149" customFormat="1" ht="18" customHeight="1" x14ac:dyDescent="0.25">
      <c r="A849" s="335"/>
      <c r="B849" s="203"/>
      <c r="C849" s="461"/>
      <c r="D849" s="597"/>
      <c r="E849" s="336"/>
      <c r="F849" s="151"/>
      <c r="K849" s="201"/>
      <c r="M849" s="151"/>
      <c r="R849" s="154"/>
      <c r="S849" s="154"/>
      <c r="T849" s="154"/>
    </row>
    <row r="850" spans="1:20" s="149" customFormat="1" ht="18" customHeight="1" x14ac:dyDescent="0.25">
      <c r="A850" s="335">
        <v>45451</v>
      </c>
      <c r="B850" s="397">
        <v>120</v>
      </c>
      <c r="C850" s="461"/>
      <c r="D850" s="808" t="s">
        <v>2749</v>
      </c>
      <c r="E850" s="336"/>
      <c r="F850" s="151"/>
      <c r="K850" s="201"/>
      <c r="M850" s="151"/>
      <c r="R850" s="154"/>
      <c r="S850" s="154"/>
      <c r="T850" s="154"/>
    </row>
    <row r="851" spans="1:20" s="149" customFormat="1" ht="18" customHeight="1" x14ac:dyDescent="0.25">
      <c r="A851" s="335"/>
      <c r="B851" s="203">
        <v>100</v>
      </c>
      <c r="C851" s="461"/>
      <c r="D851" s="808" t="s">
        <v>2751</v>
      </c>
      <c r="E851" s="336"/>
      <c r="F851" s="151"/>
      <c r="K851" s="201"/>
      <c r="M851" s="151"/>
      <c r="R851" s="154"/>
      <c r="S851" s="154"/>
      <c r="T851" s="154"/>
    </row>
    <row r="852" spans="1:20" s="149" customFormat="1" ht="18" customHeight="1" x14ac:dyDescent="0.25">
      <c r="A852" s="335"/>
      <c r="B852" s="203"/>
      <c r="C852" s="461">
        <v>75</v>
      </c>
      <c r="D852" s="808" t="s">
        <v>2752</v>
      </c>
      <c r="E852" s="336"/>
      <c r="F852" s="151"/>
      <c r="K852" s="201"/>
      <c r="M852" s="151"/>
      <c r="R852" s="154"/>
      <c r="S852" s="154"/>
      <c r="T852" s="154"/>
    </row>
    <row r="853" spans="1:20" s="149" customFormat="1" ht="18" customHeight="1" x14ac:dyDescent="0.25">
      <c r="A853" s="335"/>
      <c r="B853" s="203"/>
      <c r="C853" s="461">
        <v>110</v>
      </c>
      <c r="D853" s="808" t="s">
        <v>2753</v>
      </c>
      <c r="E853" s="336"/>
      <c r="F853" s="151"/>
      <c r="K853" s="201"/>
      <c r="M853" s="151"/>
      <c r="R853" s="154"/>
      <c r="S853" s="154"/>
      <c r="T853" s="154"/>
    </row>
    <row r="854" spans="1:20" s="149" customFormat="1" ht="18" customHeight="1" x14ac:dyDescent="0.25">
      <c r="A854" s="335"/>
      <c r="B854" s="203">
        <v>45</v>
      </c>
      <c r="C854" s="461"/>
      <c r="D854" s="808" t="s">
        <v>2754</v>
      </c>
      <c r="E854" s="336"/>
      <c r="F854" s="151"/>
      <c r="K854" s="201"/>
      <c r="M854" s="151"/>
      <c r="R854" s="154"/>
      <c r="S854" s="154"/>
      <c r="T854" s="154"/>
    </row>
    <row r="855" spans="1:20" s="149" customFormat="1" ht="18" customHeight="1" x14ac:dyDescent="0.25">
      <c r="A855" s="335"/>
      <c r="B855" s="203">
        <v>45</v>
      </c>
      <c r="C855" s="461"/>
      <c r="D855" s="808" t="s">
        <v>2755</v>
      </c>
      <c r="E855" s="336"/>
      <c r="F855" s="151"/>
      <c r="K855" s="201"/>
      <c r="M855" s="151"/>
      <c r="R855" s="154"/>
      <c r="S855" s="154"/>
      <c r="T855" s="154"/>
    </row>
    <row r="856" spans="1:20" s="149" customFormat="1" ht="18" customHeight="1" x14ac:dyDescent="0.25">
      <c r="A856" s="335"/>
      <c r="B856" s="203">
        <v>75</v>
      </c>
      <c r="C856" s="461"/>
      <c r="D856" s="808" t="s">
        <v>2756</v>
      </c>
      <c r="E856" s="336"/>
      <c r="F856" s="151"/>
      <c r="K856" s="201"/>
      <c r="M856" s="151"/>
      <c r="R856" s="154"/>
      <c r="S856" s="154"/>
      <c r="T856" s="154"/>
    </row>
    <row r="857" spans="1:20" s="149" customFormat="1" ht="18" customHeight="1" x14ac:dyDescent="0.25">
      <c r="A857" s="335"/>
      <c r="B857" s="203"/>
      <c r="C857" s="461"/>
      <c r="D857" s="829" t="s">
        <v>2757</v>
      </c>
      <c r="E857" s="336"/>
      <c r="F857" s="151"/>
      <c r="K857" s="201"/>
      <c r="M857" s="151"/>
      <c r="R857" s="154"/>
      <c r="S857" s="154"/>
      <c r="T857" s="154"/>
    </row>
    <row r="858" spans="1:20" s="149" customFormat="1" ht="18" customHeight="1" thickBot="1" x14ac:dyDescent="0.3">
      <c r="A858" s="335"/>
      <c r="B858" s="203">
        <v>25</v>
      </c>
      <c r="C858" s="461">
        <v>45</v>
      </c>
      <c r="D858" s="808" t="s">
        <v>2758</v>
      </c>
      <c r="E858" s="336"/>
      <c r="F858" s="151"/>
      <c r="K858" s="201"/>
      <c r="M858" s="151"/>
      <c r="R858" s="154"/>
      <c r="S858" s="154"/>
      <c r="T858" s="154"/>
    </row>
    <row r="859" spans="1:20" s="149" customFormat="1" ht="18" customHeight="1" thickBot="1" x14ac:dyDescent="0.3">
      <c r="A859" s="335"/>
      <c r="B859" s="398">
        <f>SUM(B850:B858)</f>
        <v>410</v>
      </c>
      <c r="C859" s="461"/>
      <c r="D859" s="597"/>
      <c r="E859" s="463"/>
      <c r="F859" s="352"/>
      <c r="G859" s="350"/>
      <c r="H859" s="350"/>
      <c r="I859" s="350"/>
      <c r="J859" s="350"/>
      <c r="K859" s="351"/>
      <c r="L859" s="350"/>
      <c r="M859" s="352"/>
      <c r="N859" s="350"/>
      <c r="O859" s="350"/>
      <c r="P859" s="353"/>
      <c r="R859" s="154"/>
      <c r="S859" s="154"/>
      <c r="T859" s="154"/>
    </row>
    <row r="860" spans="1:20" s="149" customFormat="1" ht="18" customHeight="1" x14ac:dyDescent="0.25">
      <c r="A860" s="335"/>
      <c r="B860" s="203"/>
      <c r="C860" s="461"/>
      <c r="D860" s="597"/>
      <c r="E860" s="336"/>
      <c r="F860" s="151"/>
      <c r="K860" s="201"/>
      <c r="M860" s="151"/>
      <c r="R860" s="154"/>
      <c r="S860" s="154"/>
      <c r="T860" s="154"/>
    </row>
    <row r="861" spans="1:20" s="149" customFormat="1" ht="18" customHeight="1" x14ac:dyDescent="0.25">
      <c r="A861" s="335">
        <v>45453</v>
      </c>
      <c r="B861" s="203">
        <v>90</v>
      </c>
      <c r="C861" s="461"/>
      <c r="D861" s="881" t="s">
        <v>2759</v>
      </c>
      <c r="E861" s="336" t="s">
        <v>820</v>
      </c>
      <c r="F861" s="151"/>
      <c r="K861" s="201"/>
      <c r="M861" s="151"/>
      <c r="R861" s="154"/>
      <c r="S861" s="154"/>
      <c r="T861" s="154"/>
    </row>
    <row r="862" spans="1:20" s="149" customFormat="1" ht="18" customHeight="1" x14ac:dyDescent="0.25">
      <c r="A862" s="335"/>
      <c r="B862" s="203">
        <v>125</v>
      </c>
      <c r="C862" s="461"/>
      <c r="D862" s="808" t="s">
        <v>2760</v>
      </c>
      <c r="E862" s="336"/>
      <c r="F862" s="151"/>
      <c r="K862" s="201"/>
      <c r="M862" s="151"/>
      <c r="R862" s="154"/>
      <c r="S862" s="154"/>
      <c r="T862" s="154"/>
    </row>
    <row r="863" spans="1:20" s="149" customFormat="1" ht="18" customHeight="1" x14ac:dyDescent="0.25">
      <c r="A863" s="335"/>
      <c r="B863" s="203">
        <v>40</v>
      </c>
      <c r="C863" s="461"/>
      <c r="D863" s="808" t="s">
        <v>2003</v>
      </c>
      <c r="E863" s="336"/>
      <c r="F863" s="151"/>
      <c r="K863" s="201"/>
      <c r="M863" s="151"/>
      <c r="R863" s="154"/>
      <c r="S863" s="154"/>
      <c r="T863" s="154"/>
    </row>
    <row r="864" spans="1:20" s="149" customFormat="1" ht="18" customHeight="1" x14ac:dyDescent="0.25">
      <c r="A864" s="335"/>
      <c r="B864" s="203">
        <v>30</v>
      </c>
      <c r="C864" s="461">
        <v>110</v>
      </c>
      <c r="D864" s="808" t="s">
        <v>2761</v>
      </c>
      <c r="E864" s="336"/>
      <c r="F864" s="151"/>
      <c r="K864" s="201"/>
      <c r="M864" s="151"/>
      <c r="R864" s="154"/>
      <c r="S864" s="154"/>
      <c r="T864" s="154"/>
    </row>
    <row r="865" spans="1:20" s="149" customFormat="1" ht="18" customHeight="1" x14ac:dyDescent="0.25">
      <c r="A865" s="335"/>
      <c r="B865" s="203">
        <v>60</v>
      </c>
      <c r="C865" s="461"/>
      <c r="D865" s="808" t="s">
        <v>2762</v>
      </c>
      <c r="E865" s="336"/>
      <c r="F865" s="151"/>
      <c r="K865" s="201"/>
      <c r="M865" s="151"/>
      <c r="R865" s="154"/>
      <c r="S865" s="154"/>
      <c r="T865" s="154"/>
    </row>
    <row r="866" spans="1:20" s="149" customFormat="1" ht="18" customHeight="1" x14ac:dyDescent="0.25">
      <c r="A866" s="335"/>
      <c r="B866" s="203"/>
      <c r="C866" s="461">
        <v>75</v>
      </c>
      <c r="D866" s="808" t="s">
        <v>2763</v>
      </c>
      <c r="E866" s="336"/>
      <c r="F866" s="151"/>
      <c r="K866" s="201"/>
      <c r="M866" s="151"/>
      <c r="R866" s="154"/>
      <c r="S866" s="154"/>
      <c r="T866" s="154"/>
    </row>
    <row r="867" spans="1:20" s="149" customFormat="1" ht="18" customHeight="1" x14ac:dyDescent="0.25">
      <c r="A867" s="335"/>
      <c r="B867" s="203"/>
      <c r="C867" s="461">
        <v>85</v>
      </c>
      <c r="D867" s="808" t="s">
        <v>2764</v>
      </c>
      <c r="E867" s="336"/>
      <c r="F867" s="151"/>
      <c r="K867" s="201"/>
      <c r="M867" s="151"/>
      <c r="R867" s="154"/>
      <c r="S867" s="154"/>
      <c r="T867" s="154"/>
    </row>
    <row r="868" spans="1:20" s="149" customFormat="1" ht="18" customHeight="1" thickBot="1" x14ac:dyDescent="0.3">
      <c r="A868" s="335"/>
      <c r="B868" s="203">
        <v>130</v>
      </c>
      <c r="C868" s="461"/>
      <c r="D868" s="808" t="s">
        <v>1983</v>
      </c>
      <c r="E868" s="336"/>
      <c r="F868" s="151"/>
      <c r="K868" s="201"/>
      <c r="M868" s="151"/>
      <c r="R868" s="154"/>
      <c r="S868" s="154"/>
      <c r="T868" s="154"/>
    </row>
    <row r="869" spans="1:20" s="149" customFormat="1" ht="18" customHeight="1" thickBot="1" x14ac:dyDescent="0.3">
      <c r="A869" s="335"/>
      <c r="B869" s="398">
        <f>SUM(B861:B868)</f>
        <v>475</v>
      </c>
      <c r="C869" s="461"/>
      <c r="D869" s="597"/>
      <c r="E869" s="463"/>
      <c r="F869" s="352"/>
      <c r="G869" s="350"/>
      <c r="H869" s="350"/>
      <c r="I869" s="350"/>
      <c r="J869" s="350"/>
      <c r="K869" s="351"/>
      <c r="L869" s="350"/>
      <c r="M869" s="352"/>
      <c r="N869" s="350"/>
      <c r="O869" s="350"/>
      <c r="P869" s="353"/>
      <c r="R869" s="154"/>
      <c r="S869" s="154"/>
      <c r="T869" s="154"/>
    </row>
    <row r="870" spans="1:20" s="149" customFormat="1" ht="18" customHeight="1" x14ac:dyDescent="0.25">
      <c r="A870" s="335"/>
      <c r="B870" s="397"/>
      <c r="C870" s="461"/>
      <c r="D870" s="597"/>
      <c r="E870" s="403"/>
      <c r="F870" s="394"/>
      <c r="G870" s="395"/>
      <c r="H870" s="395"/>
      <c r="I870" s="395"/>
      <c r="J870" s="395"/>
      <c r="K870" s="396"/>
      <c r="L870" s="395"/>
      <c r="M870" s="394"/>
      <c r="N870" s="395"/>
      <c r="O870" s="395"/>
      <c r="P870" s="395"/>
      <c r="R870" s="154"/>
      <c r="S870" s="154"/>
      <c r="T870" s="154"/>
    </row>
    <row r="871" spans="1:20" s="149" customFormat="1" ht="18" customHeight="1" x14ac:dyDescent="0.25">
      <c r="A871" s="335"/>
      <c r="B871" s="397"/>
      <c r="C871" s="461"/>
      <c r="D871" s="597"/>
      <c r="E871" s="403"/>
      <c r="F871" s="394"/>
      <c r="G871" s="395"/>
      <c r="H871" s="395"/>
      <c r="I871" s="395"/>
      <c r="J871" s="395"/>
      <c r="K871" s="396"/>
      <c r="L871" s="395"/>
      <c r="M871" s="394"/>
      <c r="N871" s="395"/>
      <c r="O871" s="395"/>
      <c r="P871" s="395"/>
      <c r="R871" s="154"/>
      <c r="S871" s="154"/>
      <c r="T871" s="154"/>
    </row>
    <row r="872" spans="1:20" s="149" customFormat="1" ht="18" customHeight="1" x14ac:dyDescent="0.25">
      <c r="A872" s="335">
        <v>45454</v>
      </c>
      <c r="B872" s="397">
        <v>70</v>
      </c>
      <c r="C872" s="461"/>
      <c r="D872" s="808" t="s">
        <v>2766</v>
      </c>
      <c r="E872" s="403"/>
      <c r="F872" s="394"/>
      <c r="G872" s="395"/>
      <c r="H872" s="395"/>
      <c r="I872" s="395"/>
      <c r="J872" s="395"/>
      <c r="K872" s="396"/>
      <c r="L872" s="395"/>
      <c r="M872" s="394"/>
      <c r="N872" s="395"/>
      <c r="O872" s="395"/>
      <c r="P872" s="395"/>
      <c r="R872" s="154"/>
      <c r="S872" s="154"/>
      <c r="T872" s="154"/>
    </row>
    <row r="873" spans="1:20" s="149" customFormat="1" ht="18" customHeight="1" x14ac:dyDescent="0.25">
      <c r="A873" s="335"/>
      <c r="B873" s="397">
        <v>60</v>
      </c>
      <c r="C873" s="461"/>
      <c r="D873" s="808" t="s">
        <v>2767</v>
      </c>
      <c r="E873" s="403">
        <v>5</v>
      </c>
      <c r="F873" s="394"/>
      <c r="G873" s="395"/>
      <c r="H873" s="395"/>
      <c r="I873" s="395"/>
      <c r="J873" s="395"/>
      <c r="K873" s="396"/>
      <c r="L873" s="395"/>
      <c r="M873" s="394"/>
      <c r="N873" s="395"/>
      <c r="O873" s="395"/>
      <c r="P873" s="395"/>
      <c r="R873" s="154"/>
      <c r="S873" s="154"/>
      <c r="T873" s="154"/>
    </row>
    <row r="874" spans="1:20" s="149" customFormat="1" ht="18" customHeight="1" x14ac:dyDescent="0.25">
      <c r="A874" s="335"/>
      <c r="B874" s="397">
        <v>20</v>
      </c>
      <c r="C874" s="461"/>
      <c r="D874" s="808" t="s">
        <v>2768</v>
      </c>
      <c r="E874" s="403">
        <v>5</v>
      </c>
      <c r="F874" s="394"/>
      <c r="G874" s="395"/>
      <c r="H874" s="395"/>
      <c r="I874" s="395"/>
      <c r="J874" s="395"/>
      <c r="K874" s="396"/>
      <c r="L874" s="395"/>
      <c r="M874" s="394"/>
      <c r="N874" s="395"/>
      <c r="O874" s="395"/>
      <c r="P874" s="395"/>
      <c r="R874" s="154"/>
      <c r="S874" s="154"/>
      <c r="T874" s="154"/>
    </row>
    <row r="875" spans="1:20" s="149" customFormat="1" ht="18" customHeight="1" x14ac:dyDescent="0.25">
      <c r="A875" s="335"/>
      <c r="B875" s="397">
        <v>35</v>
      </c>
      <c r="C875" s="461"/>
      <c r="D875" s="808" t="s">
        <v>2769</v>
      </c>
      <c r="E875" s="403"/>
      <c r="F875" s="394"/>
      <c r="G875" s="395"/>
      <c r="H875" s="395"/>
      <c r="I875" s="395"/>
      <c r="J875" s="395"/>
      <c r="K875" s="396"/>
      <c r="L875" s="395"/>
      <c r="M875" s="394"/>
      <c r="N875" s="395"/>
      <c r="O875" s="395"/>
      <c r="P875" s="395"/>
      <c r="R875" s="154"/>
      <c r="S875" s="154"/>
      <c r="T875" s="154"/>
    </row>
    <row r="876" spans="1:20" s="149" customFormat="1" ht="18" customHeight="1" thickBot="1" x14ac:dyDescent="0.3">
      <c r="A876" s="335"/>
      <c r="B876" s="397">
        <v>20</v>
      </c>
      <c r="C876" s="461">
        <v>90</v>
      </c>
      <c r="D876" s="808" t="s">
        <v>2770</v>
      </c>
      <c r="E876" s="403"/>
      <c r="F876" s="394"/>
      <c r="G876" s="395"/>
      <c r="H876" s="395"/>
      <c r="I876" s="395"/>
      <c r="J876" s="395"/>
      <c r="K876" s="396"/>
      <c r="L876" s="395"/>
      <c r="M876" s="394"/>
      <c r="N876" s="395"/>
      <c r="O876" s="395"/>
      <c r="P876" s="395"/>
      <c r="R876" s="154"/>
      <c r="S876" s="154"/>
      <c r="T876" s="154"/>
    </row>
    <row r="877" spans="1:20" s="149" customFormat="1" ht="18" customHeight="1" thickBot="1" x14ac:dyDescent="0.3">
      <c r="A877" s="335"/>
      <c r="B877" s="398">
        <f>SUM(B872:B876)</f>
        <v>205</v>
      </c>
      <c r="C877" s="461"/>
      <c r="D877" s="597"/>
      <c r="E877" s="463"/>
      <c r="F877" s="352"/>
      <c r="G877" s="350"/>
      <c r="H877" s="350"/>
      <c r="I877" s="350"/>
      <c r="J877" s="350"/>
      <c r="K877" s="351"/>
      <c r="L877" s="350"/>
      <c r="M877" s="352"/>
      <c r="N877" s="350"/>
      <c r="O877" s="350"/>
      <c r="P877" s="353"/>
      <c r="R877" s="154"/>
      <c r="S877" s="154"/>
      <c r="T877" s="154"/>
    </row>
    <row r="878" spans="1:20" s="149" customFormat="1" ht="18" customHeight="1" x14ac:dyDescent="0.25">
      <c r="A878" s="335"/>
      <c r="B878" s="397"/>
      <c r="C878" s="461"/>
      <c r="D878" s="597"/>
      <c r="E878" s="403"/>
      <c r="F878" s="394"/>
      <c r="G878" s="395"/>
      <c r="H878" s="395"/>
      <c r="I878" s="395"/>
      <c r="J878" s="395"/>
      <c r="K878" s="396"/>
      <c r="L878" s="395"/>
      <c r="M878" s="394"/>
      <c r="N878" s="395"/>
      <c r="O878" s="395"/>
      <c r="P878" s="395"/>
      <c r="R878" s="154"/>
      <c r="S878" s="154"/>
      <c r="T878" s="154"/>
    </row>
    <row r="879" spans="1:20" s="149" customFormat="1" ht="18" customHeight="1" x14ac:dyDescent="0.25">
      <c r="A879" s="335">
        <v>45455</v>
      </c>
      <c r="B879" s="397">
        <v>70</v>
      </c>
      <c r="C879" s="461"/>
      <c r="D879" s="808" t="s">
        <v>2771</v>
      </c>
      <c r="E879" s="403"/>
      <c r="F879" s="394"/>
      <c r="G879" s="395"/>
      <c r="H879" s="395"/>
      <c r="I879" s="395"/>
      <c r="J879" s="395"/>
      <c r="K879" s="396"/>
      <c r="L879" s="395"/>
      <c r="M879" s="394"/>
      <c r="N879" s="395"/>
      <c r="O879" s="395"/>
      <c r="P879" s="395"/>
      <c r="R879" s="154"/>
      <c r="S879" s="154"/>
      <c r="T879" s="154"/>
    </row>
    <row r="880" spans="1:20" s="149" customFormat="1" ht="18" customHeight="1" x14ac:dyDescent="0.25">
      <c r="A880" s="335"/>
      <c r="B880" s="397">
        <v>50</v>
      </c>
      <c r="C880" s="461"/>
      <c r="D880" s="808" t="s">
        <v>2772</v>
      </c>
      <c r="E880" s="403"/>
      <c r="F880" s="394"/>
      <c r="G880" s="395"/>
      <c r="H880" s="395"/>
      <c r="I880" s="395"/>
      <c r="J880" s="395"/>
      <c r="K880" s="396"/>
      <c r="L880" s="395"/>
      <c r="M880" s="394"/>
      <c r="N880" s="395"/>
      <c r="O880" s="395"/>
      <c r="P880" s="395"/>
      <c r="R880" s="154"/>
      <c r="S880" s="154"/>
      <c r="T880" s="154"/>
    </row>
    <row r="881" spans="1:20" s="149" customFormat="1" ht="18" customHeight="1" x14ac:dyDescent="0.25">
      <c r="A881" s="335"/>
      <c r="B881" s="397">
        <v>150</v>
      </c>
      <c r="C881" s="461"/>
      <c r="D881" s="808" t="s">
        <v>2773</v>
      </c>
      <c r="E881" s="403"/>
      <c r="F881" s="394"/>
      <c r="G881" s="395"/>
      <c r="H881" s="395"/>
      <c r="I881" s="395"/>
      <c r="J881" s="395"/>
      <c r="K881" s="396"/>
      <c r="L881" s="395"/>
      <c r="M881" s="394"/>
      <c r="N881" s="395"/>
      <c r="O881" s="395"/>
      <c r="P881" s="395"/>
      <c r="R881" s="154"/>
      <c r="S881" s="154"/>
      <c r="T881" s="154"/>
    </row>
    <row r="882" spans="1:20" s="149" customFormat="1" ht="18" customHeight="1" x14ac:dyDescent="0.25">
      <c r="A882" s="335"/>
      <c r="B882" s="397">
        <v>40</v>
      </c>
      <c r="C882" s="461"/>
      <c r="D882" s="808" t="s">
        <v>2774</v>
      </c>
      <c r="E882" s="403"/>
      <c r="F882" s="394"/>
      <c r="G882" s="395"/>
      <c r="H882" s="395"/>
      <c r="I882" s="395"/>
      <c r="J882" s="395"/>
      <c r="K882" s="396"/>
      <c r="L882" s="395"/>
      <c r="M882" s="394"/>
      <c r="N882" s="395"/>
      <c r="O882" s="395"/>
      <c r="P882" s="395"/>
      <c r="R882" s="154"/>
      <c r="S882" s="154"/>
      <c r="T882" s="154"/>
    </row>
    <row r="883" spans="1:20" s="149" customFormat="1" ht="18" customHeight="1" x14ac:dyDescent="0.25">
      <c r="A883" s="335"/>
      <c r="B883" s="397">
        <v>50</v>
      </c>
      <c r="C883" s="461"/>
      <c r="D883" s="808" t="s">
        <v>2783</v>
      </c>
      <c r="E883" s="403"/>
      <c r="F883" s="394"/>
      <c r="G883" s="395"/>
      <c r="H883" s="395"/>
      <c r="I883" s="395"/>
      <c r="J883" s="395"/>
      <c r="K883" s="396"/>
      <c r="L883" s="395"/>
      <c r="M883" s="394"/>
      <c r="N883" s="395"/>
      <c r="O883" s="395"/>
      <c r="P883" s="395"/>
      <c r="R883" s="154"/>
      <c r="S883" s="154"/>
      <c r="T883" s="154"/>
    </row>
    <row r="884" spans="1:20" s="149" customFormat="1" ht="18" customHeight="1" x14ac:dyDescent="0.25">
      <c r="A884" s="335"/>
      <c r="B884" s="397"/>
      <c r="C884" s="461"/>
      <c r="D884" s="878" t="s">
        <v>2854</v>
      </c>
      <c r="E884" s="403"/>
      <c r="F884" s="394"/>
      <c r="G884" s="395"/>
      <c r="H884" s="395"/>
      <c r="I884" s="395"/>
      <c r="J884" s="395"/>
      <c r="K884" s="396"/>
      <c r="L884" s="395"/>
      <c r="M884" s="394"/>
      <c r="N884" s="395"/>
      <c r="O884" s="395"/>
      <c r="P884" s="395"/>
      <c r="R884" s="154"/>
      <c r="S884" s="154"/>
      <c r="T884" s="154"/>
    </row>
    <row r="885" spans="1:20" s="149" customFormat="1" ht="18" customHeight="1" x14ac:dyDescent="0.25">
      <c r="A885" s="335"/>
      <c r="B885" s="397"/>
      <c r="C885" s="461">
        <v>45</v>
      </c>
      <c r="D885" s="878" t="s">
        <v>2855</v>
      </c>
      <c r="E885" s="403"/>
      <c r="F885" s="394"/>
      <c r="G885" s="395"/>
      <c r="H885" s="395"/>
      <c r="I885" s="395"/>
      <c r="J885" s="395"/>
      <c r="K885" s="396"/>
      <c r="L885" s="395"/>
      <c r="M885" s="394"/>
      <c r="N885" s="395"/>
      <c r="O885" s="395"/>
      <c r="P885" s="395"/>
      <c r="R885" s="154"/>
      <c r="S885" s="154"/>
      <c r="T885" s="154"/>
    </row>
    <row r="886" spans="1:20" s="149" customFormat="1" ht="18" customHeight="1" thickBot="1" x14ac:dyDescent="0.3">
      <c r="A886" s="335"/>
      <c r="B886" s="397"/>
      <c r="C886" s="461">
        <v>75</v>
      </c>
      <c r="D886" s="878" t="s">
        <v>2856</v>
      </c>
      <c r="E886" s="403"/>
      <c r="F886" s="394"/>
      <c r="G886" s="395"/>
      <c r="H886" s="395"/>
      <c r="I886" s="395"/>
      <c r="J886" s="395"/>
      <c r="K886" s="396"/>
      <c r="L886" s="395"/>
      <c r="M886" s="394"/>
      <c r="N886" s="395"/>
      <c r="O886" s="395"/>
      <c r="P886" s="395"/>
      <c r="R886" s="154"/>
      <c r="S886" s="154"/>
      <c r="T886" s="154"/>
    </row>
    <row r="887" spans="1:20" s="149" customFormat="1" ht="18" customHeight="1" thickBot="1" x14ac:dyDescent="0.3">
      <c r="A887" s="335"/>
      <c r="B887" s="398">
        <f>SUM(B879:B883)</f>
        <v>360</v>
      </c>
      <c r="C887" s="461"/>
      <c r="D887" s="597"/>
      <c r="E887" s="463"/>
      <c r="F887" s="352"/>
      <c r="G887" s="350"/>
      <c r="H887" s="350"/>
      <c r="I887" s="350"/>
      <c r="J887" s="350"/>
      <c r="K887" s="351"/>
      <c r="L887" s="350"/>
      <c r="M887" s="352"/>
      <c r="N887" s="350"/>
      <c r="O887" s="350"/>
      <c r="P887" s="353"/>
      <c r="R887" s="154"/>
      <c r="S887" s="154"/>
      <c r="T887" s="154"/>
    </row>
    <row r="888" spans="1:20" s="149" customFormat="1" ht="18" customHeight="1" x14ac:dyDescent="0.25">
      <c r="A888" s="335"/>
      <c r="B888" s="397"/>
      <c r="C888" s="461"/>
      <c r="D888" s="597"/>
      <c r="E888" s="403"/>
      <c r="F888" s="394"/>
      <c r="G888" s="395"/>
      <c r="H888" s="395"/>
      <c r="I888" s="395"/>
      <c r="J888" s="395"/>
      <c r="K888" s="396"/>
      <c r="L888" s="395"/>
      <c r="M888" s="394"/>
      <c r="N888" s="395"/>
      <c r="O888" s="395"/>
      <c r="P888" s="395"/>
      <c r="R888" s="154"/>
      <c r="S888" s="154"/>
      <c r="T888" s="154"/>
    </row>
    <row r="889" spans="1:20" s="149" customFormat="1" ht="18" customHeight="1" x14ac:dyDescent="0.25">
      <c r="A889" s="335"/>
      <c r="B889" s="397"/>
      <c r="C889" s="883">
        <v>90</v>
      </c>
      <c r="D889" s="878" t="s">
        <v>2798</v>
      </c>
      <c r="E889" s="403"/>
      <c r="F889" s="394"/>
      <c r="G889" s="395"/>
      <c r="H889" s="395"/>
      <c r="I889" s="395"/>
      <c r="J889" s="395"/>
      <c r="K889" s="396"/>
      <c r="L889" s="395"/>
      <c r="M889" s="394"/>
      <c r="N889" s="395"/>
      <c r="O889" s="395"/>
      <c r="P889" s="395"/>
      <c r="R889" s="154"/>
      <c r="S889" s="154"/>
      <c r="T889" s="154"/>
    </row>
    <row r="890" spans="1:20" s="149" customFormat="1" ht="18" customHeight="1" x14ac:dyDescent="0.25">
      <c r="A890" s="335"/>
      <c r="B890" s="397"/>
      <c r="C890" s="461"/>
      <c r="D890" s="597"/>
      <c r="E890" s="403"/>
      <c r="F890" s="394"/>
      <c r="G890" s="395"/>
      <c r="H890" s="395"/>
      <c r="I890" s="395"/>
      <c r="J890" s="395"/>
      <c r="K890" s="396"/>
      <c r="L890" s="395"/>
      <c r="M890" s="394"/>
      <c r="N890" s="395"/>
      <c r="O890" s="395"/>
      <c r="P890" s="395"/>
      <c r="R890" s="154"/>
      <c r="S890" s="154"/>
      <c r="T890" s="154"/>
    </row>
    <row r="891" spans="1:20" s="149" customFormat="1" ht="18" customHeight="1" x14ac:dyDescent="0.25">
      <c r="A891" s="335">
        <v>45456</v>
      </c>
      <c r="B891" s="397"/>
      <c r="C891" s="461">
        <v>100</v>
      </c>
      <c r="D891" s="808" t="s">
        <v>2784</v>
      </c>
      <c r="E891" s="403"/>
      <c r="F891" s="394"/>
      <c r="G891" s="395"/>
      <c r="H891" s="395"/>
      <c r="I891" s="395"/>
      <c r="J891" s="395"/>
      <c r="K891" s="396"/>
      <c r="L891" s="395"/>
      <c r="M891" s="394"/>
      <c r="N891" s="395"/>
      <c r="O891" s="395"/>
      <c r="P891" s="395"/>
      <c r="R891" s="154"/>
      <c r="S891" s="154"/>
      <c r="T891" s="154"/>
    </row>
    <row r="892" spans="1:20" s="149" customFormat="1" ht="18" customHeight="1" x14ac:dyDescent="0.25">
      <c r="A892" s="335"/>
      <c r="B892" s="397"/>
      <c r="C892" s="461">
        <v>110</v>
      </c>
      <c r="D892" s="808" t="s">
        <v>2785</v>
      </c>
      <c r="E892" s="403"/>
      <c r="F892" s="394"/>
      <c r="G892" s="395"/>
      <c r="H892" s="395"/>
      <c r="I892" s="395"/>
      <c r="J892" s="395"/>
      <c r="K892" s="396"/>
      <c r="L892" s="395"/>
      <c r="M892" s="394"/>
      <c r="N892" s="395"/>
      <c r="O892" s="395"/>
      <c r="P892" s="395"/>
      <c r="R892" s="154"/>
      <c r="S892" s="154"/>
      <c r="T892" s="154"/>
    </row>
    <row r="893" spans="1:20" s="149" customFormat="1" ht="18" customHeight="1" x14ac:dyDescent="0.25">
      <c r="A893" s="335"/>
      <c r="B893" s="397"/>
      <c r="C893" s="461"/>
      <c r="D893" s="829" t="s">
        <v>2786</v>
      </c>
      <c r="E893" s="403"/>
      <c r="F893" s="394"/>
      <c r="G893" s="395"/>
      <c r="H893" s="395"/>
      <c r="I893" s="395"/>
      <c r="J893" s="395"/>
      <c r="K893" s="396"/>
      <c r="L893" s="395"/>
      <c r="M893" s="394"/>
      <c r="N893" s="395"/>
      <c r="O893" s="395"/>
      <c r="P893" s="395"/>
      <c r="R893" s="154"/>
      <c r="S893" s="154"/>
      <c r="T893" s="154"/>
    </row>
    <row r="894" spans="1:20" s="149" customFormat="1" ht="18" customHeight="1" x14ac:dyDescent="0.25">
      <c r="A894" s="335"/>
      <c r="B894" s="203"/>
      <c r="C894" s="461">
        <v>85</v>
      </c>
      <c r="D894" s="808" t="s">
        <v>2787</v>
      </c>
      <c r="E894" s="336"/>
      <c r="F894" s="151"/>
      <c r="K894" s="201"/>
      <c r="M894" s="151"/>
      <c r="R894" s="154"/>
      <c r="S894" s="154"/>
      <c r="T894" s="154"/>
    </row>
    <row r="895" spans="1:20" s="149" customFormat="1" ht="18" customHeight="1" x14ac:dyDescent="0.25">
      <c r="A895" s="335"/>
      <c r="B895" s="203"/>
      <c r="C895" s="461">
        <v>125</v>
      </c>
      <c r="D895" s="808" t="s">
        <v>2788</v>
      </c>
      <c r="E895" s="336"/>
      <c r="F895" s="151"/>
      <c r="K895" s="201"/>
      <c r="M895" s="151"/>
      <c r="R895" s="154"/>
      <c r="S895" s="154"/>
      <c r="T895" s="154"/>
    </row>
    <row r="896" spans="1:20" s="149" customFormat="1" ht="18" customHeight="1" x14ac:dyDescent="0.25">
      <c r="A896" s="335"/>
      <c r="B896" s="203"/>
      <c r="C896" s="149">
        <v>45</v>
      </c>
      <c r="D896" s="938" t="s">
        <v>841</v>
      </c>
      <c r="E896" s="336"/>
      <c r="F896" s="151"/>
      <c r="K896" s="201"/>
      <c r="M896" s="151"/>
      <c r="R896" s="154"/>
      <c r="S896" s="154"/>
      <c r="T896" s="154"/>
    </row>
    <row r="897" spans="1:20" s="149" customFormat="1" ht="18" customHeight="1" x14ac:dyDescent="0.25">
      <c r="A897" s="335"/>
      <c r="B897" s="203"/>
      <c r="C897" s="461">
        <v>45</v>
      </c>
      <c r="D897" s="808" t="s">
        <v>2789</v>
      </c>
      <c r="E897" s="336"/>
      <c r="F897" s="151"/>
      <c r="K897" s="201"/>
      <c r="M897" s="151"/>
      <c r="R897" s="154"/>
      <c r="S897" s="154"/>
      <c r="T897" s="154"/>
    </row>
    <row r="898" spans="1:20" s="149" customFormat="1" ht="18" customHeight="1" x14ac:dyDescent="0.25">
      <c r="A898" s="335"/>
      <c r="B898" s="203">
        <v>35</v>
      </c>
      <c r="C898" s="461"/>
      <c r="D898" s="808" t="s">
        <v>812</v>
      </c>
      <c r="E898" s="336"/>
      <c r="F898" s="151"/>
      <c r="K898" s="201"/>
      <c r="M898" s="151"/>
      <c r="R898" s="154"/>
      <c r="S898" s="154"/>
      <c r="T898" s="154"/>
    </row>
    <row r="899" spans="1:20" s="149" customFormat="1" ht="18" customHeight="1" x14ac:dyDescent="0.25">
      <c r="A899" s="335"/>
      <c r="B899" s="203">
        <v>25</v>
      </c>
      <c r="C899" s="461"/>
      <c r="D899" s="808" t="s">
        <v>2790</v>
      </c>
      <c r="E899" s="336"/>
      <c r="F899" s="151"/>
      <c r="K899" s="201"/>
      <c r="M899" s="151"/>
      <c r="R899" s="154"/>
      <c r="S899" s="154"/>
      <c r="T899" s="154"/>
    </row>
    <row r="900" spans="1:20" s="149" customFormat="1" ht="18" customHeight="1" x14ac:dyDescent="0.25">
      <c r="A900" s="335"/>
      <c r="B900" s="203">
        <v>30</v>
      </c>
      <c r="C900" s="461">
        <v>65</v>
      </c>
      <c r="D900" s="808" t="s">
        <v>2791</v>
      </c>
      <c r="E900" s="336"/>
      <c r="F900" s="151"/>
      <c r="K900" s="201"/>
      <c r="M900" s="151"/>
      <c r="R900" s="154"/>
      <c r="S900" s="154"/>
      <c r="T900" s="154"/>
    </row>
    <row r="901" spans="1:20" s="149" customFormat="1" ht="18" customHeight="1" x14ac:dyDescent="0.25">
      <c r="A901" s="335"/>
      <c r="B901" s="203"/>
      <c r="C901" s="461">
        <v>110</v>
      </c>
      <c r="D901" s="808" t="s">
        <v>2792</v>
      </c>
      <c r="E901" s="336"/>
      <c r="F901" s="151"/>
      <c r="K901" s="201"/>
      <c r="M901" s="151"/>
      <c r="R901" s="154"/>
      <c r="S901" s="154"/>
      <c r="T901" s="154"/>
    </row>
    <row r="902" spans="1:20" s="149" customFormat="1" ht="18" customHeight="1" x14ac:dyDescent="0.25">
      <c r="A902" s="335"/>
      <c r="B902" s="203">
        <v>45</v>
      </c>
      <c r="C902" s="461"/>
      <c r="D902" s="808" t="s">
        <v>2793</v>
      </c>
      <c r="E902" s="336"/>
      <c r="F902" s="151"/>
      <c r="K902" s="201"/>
      <c r="M902" s="151"/>
      <c r="R902" s="154"/>
      <c r="S902" s="154"/>
      <c r="T902" s="154"/>
    </row>
    <row r="903" spans="1:20" s="149" customFormat="1" ht="18" customHeight="1" x14ac:dyDescent="0.25">
      <c r="A903" s="335"/>
      <c r="B903" s="203">
        <v>25</v>
      </c>
      <c r="C903" s="461"/>
      <c r="D903" s="808" t="s">
        <v>2455</v>
      </c>
      <c r="E903" s="336"/>
      <c r="F903" s="151"/>
      <c r="K903" s="201"/>
      <c r="M903" s="151"/>
      <c r="R903" s="154"/>
      <c r="S903" s="154"/>
      <c r="T903" s="154"/>
    </row>
    <row r="904" spans="1:20" s="149" customFormat="1" ht="18" customHeight="1" x14ac:dyDescent="0.25">
      <c r="A904" s="335"/>
      <c r="B904" s="203">
        <v>95</v>
      </c>
      <c r="C904" s="461"/>
      <c r="D904" s="808" t="s">
        <v>2794</v>
      </c>
      <c r="E904" s="336"/>
      <c r="F904" s="151"/>
      <c r="K904" s="201"/>
      <c r="M904" s="151"/>
      <c r="R904" s="154"/>
      <c r="S904" s="154"/>
      <c r="T904" s="154"/>
    </row>
    <row r="905" spans="1:20" s="149" customFormat="1" ht="18" customHeight="1" thickBot="1" x14ac:dyDescent="0.3">
      <c r="A905" s="335"/>
      <c r="B905" s="203">
        <v>35</v>
      </c>
      <c r="C905" s="461"/>
      <c r="D905" s="808" t="s">
        <v>2795</v>
      </c>
      <c r="E905" s="336"/>
      <c r="F905" s="151"/>
      <c r="K905" s="201"/>
      <c r="M905" s="151"/>
      <c r="R905" s="154"/>
      <c r="S905" s="154"/>
      <c r="T905" s="154"/>
    </row>
    <row r="906" spans="1:20" s="149" customFormat="1" ht="18" customHeight="1" thickBot="1" x14ac:dyDescent="0.3">
      <c r="A906" s="335"/>
      <c r="B906" s="398">
        <f>SUM(B891:B905)</f>
        <v>290</v>
      </c>
      <c r="C906" s="461"/>
      <c r="D906" s="597"/>
      <c r="E906" s="463"/>
      <c r="F906" s="352"/>
      <c r="G906" s="350"/>
      <c r="H906" s="350"/>
      <c r="I906" s="350"/>
      <c r="J906" s="350"/>
      <c r="K906" s="351"/>
      <c r="L906" s="350"/>
      <c r="M906" s="962"/>
      <c r="N906" s="805"/>
      <c r="O906" s="350"/>
      <c r="P906" s="353"/>
      <c r="R906" s="154"/>
      <c r="S906" s="154"/>
      <c r="T906" s="154"/>
    </row>
    <row r="907" spans="1:20" s="149" customFormat="1" ht="18" customHeight="1" x14ac:dyDescent="0.25">
      <c r="A907" s="335"/>
      <c r="B907" s="203"/>
      <c r="C907" s="461"/>
      <c r="D907" s="597"/>
      <c r="E907" s="336"/>
      <c r="F907" s="151"/>
      <c r="K907" s="201"/>
      <c r="M907" s="151"/>
      <c r="R907" s="154"/>
      <c r="S907" s="154"/>
      <c r="T907" s="154"/>
    </row>
    <row r="908" spans="1:20" s="149" customFormat="1" ht="18" customHeight="1" x14ac:dyDescent="0.25">
      <c r="A908" s="335">
        <v>45457</v>
      </c>
      <c r="B908" s="203">
        <v>60</v>
      </c>
      <c r="C908" s="461"/>
      <c r="D908" s="808" t="s">
        <v>2797</v>
      </c>
      <c r="E908" s="336"/>
      <c r="F908" s="151"/>
      <c r="K908" s="201"/>
      <c r="M908" s="151"/>
      <c r="R908" s="154"/>
      <c r="S908" s="154"/>
      <c r="T908" s="154"/>
    </row>
    <row r="909" spans="1:20" s="149" customFormat="1" ht="18" customHeight="1" x14ac:dyDescent="0.25">
      <c r="A909" s="335"/>
      <c r="B909" s="203">
        <v>145</v>
      </c>
      <c r="C909" s="461"/>
      <c r="D909" s="808" t="s">
        <v>2799</v>
      </c>
      <c r="E909" s="336"/>
      <c r="F909" s="151"/>
      <c r="K909" s="201"/>
      <c r="M909" s="151"/>
      <c r="R909" s="154"/>
      <c r="S909" s="154"/>
      <c r="T909" s="154"/>
    </row>
    <row r="910" spans="1:20" s="149" customFormat="1" ht="18" customHeight="1" x14ac:dyDescent="0.25">
      <c r="A910" s="335"/>
      <c r="B910" s="203">
        <v>125</v>
      </c>
      <c r="D910" s="938" t="s">
        <v>2815</v>
      </c>
      <c r="E910" s="336"/>
      <c r="F910" s="151"/>
      <c r="K910" s="201"/>
      <c r="M910" s="151"/>
      <c r="R910" s="154"/>
      <c r="S910" s="154"/>
      <c r="T910" s="154"/>
    </row>
    <row r="911" spans="1:20" s="149" customFormat="1" ht="18" customHeight="1" x14ac:dyDescent="0.25">
      <c r="A911" s="335"/>
      <c r="B911" s="203">
        <v>80</v>
      </c>
      <c r="C911" s="461"/>
      <c r="D911" s="808" t="s">
        <v>2800</v>
      </c>
      <c r="E911" s="336"/>
      <c r="F911" s="151"/>
      <c r="K911" s="201"/>
      <c r="M911" s="151"/>
      <c r="R911" s="154"/>
      <c r="S911" s="154"/>
      <c r="T911" s="154"/>
    </row>
    <row r="912" spans="1:20" s="149" customFormat="1" ht="18" customHeight="1" x14ac:dyDescent="0.25">
      <c r="A912" s="335"/>
      <c r="B912" s="203">
        <v>85</v>
      </c>
      <c r="C912" s="461"/>
      <c r="D912" s="808" t="s">
        <v>2801</v>
      </c>
      <c r="E912" s="336"/>
      <c r="F912" s="151"/>
      <c r="K912" s="201"/>
      <c r="M912" s="151"/>
      <c r="R912" s="154"/>
      <c r="S912" s="154"/>
      <c r="T912" s="154"/>
    </row>
    <row r="913" spans="1:20" s="149" customFormat="1" ht="18" customHeight="1" x14ac:dyDescent="0.25">
      <c r="A913" s="335"/>
      <c r="B913" s="203">
        <v>85</v>
      </c>
      <c r="C913" s="461"/>
      <c r="D913" s="808" t="s">
        <v>2802</v>
      </c>
      <c r="E913" s="336"/>
      <c r="F913" s="151"/>
      <c r="K913" s="201"/>
      <c r="M913" s="151"/>
      <c r="R913" s="154"/>
      <c r="S913" s="154"/>
      <c r="T913" s="154"/>
    </row>
    <row r="914" spans="1:20" s="149" customFormat="1" ht="18" customHeight="1" x14ac:dyDescent="0.25">
      <c r="A914" s="335"/>
      <c r="B914" s="203">
        <v>75</v>
      </c>
      <c r="C914" s="461"/>
      <c r="D914" s="808" t="s">
        <v>2803</v>
      </c>
      <c r="E914" s="336"/>
      <c r="F914" s="151"/>
      <c r="K914" s="201"/>
      <c r="M914" s="151"/>
      <c r="R914" s="154"/>
      <c r="S914" s="154"/>
      <c r="T914" s="154"/>
    </row>
    <row r="915" spans="1:20" s="149" customFormat="1" ht="18" customHeight="1" x14ac:dyDescent="0.25">
      <c r="A915" s="335"/>
      <c r="B915" s="203">
        <v>145</v>
      </c>
      <c r="C915" s="461"/>
      <c r="D915" s="808" t="s">
        <v>2804</v>
      </c>
      <c r="E915" s="336"/>
      <c r="F915" s="151"/>
      <c r="K915" s="201"/>
      <c r="M915" s="151"/>
      <c r="R915" s="154"/>
      <c r="S915" s="154"/>
      <c r="T915" s="154"/>
    </row>
    <row r="916" spans="1:20" s="149" customFormat="1" ht="18" customHeight="1" x14ac:dyDescent="0.25">
      <c r="A916" s="335"/>
      <c r="B916" s="203">
        <v>105</v>
      </c>
      <c r="C916" s="461"/>
      <c r="D916" s="808" t="s">
        <v>2805</v>
      </c>
      <c r="E916" s="336"/>
      <c r="F916" s="151"/>
      <c r="K916" s="201"/>
      <c r="M916" s="151"/>
      <c r="R916" s="154"/>
      <c r="S916" s="154"/>
      <c r="T916" s="154"/>
    </row>
    <row r="917" spans="1:20" s="149" customFormat="1" ht="18" customHeight="1" x14ac:dyDescent="0.25">
      <c r="A917" s="335"/>
      <c r="B917" s="203">
        <v>85</v>
      </c>
      <c r="C917" s="461"/>
      <c r="D917" s="808" t="s">
        <v>2806</v>
      </c>
      <c r="E917" s="336"/>
      <c r="F917" s="151"/>
      <c r="K917" s="201"/>
      <c r="M917" s="151"/>
      <c r="R917" s="154"/>
      <c r="S917" s="154"/>
      <c r="T917" s="154"/>
    </row>
    <row r="918" spans="1:20" s="149" customFormat="1" ht="18" customHeight="1" x14ac:dyDescent="0.25">
      <c r="A918" s="335"/>
      <c r="B918" s="203">
        <v>40</v>
      </c>
      <c r="C918" s="461"/>
      <c r="D918" s="808" t="s">
        <v>2807</v>
      </c>
      <c r="E918" s="336"/>
      <c r="F918" s="151"/>
      <c r="K918" s="201"/>
      <c r="M918" s="151"/>
      <c r="R918" s="154"/>
      <c r="S918" s="154"/>
      <c r="T918" s="154"/>
    </row>
    <row r="919" spans="1:20" s="149" customFormat="1" ht="18" customHeight="1" thickBot="1" x14ac:dyDescent="0.3">
      <c r="A919" s="335"/>
      <c r="B919" s="203">
        <v>85</v>
      </c>
      <c r="C919" s="461"/>
      <c r="D919" s="808" t="s">
        <v>2808</v>
      </c>
      <c r="E919" s="336"/>
      <c r="F919" s="151"/>
      <c r="K919" s="201"/>
      <c r="M919" s="151"/>
      <c r="R919" s="154"/>
      <c r="S919" s="154"/>
      <c r="T919" s="154"/>
    </row>
    <row r="920" spans="1:20" s="149" customFormat="1" ht="18" customHeight="1" thickBot="1" x14ac:dyDescent="0.3">
      <c r="A920" s="335"/>
      <c r="B920" s="398">
        <f>SUM(B908:B919)</f>
        <v>1115</v>
      </c>
      <c r="C920" s="461"/>
      <c r="E920" s="463"/>
      <c r="F920" s="352"/>
      <c r="G920" s="350"/>
      <c r="H920" s="350"/>
      <c r="I920" s="350"/>
      <c r="J920" s="350"/>
      <c r="K920" s="351"/>
      <c r="L920" s="350"/>
      <c r="M920" s="352"/>
      <c r="N920" s="350"/>
      <c r="O920" s="350"/>
      <c r="P920" s="353"/>
      <c r="R920" s="154"/>
      <c r="S920" s="154"/>
      <c r="T920" s="154"/>
    </row>
    <row r="921" spans="1:20" s="149" customFormat="1" ht="18" customHeight="1" x14ac:dyDescent="0.25">
      <c r="A921" s="335"/>
      <c r="B921" s="203"/>
      <c r="C921" s="461"/>
      <c r="D921" s="597"/>
      <c r="E921" s="336"/>
      <c r="F921" s="151"/>
      <c r="K921" s="201"/>
      <c r="M921" s="151"/>
      <c r="R921" s="154"/>
      <c r="S921" s="154"/>
      <c r="T921" s="154"/>
    </row>
    <row r="922" spans="1:20" s="149" customFormat="1" ht="18" customHeight="1" x14ac:dyDescent="0.25">
      <c r="A922" s="335">
        <v>45458</v>
      </c>
      <c r="B922" s="203">
        <v>180</v>
      </c>
      <c r="C922" s="461"/>
      <c r="D922" s="808" t="s">
        <v>2817</v>
      </c>
      <c r="E922" s="336"/>
      <c r="F922" s="151"/>
      <c r="K922" s="201"/>
      <c r="M922" s="151"/>
      <c r="R922" s="154"/>
      <c r="S922" s="154"/>
      <c r="T922" s="154"/>
    </row>
    <row r="923" spans="1:20" s="149" customFormat="1" ht="18" customHeight="1" x14ac:dyDescent="0.25">
      <c r="A923" s="335"/>
      <c r="B923" s="203"/>
      <c r="C923" s="461">
        <v>95</v>
      </c>
      <c r="D923" s="808" t="s">
        <v>2818</v>
      </c>
      <c r="E923" s="336"/>
      <c r="F923" s="151"/>
      <c r="K923" s="201"/>
      <c r="M923" s="151"/>
      <c r="R923" s="154"/>
      <c r="S923" s="154"/>
      <c r="T923" s="154"/>
    </row>
    <row r="924" spans="1:20" s="149" customFormat="1" ht="18" customHeight="1" x14ac:dyDescent="0.25">
      <c r="A924" s="335"/>
      <c r="B924" s="203">
        <v>100</v>
      </c>
      <c r="C924" s="461"/>
      <c r="D924" s="808" t="s">
        <v>2277</v>
      </c>
      <c r="E924" s="336"/>
      <c r="F924" s="151"/>
      <c r="K924" s="201"/>
      <c r="M924" s="151"/>
      <c r="R924" s="154"/>
      <c r="S924" s="154"/>
      <c r="T924" s="154"/>
    </row>
    <row r="925" spans="1:20" s="149" customFormat="1" ht="18" customHeight="1" x14ac:dyDescent="0.25">
      <c r="A925" s="335"/>
      <c r="B925" s="203">
        <v>35</v>
      </c>
      <c r="C925" s="461"/>
      <c r="D925" s="808" t="s">
        <v>2819</v>
      </c>
      <c r="E925" s="336"/>
      <c r="F925" s="151"/>
      <c r="K925" s="201"/>
      <c r="M925" s="151"/>
      <c r="R925" s="154"/>
      <c r="S925" s="154"/>
      <c r="T925" s="154"/>
    </row>
    <row r="926" spans="1:20" s="149" customFormat="1" ht="18" customHeight="1" x14ac:dyDescent="0.25">
      <c r="A926" s="335"/>
      <c r="B926" s="203">
        <v>110</v>
      </c>
      <c r="C926" s="461"/>
      <c r="D926" s="808" t="s">
        <v>2820</v>
      </c>
      <c r="E926" s="336"/>
      <c r="F926" s="151"/>
      <c r="K926" s="201"/>
      <c r="M926" s="151"/>
      <c r="R926" s="154"/>
      <c r="S926" s="154"/>
      <c r="T926" s="154"/>
    </row>
    <row r="927" spans="1:20" s="149" customFormat="1" ht="18" customHeight="1" x14ac:dyDescent="0.25">
      <c r="A927" s="335"/>
      <c r="B927" s="203">
        <v>75</v>
      </c>
      <c r="C927" s="461"/>
      <c r="D927" s="808" t="s">
        <v>2821</v>
      </c>
      <c r="E927" s="336"/>
      <c r="F927" s="151"/>
      <c r="K927" s="201"/>
      <c r="M927" s="151"/>
      <c r="R927" s="154"/>
      <c r="S927" s="154"/>
      <c r="T927" s="154"/>
    </row>
    <row r="928" spans="1:20" s="149" customFormat="1" ht="18" customHeight="1" x14ac:dyDescent="0.25">
      <c r="A928" s="335"/>
      <c r="B928" s="203">
        <v>110</v>
      </c>
      <c r="C928" s="461"/>
      <c r="D928" s="808" t="s">
        <v>2822</v>
      </c>
      <c r="E928" s="336"/>
      <c r="F928" s="151"/>
      <c r="K928" s="201"/>
      <c r="M928" s="151"/>
      <c r="R928" s="154"/>
      <c r="S928" s="154"/>
      <c r="T928" s="154"/>
    </row>
    <row r="929" spans="1:20" s="149" customFormat="1" ht="18" customHeight="1" x14ac:dyDescent="0.25">
      <c r="A929" s="335"/>
      <c r="B929" s="203">
        <v>120</v>
      </c>
      <c r="C929" s="461"/>
      <c r="D929" s="808" t="s">
        <v>2823</v>
      </c>
      <c r="E929" s="336"/>
      <c r="F929" s="151"/>
      <c r="K929" s="201"/>
      <c r="M929" s="151"/>
      <c r="R929" s="154"/>
      <c r="S929" s="154"/>
      <c r="T929" s="154"/>
    </row>
    <row r="930" spans="1:20" s="149" customFormat="1" ht="18" customHeight="1" x14ac:dyDescent="0.25">
      <c r="A930" s="335"/>
      <c r="B930" s="203">
        <v>120</v>
      </c>
      <c r="C930" s="461"/>
      <c r="D930" s="808" t="s">
        <v>2824</v>
      </c>
      <c r="E930" s="336"/>
      <c r="F930" s="151"/>
      <c r="K930" s="201"/>
      <c r="M930" s="151"/>
      <c r="R930" s="154"/>
      <c r="S930" s="154"/>
      <c r="T930" s="154"/>
    </row>
    <row r="931" spans="1:20" s="149" customFormat="1" ht="18" customHeight="1" x14ac:dyDescent="0.25">
      <c r="A931" s="335"/>
      <c r="B931" s="203"/>
      <c r="C931" s="461"/>
      <c r="D931" s="821" t="s">
        <v>2825</v>
      </c>
      <c r="E931" s="336"/>
      <c r="F931" s="151"/>
      <c r="K931" s="201"/>
      <c r="M931" s="151"/>
      <c r="R931" s="154"/>
      <c r="S931" s="154"/>
      <c r="T931" s="154"/>
    </row>
    <row r="932" spans="1:20" s="149" customFormat="1" ht="18" customHeight="1" thickBot="1" x14ac:dyDescent="0.3">
      <c r="A932" s="335"/>
      <c r="B932" s="203">
        <v>150</v>
      </c>
      <c r="C932" s="461"/>
      <c r="D932" s="808" t="s">
        <v>2826</v>
      </c>
      <c r="E932" s="336"/>
      <c r="F932" s="151"/>
      <c r="K932" s="201"/>
      <c r="M932" s="151"/>
      <c r="R932" s="154"/>
      <c r="S932" s="154"/>
      <c r="T932" s="154"/>
    </row>
    <row r="933" spans="1:20" s="149" customFormat="1" ht="18" customHeight="1" thickBot="1" x14ac:dyDescent="0.3">
      <c r="A933" s="335"/>
      <c r="B933" s="398">
        <f>SUM(B922:B932)</f>
        <v>1000</v>
      </c>
      <c r="C933" s="461"/>
      <c r="D933" s="597"/>
      <c r="E933" s="463"/>
      <c r="F933" s="352"/>
      <c r="G933" s="350"/>
      <c r="H933" s="350"/>
      <c r="I933" s="350"/>
      <c r="J933" s="350"/>
      <c r="K933" s="351"/>
      <c r="L933" s="350"/>
      <c r="M933" s="352"/>
      <c r="N933" s="350"/>
      <c r="O933" s="350"/>
      <c r="P933" s="353"/>
      <c r="R933" s="154"/>
      <c r="S933" s="154"/>
      <c r="T933" s="154"/>
    </row>
    <row r="934" spans="1:20" s="149" customFormat="1" ht="18" customHeight="1" x14ac:dyDescent="0.25">
      <c r="A934" s="335"/>
      <c r="B934" s="203"/>
      <c r="C934" s="461"/>
      <c r="D934" s="597"/>
      <c r="E934" s="336"/>
      <c r="F934" s="151"/>
      <c r="K934" s="201"/>
      <c r="M934" s="151"/>
      <c r="R934" s="154"/>
      <c r="S934" s="154"/>
      <c r="T934" s="154"/>
    </row>
    <row r="935" spans="1:20" s="149" customFormat="1" ht="18" customHeight="1" x14ac:dyDescent="0.25">
      <c r="A935" s="335">
        <v>45460</v>
      </c>
      <c r="B935" s="203">
        <v>90</v>
      </c>
      <c r="C935" s="461"/>
      <c r="D935" s="708" t="s">
        <v>2829</v>
      </c>
      <c r="E935" s="336"/>
      <c r="F935" s="151"/>
      <c r="K935" s="201"/>
      <c r="M935" s="151"/>
      <c r="R935" s="154"/>
      <c r="S935" s="154"/>
      <c r="T935" s="154"/>
    </row>
    <row r="936" spans="1:20" s="149" customFormat="1" ht="18" customHeight="1" x14ac:dyDescent="0.25">
      <c r="A936" s="335"/>
      <c r="B936" s="203">
        <v>50</v>
      </c>
      <c r="C936" s="461"/>
      <c r="D936" s="808" t="s">
        <v>1966</v>
      </c>
      <c r="E936" s="336"/>
      <c r="F936" s="151"/>
      <c r="K936" s="201"/>
      <c r="M936" s="151"/>
      <c r="R936" s="154"/>
      <c r="S936" s="154"/>
      <c r="T936" s="154"/>
    </row>
    <row r="937" spans="1:20" s="149" customFormat="1" ht="18" customHeight="1" x14ac:dyDescent="0.25">
      <c r="A937" s="335"/>
      <c r="B937" s="203">
        <v>85</v>
      </c>
      <c r="C937" s="461"/>
      <c r="D937" s="808" t="s">
        <v>2833</v>
      </c>
      <c r="E937" s="336"/>
      <c r="F937" s="151"/>
      <c r="K937" s="201"/>
      <c r="M937" s="151"/>
      <c r="R937" s="154"/>
      <c r="S937" s="154"/>
      <c r="T937" s="154"/>
    </row>
    <row r="938" spans="1:20" s="149" customFormat="1" ht="18" customHeight="1" thickBot="1" x14ac:dyDescent="0.3">
      <c r="A938" s="335"/>
      <c r="B938" s="203">
        <v>45</v>
      </c>
      <c r="C938" s="461"/>
      <c r="D938" s="808" t="s">
        <v>2834</v>
      </c>
      <c r="E938" s="336"/>
      <c r="F938" s="151"/>
      <c r="K938" s="201"/>
      <c r="M938" s="151"/>
      <c r="R938" s="154"/>
      <c r="S938" s="154"/>
      <c r="T938" s="154"/>
    </row>
    <row r="939" spans="1:20" s="149" customFormat="1" ht="18" customHeight="1" thickBot="1" x14ac:dyDescent="0.3">
      <c r="A939" s="335"/>
      <c r="B939" s="398">
        <f>SUM(B935:B938)</f>
        <v>270</v>
      </c>
      <c r="C939" s="461"/>
      <c r="D939" s="597"/>
      <c r="E939" s="463"/>
      <c r="F939" s="352"/>
      <c r="G939" s="350"/>
      <c r="H939" s="350"/>
      <c r="I939" s="350"/>
      <c r="J939" s="350"/>
      <c r="K939" s="351"/>
      <c r="L939" s="350"/>
      <c r="M939" s="352"/>
      <c r="N939" s="350"/>
      <c r="O939" s="350"/>
      <c r="P939" s="353"/>
      <c r="R939" s="154"/>
      <c r="S939" s="154"/>
      <c r="T939" s="154"/>
    </row>
    <row r="940" spans="1:20" s="149" customFormat="1" ht="18" customHeight="1" x14ac:dyDescent="0.25">
      <c r="A940" s="335"/>
      <c r="B940" s="203"/>
      <c r="C940" s="461"/>
      <c r="D940" s="597"/>
      <c r="E940" s="336"/>
      <c r="F940" s="151"/>
      <c r="K940" s="201"/>
      <c r="M940" s="151"/>
      <c r="R940" s="154"/>
      <c r="S940" s="154"/>
      <c r="T940" s="154"/>
    </row>
    <row r="941" spans="1:20" s="149" customFormat="1" ht="18" customHeight="1" x14ac:dyDescent="0.25">
      <c r="A941" s="335">
        <v>45461</v>
      </c>
      <c r="B941" s="203">
        <v>90</v>
      </c>
      <c r="C941" s="461"/>
      <c r="D941" s="808" t="s">
        <v>2835</v>
      </c>
      <c r="E941" s="336"/>
      <c r="F941" s="151"/>
      <c r="K941" s="201"/>
      <c r="M941" s="151"/>
      <c r="R941" s="154"/>
      <c r="S941" s="154"/>
      <c r="T941" s="154"/>
    </row>
    <row r="942" spans="1:20" s="149" customFormat="1" ht="18" customHeight="1" x14ac:dyDescent="0.25">
      <c r="A942" s="335"/>
      <c r="B942" s="203">
        <v>65</v>
      </c>
      <c r="C942" s="461"/>
      <c r="D942" s="808" t="s">
        <v>2836</v>
      </c>
      <c r="E942" s="336"/>
      <c r="F942" s="151"/>
      <c r="K942" s="201"/>
      <c r="M942" s="151"/>
      <c r="R942" s="154"/>
      <c r="S942" s="154"/>
      <c r="T942" s="154"/>
    </row>
    <row r="943" spans="1:20" s="149" customFormat="1" ht="18" customHeight="1" thickBot="1" x14ac:dyDescent="0.3">
      <c r="A943" s="335"/>
      <c r="B943" s="203">
        <v>80</v>
      </c>
      <c r="C943" s="461"/>
      <c r="D943" s="808" t="s">
        <v>2837</v>
      </c>
      <c r="E943" s="336"/>
      <c r="F943" s="151"/>
      <c r="K943" s="201"/>
      <c r="M943" s="151"/>
      <c r="R943" s="154"/>
      <c r="S943" s="154"/>
      <c r="T943" s="154"/>
    </row>
    <row r="944" spans="1:20" s="149" customFormat="1" ht="18" customHeight="1" thickBot="1" x14ac:dyDescent="0.3">
      <c r="A944" s="335"/>
      <c r="B944" s="398">
        <f>SUM(B941:B943)</f>
        <v>235</v>
      </c>
      <c r="C944" s="461"/>
      <c r="D944" s="597"/>
      <c r="E944" s="463"/>
      <c r="F944" s="352"/>
      <c r="G944" s="350"/>
      <c r="H944" s="350"/>
      <c r="I944" s="350"/>
      <c r="J944" s="350"/>
      <c r="K944" s="351"/>
      <c r="L944" s="350"/>
      <c r="M944" s="352"/>
      <c r="N944" s="350"/>
      <c r="O944" s="350"/>
      <c r="P944" s="353"/>
      <c r="R944" s="154"/>
      <c r="S944" s="154"/>
      <c r="T944" s="154"/>
    </row>
    <row r="945" spans="1:20" s="149" customFormat="1" ht="18" customHeight="1" x14ac:dyDescent="0.25">
      <c r="A945" s="335"/>
      <c r="B945" s="203"/>
      <c r="C945" s="461"/>
      <c r="D945" s="597"/>
      <c r="E945" s="336"/>
      <c r="F945" s="151"/>
      <c r="K945" s="201"/>
      <c r="M945" s="151"/>
      <c r="R945" s="154"/>
      <c r="S945" s="154"/>
      <c r="T945" s="154"/>
    </row>
    <row r="946" spans="1:20" s="149" customFormat="1" ht="18" customHeight="1" x14ac:dyDescent="0.25">
      <c r="A946" s="335">
        <v>45462</v>
      </c>
      <c r="B946" s="203">
        <v>50</v>
      </c>
      <c r="C946" s="461"/>
      <c r="D946" s="808" t="s">
        <v>2841</v>
      </c>
      <c r="E946" s="336"/>
      <c r="F946" s="151"/>
      <c r="K946" s="201"/>
      <c r="M946" s="151"/>
      <c r="R946" s="154"/>
      <c r="S946" s="154"/>
      <c r="T946" s="154"/>
    </row>
    <row r="947" spans="1:20" s="149" customFormat="1" ht="18" customHeight="1" x14ac:dyDescent="0.25">
      <c r="A947" s="335"/>
      <c r="B947" s="203">
        <v>10</v>
      </c>
      <c r="C947" s="461"/>
      <c r="D947" s="808" t="s">
        <v>2842</v>
      </c>
      <c r="E947" s="336"/>
      <c r="F947" s="151"/>
      <c r="K947" s="201"/>
      <c r="M947" s="151"/>
      <c r="R947" s="154"/>
      <c r="S947" s="154"/>
      <c r="T947" s="154"/>
    </row>
    <row r="948" spans="1:20" s="149" customFormat="1" ht="18" customHeight="1" thickBot="1" x14ac:dyDescent="0.3">
      <c r="A948" s="335"/>
      <c r="B948" s="203">
        <v>20</v>
      </c>
      <c r="C948" s="461"/>
      <c r="D948" s="808" t="s">
        <v>2843</v>
      </c>
      <c r="E948" s="336"/>
      <c r="F948" s="151"/>
      <c r="K948" s="201"/>
      <c r="M948" s="151"/>
      <c r="R948" s="154"/>
      <c r="S948" s="154"/>
      <c r="T948" s="154"/>
    </row>
    <row r="949" spans="1:20" s="149" customFormat="1" ht="18" customHeight="1" thickBot="1" x14ac:dyDescent="0.3">
      <c r="A949" s="335"/>
      <c r="B949" s="398">
        <f>SUM(B946:B948)</f>
        <v>80</v>
      </c>
      <c r="C949" s="461"/>
      <c r="D949" s="597"/>
      <c r="E949" s="463"/>
      <c r="F949" s="352"/>
      <c r="G949" s="350"/>
      <c r="H949" s="350"/>
      <c r="I949" s="350"/>
      <c r="J949" s="350"/>
      <c r="K949" s="351"/>
      <c r="L949" s="350"/>
      <c r="M949" s="352"/>
      <c r="N949" s="350"/>
      <c r="O949" s="350"/>
      <c r="P949" s="353"/>
      <c r="R949" s="154"/>
      <c r="S949" s="154"/>
      <c r="T949" s="154"/>
    </row>
    <row r="950" spans="1:20" s="149" customFormat="1" ht="18" customHeight="1" x14ac:dyDescent="0.25">
      <c r="A950" s="335"/>
      <c r="B950" s="203"/>
      <c r="C950" s="461"/>
      <c r="D950" s="597"/>
      <c r="E950" s="336"/>
      <c r="F950" s="151"/>
      <c r="K950" s="201"/>
      <c r="M950" s="151"/>
      <c r="R950" s="154"/>
      <c r="S950" s="154"/>
      <c r="T950" s="154"/>
    </row>
    <row r="951" spans="1:20" s="149" customFormat="1" ht="18" customHeight="1" x14ac:dyDescent="0.25">
      <c r="A951" s="335">
        <v>45463</v>
      </c>
      <c r="B951" s="203">
        <v>300</v>
      </c>
      <c r="C951" s="461"/>
      <c r="D951" s="808" t="s">
        <v>2844</v>
      </c>
      <c r="E951" s="336"/>
      <c r="F951" s="151"/>
      <c r="K951" s="201"/>
      <c r="M951" s="151"/>
      <c r="R951" s="154"/>
      <c r="S951" s="154"/>
      <c r="T951" s="154"/>
    </row>
    <row r="952" spans="1:20" s="149" customFormat="1" ht="18" customHeight="1" thickBot="1" x14ac:dyDescent="0.3">
      <c r="A952" s="335"/>
      <c r="B952" s="203">
        <v>100</v>
      </c>
      <c r="C952" s="461"/>
      <c r="D952" s="808" t="s">
        <v>2845</v>
      </c>
      <c r="E952" s="336"/>
      <c r="F952" s="151"/>
      <c r="K952" s="201"/>
      <c r="M952" s="151"/>
      <c r="R952" s="154"/>
      <c r="S952" s="154"/>
      <c r="T952" s="154"/>
    </row>
    <row r="953" spans="1:20" s="149" customFormat="1" ht="18" customHeight="1" thickBot="1" x14ac:dyDescent="0.3">
      <c r="A953" s="335"/>
      <c r="B953" s="398">
        <f>SUM(B951:B952)</f>
        <v>400</v>
      </c>
      <c r="C953" s="461"/>
      <c r="D953" s="597"/>
      <c r="E953" s="463"/>
      <c r="F953" s="352"/>
      <c r="G953" s="350"/>
      <c r="H953" s="350"/>
      <c r="I953" s="350"/>
      <c r="J953" s="350"/>
      <c r="K953" s="351"/>
      <c r="L953" s="350"/>
      <c r="M953" s="352"/>
      <c r="N953" s="350"/>
      <c r="O953" s="350"/>
      <c r="P953" s="353"/>
      <c r="R953" s="154"/>
      <c r="S953" s="154"/>
      <c r="T953" s="154"/>
    </row>
    <row r="954" spans="1:20" s="149" customFormat="1" ht="18" customHeight="1" x14ac:dyDescent="0.25">
      <c r="A954" s="335"/>
      <c r="B954" s="203"/>
      <c r="C954" s="461"/>
      <c r="D954" s="597"/>
      <c r="E954" s="336"/>
      <c r="F954" s="151"/>
      <c r="K954" s="201"/>
      <c r="M954" s="151"/>
      <c r="R954" s="154"/>
      <c r="S954" s="154"/>
      <c r="T954" s="154"/>
    </row>
    <row r="955" spans="1:20" s="149" customFormat="1" ht="18" customHeight="1" x14ac:dyDescent="0.25">
      <c r="A955" s="335">
        <v>45464</v>
      </c>
      <c r="B955" s="203">
        <v>25</v>
      </c>
      <c r="C955" s="461"/>
      <c r="D955" s="808" t="s">
        <v>2851</v>
      </c>
      <c r="E955" s="336"/>
      <c r="F955" s="151"/>
      <c r="K955" s="201"/>
      <c r="M955" s="151"/>
      <c r="R955" s="154"/>
      <c r="S955" s="154"/>
      <c r="T955" s="154"/>
    </row>
    <row r="956" spans="1:20" s="149" customFormat="1" ht="18" customHeight="1" x14ac:dyDescent="0.25">
      <c r="A956" s="335"/>
      <c r="B956" s="203">
        <v>5</v>
      </c>
      <c r="C956" s="461"/>
      <c r="D956" s="808" t="s">
        <v>2852</v>
      </c>
      <c r="E956" s="336"/>
      <c r="F956" s="151"/>
      <c r="K956" s="201"/>
      <c r="M956" s="151"/>
      <c r="R956" s="154"/>
      <c r="S956" s="154"/>
      <c r="T956" s="154"/>
    </row>
    <row r="957" spans="1:20" s="149" customFormat="1" ht="18" customHeight="1" x14ac:dyDescent="0.25">
      <c r="A957" s="335"/>
      <c r="B957" s="203">
        <v>150</v>
      </c>
      <c r="C957" s="461"/>
      <c r="D957" s="708" t="s">
        <v>2853</v>
      </c>
      <c r="E957" s="336"/>
      <c r="F957" s="151"/>
      <c r="K957" s="201"/>
      <c r="M957" s="151"/>
      <c r="R957" s="154"/>
      <c r="S957" s="154"/>
      <c r="T957" s="154"/>
    </row>
    <row r="958" spans="1:20" s="149" customFormat="1" ht="18" customHeight="1" thickBot="1" x14ac:dyDescent="0.3">
      <c r="A958" s="335"/>
      <c r="B958" s="203"/>
      <c r="C958" s="461"/>
      <c r="D958" s="597"/>
      <c r="E958" s="336"/>
      <c r="F958" s="151"/>
      <c r="K958" s="201"/>
      <c r="M958" s="151"/>
      <c r="R958" s="154"/>
      <c r="S958" s="154"/>
      <c r="T958" s="154"/>
    </row>
    <row r="959" spans="1:20" s="149" customFormat="1" ht="18" customHeight="1" thickBot="1" x14ac:dyDescent="0.3">
      <c r="A959" s="335"/>
      <c r="B959" s="398">
        <f>SUM(B955:B958)</f>
        <v>180</v>
      </c>
      <c r="C959" s="461"/>
      <c r="D959" s="597"/>
      <c r="E959" s="463"/>
      <c r="F959" s="352"/>
      <c r="G959" s="350"/>
      <c r="H959" s="350"/>
      <c r="I959" s="350"/>
      <c r="J959" s="350"/>
      <c r="K959" s="351"/>
      <c r="L959" s="350"/>
      <c r="M959" s="352"/>
      <c r="N959" s="350"/>
      <c r="O959" s="350"/>
      <c r="P959" s="353"/>
      <c r="R959" s="154"/>
      <c r="S959" s="154"/>
      <c r="T959" s="154"/>
    </row>
    <row r="960" spans="1:20" s="149" customFormat="1" ht="18" customHeight="1" x14ac:dyDescent="0.25">
      <c r="A960" s="335"/>
      <c r="B960" s="203"/>
      <c r="C960" s="461"/>
      <c r="D960" s="597"/>
      <c r="E960" s="336"/>
      <c r="F960" s="151"/>
      <c r="K960" s="201"/>
      <c r="M960" s="151"/>
      <c r="R960" s="154"/>
      <c r="S960" s="154"/>
      <c r="T960" s="154"/>
    </row>
    <row r="961" spans="1:20" s="149" customFormat="1" ht="18" customHeight="1" x14ac:dyDescent="0.25">
      <c r="A961" s="335">
        <v>45465</v>
      </c>
      <c r="B961" s="203">
        <v>20</v>
      </c>
      <c r="C961" s="461"/>
      <c r="D961" s="808" t="s">
        <v>1910</v>
      </c>
      <c r="E961" s="336"/>
      <c r="F961" s="151"/>
      <c r="K961" s="201"/>
      <c r="M961" s="151"/>
      <c r="R961" s="154"/>
      <c r="S961" s="154"/>
      <c r="T961" s="154"/>
    </row>
    <row r="962" spans="1:20" s="149" customFormat="1" ht="18" customHeight="1" x14ac:dyDescent="0.25">
      <c r="A962" s="335"/>
      <c r="B962" s="203"/>
      <c r="C962" s="461"/>
      <c r="D962" s="597" t="s">
        <v>2857</v>
      </c>
      <c r="E962" s="336" t="s">
        <v>2899</v>
      </c>
      <c r="F962" s="151"/>
      <c r="K962" s="201"/>
      <c r="M962" s="151"/>
      <c r="R962" s="154"/>
      <c r="S962" s="154"/>
      <c r="T962" s="154"/>
    </row>
    <row r="963" spans="1:20" s="149" customFormat="1" ht="18" customHeight="1" x14ac:dyDescent="0.25">
      <c r="A963" s="335"/>
      <c r="B963" s="203">
        <v>35</v>
      </c>
      <c r="C963" s="461"/>
      <c r="D963" s="808" t="s">
        <v>2858</v>
      </c>
      <c r="E963" s="336"/>
      <c r="F963" s="151"/>
      <c r="K963" s="201"/>
      <c r="M963" s="151"/>
      <c r="R963" s="154"/>
      <c r="S963" s="154"/>
      <c r="T963" s="154"/>
    </row>
    <row r="964" spans="1:20" s="149" customFormat="1" ht="18" customHeight="1" x14ac:dyDescent="0.25">
      <c r="A964" s="335"/>
      <c r="B964" s="203">
        <v>12</v>
      </c>
      <c r="C964" s="461"/>
      <c r="D964" s="808" t="s">
        <v>2859</v>
      </c>
      <c r="E964" s="336"/>
      <c r="F964" s="151"/>
      <c r="K964" s="201"/>
      <c r="M964" s="151"/>
      <c r="R964" s="154"/>
      <c r="S964" s="154"/>
      <c r="T964" s="154"/>
    </row>
    <row r="965" spans="1:20" s="149" customFormat="1" ht="18" customHeight="1" x14ac:dyDescent="0.25">
      <c r="A965" s="335"/>
      <c r="B965" s="203">
        <v>55</v>
      </c>
      <c r="C965" s="461"/>
      <c r="D965" s="808" t="s">
        <v>2860</v>
      </c>
      <c r="E965" s="336"/>
      <c r="F965" s="151"/>
      <c r="K965" s="201"/>
      <c r="M965" s="151"/>
      <c r="R965" s="154"/>
      <c r="S965" s="154"/>
      <c r="T965" s="154"/>
    </row>
    <row r="966" spans="1:20" s="149" customFormat="1" ht="18" customHeight="1" x14ac:dyDescent="0.25">
      <c r="A966" s="335"/>
      <c r="B966" s="203">
        <v>80</v>
      </c>
      <c r="C966" s="461"/>
      <c r="D966" s="808" t="s">
        <v>2861</v>
      </c>
      <c r="E966" s="336"/>
      <c r="F966" s="336"/>
      <c r="K966" s="201"/>
      <c r="M966" s="151"/>
      <c r="R966" s="154"/>
      <c r="S966" s="154"/>
      <c r="T966" s="154"/>
    </row>
    <row r="967" spans="1:20" s="149" customFormat="1" ht="18" customHeight="1" thickBot="1" x14ac:dyDescent="0.3">
      <c r="A967" s="335"/>
      <c r="B967" s="203">
        <v>70</v>
      </c>
      <c r="C967" s="461"/>
      <c r="D967" s="808" t="s">
        <v>2862</v>
      </c>
      <c r="E967" s="336"/>
      <c r="F967" s="151"/>
      <c r="K967" s="201"/>
      <c r="M967" s="151"/>
      <c r="R967" s="154"/>
      <c r="S967" s="154"/>
      <c r="T967" s="154"/>
    </row>
    <row r="968" spans="1:20" s="149" customFormat="1" ht="18" customHeight="1" thickBot="1" x14ac:dyDescent="0.3">
      <c r="A968" s="335"/>
      <c r="B968" s="398">
        <f>SUM(B961:B967)</f>
        <v>272</v>
      </c>
      <c r="C968" s="461"/>
      <c r="D968" s="597"/>
      <c r="E968" s="463"/>
      <c r="F968" s="352"/>
      <c r="G968" s="350"/>
      <c r="H968" s="350"/>
      <c r="I968" s="350"/>
      <c r="J968" s="350"/>
      <c r="K968" s="351"/>
      <c r="L968" s="350"/>
      <c r="M968" s="352"/>
      <c r="N968" s="350"/>
      <c r="O968" s="350"/>
      <c r="P968" s="353"/>
      <c r="R968" s="154"/>
      <c r="S968" s="154"/>
      <c r="T968" s="154"/>
    </row>
    <row r="969" spans="1:20" s="149" customFormat="1" ht="18" customHeight="1" x14ac:dyDescent="0.25">
      <c r="A969" s="335"/>
      <c r="B969" s="203"/>
      <c r="C969" s="461"/>
      <c r="D969" s="597"/>
      <c r="E969" s="336"/>
      <c r="F969" s="151"/>
      <c r="K969" s="201"/>
      <c r="M969" s="151"/>
      <c r="R969" s="154"/>
      <c r="S969" s="154"/>
      <c r="T969" s="154"/>
    </row>
    <row r="970" spans="1:20" s="149" customFormat="1" ht="18" customHeight="1" x14ac:dyDescent="0.25">
      <c r="A970" s="335">
        <v>45467</v>
      </c>
      <c r="B970" s="203">
        <v>20</v>
      </c>
      <c r="C970" s="461"/>
      <c r="D970" s="808" t="s">
        <v>2863</v>
      </c>
      <c r="E970" s="336"/>
      <c r="F970" s="151"/>
      <c r="K970" s="201"/>
      <c r="M970" s="151"/>
      <c r="R970" s="154"/>
      <c r="S970" s="154"/>
      <c r="T970" s="154"/>
    </row>
    <row r="971" spans="1:20" s="149" customFormat="1" ht="18" customHeight="1" x14ac:dyDescent="0.25">
      <c r="A971" s="335"/>
      <c r="B971" s="203"/>
      <c r="C971" s="461">
        <v>25</v>
      </c>
      <c r="D971" s="808" t="s">
        <v>2864</v>
      </c>
      <c r="E971" s="336"/>
      <c r="F971" s="151"/>
      <c r="K971" s="201"/>
      <c r="M971" s="151"/>
      <c r="R971" s="154"/>
      <c r="S971" s="154"/>
      <c r="T971" s="154"/>
    </row>
    <row r="972" spans="1:20" s="149" customFormat="1" ht="18" customHeight="1" x14ac:dyDescent="0.25">
      <c r="A972" s="335"/>
      <c r="B972" s="203" t="s">
        <v>66</v>
      </c>
      <c r="C972" s="461">
        <v>110</v>
      </c>
      <c r="D972" s="808" t="s">
        <v>2865</v>
      </c>
      <c r="E972" s="336"/>
      <c r="F972" s="151"/>
      <c r="K972" s="201"/>
      <c r="M972" s="151"/>
      <c r="R972" s="154"/>
      <c r="S972" s="154"/>
      <c r="T972" s="154"/>
    </row>
    <row r="973" spans="1:20" s="149" customFormat="1" ht="18" customHeight="1" x14ac:dyDescent="0.25">
      <c r="A973" s="335"/>
      <c r="B973" s="203"/>
      <c r="C973" s="461">
        <v>150</v>
      </c>
      <c r="D973" s="808" t="s">
        <v>2866</v>
      </c>
      <c r="E973" s="336"/>
      <c r="F973" s="151"/>
      <c r="K973" s="201"/>
      <c r="M973" s="151"/>
      <c r="R973" s="154"/>
      <c r="S973" s="154"/>
      <c r="T973" s="154"/>
    </row>
    <row r="974" spans="1:20" s="149" customFormat="1" ht="18" customHeight="1" x14ac:dyDescent="0.25">
      <c r="A974" s="335"/>
      <c r="B974" s="203">
        <v>180</v>
      </c>
      <c r="C974" s="461"/>
      <c r="D974" s="808" t="s">
        <v>2867</v>
      </c>
      <c r="E974" s="336"/>
      <c r="F974" s="151"/>
      <c r="K974" s="201"/>
      <c r="M974" s="151"/>
      <c r="R974" s="154"/>
      <c r="S974" s="154"/>
      <c r="T974" s="154"/>
    </row>
    <row r="975" spans="1:20" s="149" customFormat="1" ht="18" customHeight="1" x14ac:dyDescent="0.25">
      <c r="A975" s="335"/>
      <c r="B975" s="203">
        <v>75</v>
      </c>
      <c r="C975" s="461"/>
      <c r="D975" s="808" t="s">
        <v>2868</v>
      </c>
      <c r="E975" s="336"/>
      <c r="F975" s="151"/>
      <c r="K975" s="201"/>
      <c r="M975" s="151"/>
      <c r="R975" s="154"/>
      <c r="S975" s="154"/>
      <c r="T975" s="154"/>
    </row>
    <row r="976" spans="1:20" s="149" customFormat="1" ht="18" customHeight="1" x14ac:dyDescent="0.25">
      <c r="A976" s="335"/>
      <c r="B976" s="203">
        <v>15</v>
      </c>
      <c r="C976" s="461"/>
      <c r="D976" s="808" t="s">
        <v>2869</v>
      </c>
      <c r="E976" s="336"/>
      <c r="F976" s="151"/>
      <c r="K976" s="201"/>
      <c r="M976" s="151"/>
      <c r="R976" s="154"/>
      <c r="S976" s="154"/>
      <c r="T976" s="154"/>
    </row>
    <row r="977" spans="1:20" s="149" customFormat="1" ht="18" customHeight="1" x14ac:dyDescent="0.25">
      <c r="A977" s="335"/>
      <c r="B977" s="203">
        <v>70</v>
      </c>
      <c r="C977" s="461"/>
      <c r="D977" s="808" t="s">
        <v>2003</v>
      </c>
      <c r="E977" s="336"/>
      <c r="F977" s="151"/>
      <c r="K977" s="201"/>
      <c r="M977" s="151"/>
      <c r="R977" s="154"/>
      <c r="S977" s="154"/>
      <c r="T977" s="154"/>
    </row>
    <row r="978" spans="1:20" s="149" customFormat="1" ht="18" customHeight="1" x14ac:dyDescent="0.25">
      <c r="A978" s="335"/>
      <c r="B978" s="203">
        <v>85</v>
      </c>
      <c r="C978" s="461"/>
      <c r="D978" s="808" t="s">
        <v>2902</v>
      </c>
      <c r="E978" s="336"/>
      <c r="F978" s="151"/>
      <c r="K978" s="201"/>
      <c r="M978" s="151"/>
      <c r="R978" s="154"/>
      <c r="S978" s="154"/>
      <c r="T978" s="154"/>
    </row>
    <row r="979" spans="1:20" s="149" customFormat="1" ht="18" customHeight="1" x14ac:dyDescent="0.25">
      <c r="A979" s="335"/>
      <c r="B979" s="203">
        <v>110</v>
      </c>
      <c r="C979" s="461"/>
      <c r="D979" s="808" t="s">
        <v>2870</v>
      </c>
      <c r="E979" s="336"/>
      <c r="F979" s="151"/>
      <c r="K979" s="201"/>
      <c r="M979" s="151"/>
      <c r="R979" s="154"/>
      <c r="S979" s="154"/>
      <c r="T979" s="154"/>
    </row>
    <row r="980" spans="1:20" s="149" customFormat="1" ht="18" customHeight="1" x14ac:dyDescent="0.25">
      <c r="A980" s="335"/>
      <c r="B980" s="203">
        <v>45</v>
      </c>
      <c r="C980" s="461"/>
      <c r="D980" s="808" t="s">
        <v>2871</v>
      </c>
      <c r="E980" s="336"/>
      <c r="F980" s="151"/>
      <c r="K980" s="201"/>
      <c r="M980" s="151"/>
      <c r="R980" s="154"/>
      <c r="S980" s="154"/>
      <c r="T980" s="154"/>
    </row>
    <row r="981" spans="1:20" s="149" customFormat="1" ht="18" customHeight="1" x14ac:dyDescent="0.25">
      <c r="A981" s="335"/>
      <c r="B981" s="203">
        <v>50</v>
      </c>
      <c r="C981" s="461">
        <v>110</v>
      </c>
      <c r="D981" s="808" t="s">
        <v>2872</v>
      </c>
      <c r="E981" s="336"/>
      <c r="F981" s="151"/>
      <c r="K981" s="201"/>
      <c r="M981" s="151"/>
      <c r="R981" s="154"/>
      <c r="S981" s="154"/>
      <c r="T981" s="154"/>
    </row>
    <row r="982" spans="1:20" s="149" customFormat="1" ht="18" customHeight="1" x14ac:dyDescent="0.25">
      <c r="A982" s="335"/>
      <c r="B982" s="203">
        <v>20</v>
      </c>
      <c r="C982" s="461"/>
      <c r="D982" s="808" t="s">
        <v>2873</v>
      </c>
      <c r="E982" s="336"/>
      <c r="F982" s="151"/>
      <c r="K982" s="201"/>
      <c r="M982" s="151"/>
      <c r="R982" s="154"/>
      <c r="S982" s="154"/>
      <c r="T982" s="154"/>
    </row>
    <row r="983" spans="1:20" s="149" customFormat="1" ht="18" customHeight="1" x14ac:dyDescent="0.25">
      <c r="A983" s="335"/>
      <c r="B983" s="203">
        <v>125</v>
      </c>
      <c r="C983" s="461"/>
      <c r="D983" s="808" t="s">
        <v>2874</v>
      </c>
      <c r="E983" s="336">
        <v>25</v>
      </c>
      <c r="F983" s="151"/>
      <c r="K983" s="201"/>
      <c r="M983" s="151"/>
      <c r="R983" s="154"/>
      <c r="S983" s="154"/>
      <c r="T983" s="154"/>
    </row>
    <row r="984" spans="1:20" s="149" customFormat="1" ht="18" customHeight="1" thickBot="1" x14ac:dyDescent="0.3">
      <c r="A984" s="335"/>
      <c r="B984" s="203">
        <v>25</v>
      </c>
      <c r="C984" s="461"/>
      <c r="D984" s="808" t="s">
        <v>2875</v>
      </c>
      <c r="E984" s="336"/>
      <c r="F984" s="151"/>
      <c r="K984" s="201"/>
      <c r="M984" s="151"/>
      <c r="R984" s="154"/>
      <c r="S984" s="154"/>
      <c r="T984" s="154"/>
    </row>
    <row r="985" spans="1:20" s="149" customFormat="1" ht="18" customHeight="1" thickBot="1" x14ac:dyDescent="0.3">
      <c r="A985" s="335"/>
      <c r="B985" s="398">
        <f>SUM(B970:B984)</f>
        <v>820</v>
      </c>
      <c r="C985" s="461"/>
      <c r="D985" s="597"/>
      <c r="E985" s="463"/>
      <c r="F985" s="352"/>
      <c r="G985" s="350"/>
      <c r="H985" s="350"/>
      <c r="I985" s="350"/>
      <c r="J985" s="350"/>
      <c r="K985" s="351"/>
      <c r="L985" s="350"/>
      <c r="M985" s="352"/>
      <c r="N985" s="350"/>
      <c r="O985" s="350"/>
      <c r="P985" s="353"/>
      <c r="R985" s="154"/>
      <c r="S985" s="154"/>
      <c r="T985" s="154"/>
    </row>
    <row r="986" spans="1:20" s="149" customFormat="1" ht="18" customHeight="1" x14ac:dyDescent="0.25">
      <c r="A986" s="335"/>
      <c r="B986" s="397"/>
      <c r="C986" s="461"/>
      <c r="D986" s="597"/>
      <c r="E986" s="403"/>
      <c r="F986" s="394"/>
      <c r="G986" s="395"/>
      <c r="H986" s="395"/>
      <c r="I986" s="395"/>
      <c r="J986" s="395"/>
      <c r="K986" s="396"/>
      <c r="L986" s="395"/>
      <c r="M986" s="394"/>
      <c r="N986" s="395"/>
      <c r="O986" s="395"/>
      <c r="P986" s="395"/>
      <c r="R986" s="154"/>
      <c r="S986" s="154"/>
      <c r="T986" s="154"/>
    </row>
    <row r="987" spans="1:20" s="149" customFormat="1" ht="18" customHeight="1" x14ac:dyDescent="0.25">
      <c r="A987" s="335">
        <v>45468</v>
      </c>
      <c r="B987" s="397">
        <v>125</v>
      </c>
      <c r="C987" s="461"/>
      <c r="D987" s="808" t="s">
        <v>2876</v>
      </c>
      <c r="E987" s="403"/>
      <c r="F987" s="394"/>
      <c r="G987" s="395"/>
      <c r="H987" s="395"/>
      <c r="I987" s="395"/>
      <c r="J987" s="395"/>
      <c r="K987" s="396"/>
      <c r="L987" s="395"/>
      <c r="M987" s="394"/>
      <c r="N987" s="395"/>
      <c r="O987" s="395"/>
      <c r="P987" s="395"/>
      <c r="R987" s="154"/>
      <c r="S987" s="154"/>
      <c r="T987" s="154"/>
    </row>
    <row r="988" spans="1:20" s="149" customFormat="1" ht="18" customHeight="1" x14ac:dyDescent="0.25">
      <c r="A988" s="335"/>
      <c r="B988" s="397">
        <v>65</v>
      </c>
      <c r="C988" s="461"/>
      <c r="D988" s="597" t="s">
        <v>2877</v>
      </c>
      <c r="E988" s="403"/>
      <c r="F988" s="394"/>
      <c r="G988" s="395"/>
      <c r="H988" s="395"/>
      <c r="I988" s="395"/>
      <c r="J988" s="395"/>
      <c r="K988" s="396"/>
      <c r="L988" s="395"/>
      <c r="M988" s="394"/>
      <c r="N988" s="395"/>
      <c r="O988" s="395"/>
      <c r="P988" s="395"/>
      <c r="R988" s="154"/>
      <c r="S988" s="154"/>
      <c r="T988" s="154"/>
    </row>
    <row r="989" spans="1:20" s="149" customFormat="1" ht="18" customHeight="1" x14ac:dyDescent="0.25">
      <c r="A989" s="335"/>
      <c r="B989" s="397">
        <v>100</v>
      </c>
      <c r="C989" s="461"/>
      <c r="D989" s="829" t="s">
        <v>2878</v>
      </c>
      <c r="E989" s="403"/>
      <c r="F989" s="394"/>
      <c r="G989" s="395"/>
      <c r="H989" s="395"/>
      <c r="I989" s="395"/>
      <c r="J989" s="395"/>
      <c r="K989" s="396"/>
      <c r="L989" s="395"/>
      <c r="M989" s="394"/>
      <c r="N989" s="395"/>
      <c r="O989" s="395"/>
      <c r="P989" s="395"/>
      <c r="R989" s="154"/>
      <c r="S989" s="154"/>
      <c r="T989" s="154"/>
    </row>
    <row r="990" spans="1:20" s="149" customFormat="1" ht="18" customHeight="1" x14ac:dyDescent="0.25">
      <c r="A990" s="335"/>
      <c r="B990" s="397"/>
      <c r="C990" s="461">
        <v>90</v>
      </c>
      <c r="D990" s="808" t="s">
        <v>2879</v>
      </c>
      <c r="E990" s="403"/>
      <c r="F990" s="394"/>
      <c r="G990" s="395"/>
      <c r="H990" s="395"/>
      <c r="I990" s="395"/>
      <c r="J990" s="395"/>
      <c r="K990" s="396"/>
      <c r="L990" s="395"/>
      <c r="M990" s="394"/>
      <c r="N990" s="395"/>
      <c r="O990" s="395"/>
      <c r="P990" s="395"/>
      <c r="R990" s="154"/>
      <c r="S990" s="154"/>
      <c r="T990" s="154"/>
    </row>
    <row r="991" spans="1:20" s="149" customFormat="1" ht="18" customHeight="1" x14ac:dyDescent="0.25">
      <c r="A991" s="335"/>
      <c r="B991" s="397"/>
      <c r="C991" s="461">
        <v>65</v>
      </c>
      <c r="D991" s="808" t="s">
        <v>2880</v>
      </c>
      <c r="E991" s="403"/>
      <c r="F991" s="394"/>
      <c r="G991" s="395"/>
      <c r="H991" s="395"/>
      <c r="I991" s="395"/>
      <c r="J991" s="395"/>
      <c r="K991" s="396"/>
      <c r="L991" s="395"/>
      <c r="M991" s="394"/>
      <c r="N991" s="395"/>
      <c r="O991" s="395"/>
      <c r="P991" s="395"/>
      <c r="R991" s="154"/>
      <c r="S991" s="154"/>
      <c r="T991" s="154"/>
    </row>
    <row r="992" spans="1:20" s="149" customFormat="1" ht="18" customHeight="1" x14ac:dyDescent="0.25">
      <c r="A992" s="335"/>
      <c r="B992" s="397"/>
      <c r="C992" s="461">
        <v>45</v>
      </c>
      <c r="D992" s="808" t="s">
        <v>2881</v>
      </c>
      <c r="E992" s="403"/>
      <c r="F992" s="394"/>
      <c r="G992" s="395"/>
      <c r="H992" s="395"/>
      <c r="I992" s="395"/>
      <c r="J992" s="395"/>
      <c r="K992" s="396"/>
      <c r="L992" s="395"/>
      <c r="M992" s="394"/>
      <c r="N992" s="395"/>
      <c r="O992" s="395"/>
      <c r="P992" s="395"/>
      <c r="R992" s="154"/>
      <c r="S992" s="154"/>
      <c r="T992" s="154"/>
    </row>
    <row r="993" spans="1:20" s="149" customFormat="1" ht="18" customHeight="1" x14ac:dyDescent="0.25">
      <c r="A993" s="335"/>
      <c r="B993" s="397"/>
      <c r="C993" s="461">
        <v>35</v>
      </c>
      <c r="D993" s="808" t="s">
        <v>2882</v>
      </c>
      <c r="E993" s="403"/>
      <c r="F993" s="394"/>
      <c r="G993" s="395"/>
      <c r="H993" s="395"/>
      <c r="I993" s="395"/>
      <c r="J993" s="395"/>
      <c r="K993" s="396"/>
      <c r="L993" s="395"/>
      <c r="M993" s="394"/>
      <c r="N993" s="395"/>
      <c r="O993" s="395"/>
      <c r="P993" s="395"/>
      <c r="R993" s="154"/>
      <c r="S993" s="154"/>
      <c r="T993" s="154"/>
    </row>
    <row r="994" spans="1:20" s="149" customFormat="1" ht="18" customHeight="1" x14ac:dyDescent="0.25">
      <c r="A994" s="335"/>
      <c r="B994" s="397">
        <v>55</v>
      </c>
      <c r="C994" s="461"/>
      <c r="D994" s="808" t="s">
        <v>2883</v>
      </c>
      <c r="E994" s="403"/>
      <c r="F994" s="394"/>
      <c r="G994" s="395"/>
      <c r="H994" s="395"/>
      <c r="I994" s="395"/>
      <c r="J994" s="395"/>
      <c r="K994" s="396"/>
      <c r="L994" s="395"/>
      <c r="M994" s="394"/>
      <c r="N994" s="395"/>
      <c r="O994" s="395"/>
      <c r="P994" s="395"/>
      <c r="R994" s="154"/>
      <c r="S994" s="154"/>
      <c r="T994" s="154"/>
    </row>
    <row r="995" spans="1:20" s="149" customFormat="1" ht="18" customHeight="1" x14ac:dyDescent="0.25">
      <c r="A995" s="335"/>
      <c r="B995" s="397">
        <v>120</v>
      </c>
      <c r="C995" s="461"/>
      <c r="D995" s="808" t="s">
        <v>2884</v>
      </c>
      <c r="E995" s="403"/>
      <c r="F995" s="394"/>
      <c r="G995" s="395"/>
      <c r="H995" s="395"/>
      <c r="I995" s="395"/>
      <c r="J995" s="395"/>
      <c r="K995" s="396"/>
      <c r="L995" s="395"/>
      <c r="M995" s="394"/>
      <c r="N995" s="395"/>
      <c r="O995" s="395"/>
      <c r="P995" s="395"/>
      <c r="R995" s="154"/>
      <c r="S995" s="154"/>
      <c r="T995" s="154"/>
    </row>
    <row r="996" spans="1:20" s="149" customFormat="1" ht="18" customHeight="1" x14ac:dyDescent="0.25">
      <c r="A996" s="335"/>
      <c r="B996" s="397">
        <v>60</v>
      </c>
      <c r="C996" s="461"/>
      <c r="D996" s="808" t="s">
        <v>2885</v>
      </c>
      <c r="E996" s="403"/>
      <c r="F996" s="394"/>
      <c r="G996" s="395"/>
      <c r="H996" s="395"/>
      <c r="I996" s="395"/>
      <c r="J996" s="395"/>
      <c r="K996" s="396"/>
      <c r="L996" s="395"/>
      <c r="M996" s="394"/>
      <c r="N996" s="395"/>
      <c r="O996" s="395"/>
      <c r="P996" s="395"/>
      <c r="R996" s="154"/>
      <c r="S996" s="154"/>
      <c r="T996" s="154"/>
    </row>
    <row r="997" spans="1:20" s="149" customFormat="1" ht="18" customHeight="1" x14ac:dyDescent="0.25">
      <c r="A997" s="335"/>
      <c r="B997" s="397">
        <v>65</v>
      </c>
      <c r="C997" s="461"/>
      <c r="D997" s="808" t="s">
        <v>2886</v>
      </c>
      <c r="E997" s="403"/>
      <c r="F997" s="394"/>
      <c r="G997" s="395"/>
      <c r="H997" s="395"/>
      <c r="I997" s="395"/>
      <c r="J997" s="395"/>
      <c r="K997" s="396"/>
      <c r="L997" s="395"/>
      <c r="M997" s="394"/>
      <c r="N997" s="395"/>
      <c r="O997" s="395"/>
      <c r="P997" s="395"/>
      <c r="R997" s="154"/>
      <c r="S997" s="154"/>
      <c r="T997" s="154"/>
    </row>
    <row r="998" spans="1:20" s="149" customFormat="1" ht="18" customHeight="1" x14ac:dyDescent="0.25">
      <c r="A998" s="335"/>
      <c r="B998" s="397">
        <v>65</v>
      </c>
      <c r="C998" s="461"/>
      <c r="D998" s="808" t="s">
        <v>2887</v>
      </c>
      <c r="E998" s="403"/>
      <c r="F998" s="394"/>
      <c r="G998" s="395"/>
      <c r="H998" s="395"/>
      <c r="I998" s="395"/>
      <c r="J998" s="395"/>
      <c r="K998" s="396"/>
      <c r="L998" s="395"/>
      <c r="M998" s="394"/>
      <c r="N998" s="395"/>
      <c r="O998" s="395"/>
      <c r="P998" s="395"/>
      <c r="R998" s="154"/>
      <c r="S998" s="154"/>
      <c r="T998" s="154"/>
    </row>
    <row r="999" spans="1:20" s="149" customFormat="1" ht="18" customHeight="1" x14ac:dyDescent="0.25">
      <c r="A999" s="335"/>
      <c r="B999" s="397">
        <v>80</v>
      </c>
      <c r="C999" s="461"/>
      <c r="D999" s="808" t="s">
        <v>2907</v>
      </c>
      <c r="E999" s="403"/>
      <c r="F999" s="394"/>
      <c r="G999" s="395"/>
      <c r="H999" s="395"/>
      <c r="I999" s="395"/>
      <c r="J999" s="395"/>
      <c r="K999" s="396"/>
      <c r="L999" s="395"/>
      <c r="M999" s="394"/>
      <c r="N999" s="395"/>
      <c r="O999" s="395"/>
      <c r="P999" s="395"/>
      <c r="R999" s="154"/>
      <c r="S999" s="154"/>
      <c r="T999" s="154"/>
    </row>
    <row r="1000" spans="1:20" s="149" customFormat="1" ht="18" customHeight="1" x14ac:dyDescent="0.25">
      <c r="A1000" s="335"/>
      <c r="B1000" s="397">
        <v>50</v>
      </c>
      <c r="C1000" s="461"/>
      <c r="D1000" s="808" t="s">
        <v>2888</v>
      </c>
      <c r="E1000" s="403"/>
      <c r="F1000" s="394"/>
      <c r="G1000" s="395"/>
      <c r="H1000" s="395"/>
      <c r="I1000" s="395"/>
      <c r="J1000" s="395"/>
      <c r="K1000" s="396"/>
      <c r="L1000" s="395"/>
      <c r="M1000" s="394"/>
      <c r="N1000" s="395"/>
      <c r="O1000" s="395"/>
      <c r="P1000" s="395"/>
      <c r="R1000" s="154"/>
      <c r="S1000" s="154"/>
      <c r="T1000" s="154"/>
    </row>
    <row r="1001" spans="1:20" s="149" customFormat="1" ht="18" customHeight="1" thickBot="1" x14ac:dyDescent="0.3">
      <c r="A1001" s="335"/>
      <c r="B1001" s="397">
        <v>65</v>
      </c>
      <c r="C1001" s="461"/>
      <c r="D1001" s="808" t="s">
        <v>2889</v>
      </c>
      <c r="E1001" s="403"/>
      <c r="F1001" s="394"/>
      <c r="G1001" s="395"/>
      <c r="H1001" s="395"/>
      <c r="I1001" s="395"/>
      <c r="J1001" s="395"/>
      <c r="K1001" s="396"/>
      <c r="L1001" s="395"/>
      <c r="M1001" s="394"/>
      <c r="N1001" s="395"/>
      <c r="O1001" s="395"/>
      <c r="P1001" s="395"/>
      <c r="R1001" s="154"/>
      <c r="S1001" s="154"/>
      <c r="T1001" s="154"/>
    </row>
    <row r="1002" spans="1:20" s="149" customFormat="1" ht="18" customHeight="1" thickBot="1" x14ac:dyDescent="0.3">
      <c r="A1002" s="335"/>
      <c r="B1002" s="398">
        <f>SUM(B987:B1001)</f>
        <v>850</v>
      </c>
      <c r="C1002" s="461"/>
      <c r="D1002" s="597"/>
      <c r="E1002" s="463"/>
      <c r="F1002" s="352"/>
      <c r="G1002" s="350"/>
      <c r="H1002" s="350"/>
      <c r="I1002" s="350"/>
      <c r="J1002" s="350"/>
      <c r="K1002" s="351"/>
      <c r="L1002" s="350"/>
      <c r="M1002" s="352"/>
      <c r="N1002" s="350"/>
      <c r="O1002" s="350"/>
      <c r="P1002" s="353"/>
      <c r="R1002" s="154"/>
      <c r="S1002" s="154"/>
      <c r="T1002" s="154"/>
    </row>
    <row r="1003" spans="1:20" s="149" customFormat="1" ht="18" customHeight="1" x14ac:dyDescent="0.25">
      <c r="A1003" s="335"/>
      <c r="B1003" s="397"/>
      <c r="C1003" s="461"/>
      <c r="D1003" s="597"/>
      <c r="E1003" s="403"/>
      <c r="F1003" s="394"/>
      <c r="G1003" s="395"/>
      <c r="H1003" s="395"/>
      <c r="I1003" s="395"/>
      <c r="J1003" s="395"/>
      <c r="K1003" s="396"/>
      <c r="L1003" s="395"/>
      <c r="M1003" s="394"/>
      <c r="N1003" s="395"/>
      <c r="O1003" s="395"/>
      <c r="P1003" s="395"/>
      <c r="R1003" s="154"/>
      <c r="S1003" s="154"/>
      <c r="T1003" s="154"/>
    </row>
    <row r="1004" spans="1:20" s="149" customFormat="1" ht="18" customHeight="1" x14ac:dyDescent="0.25">
      <c r="A1004" s="335">
        <v>45469</v>
      </c>
      <c r="B1004" s="149">
        <v>90</v>
      </c>
      <c r="C1004" s="461"/>
      <c r="D1004" s="709" t="s">
        <v>2892</v>
      </c>
      <c r="E1004" s="403"/>
      <c r="F1004" s="394"/>
      <c r="G1004" s="395"/>
      <c r="H1004" s="395"/>
      <c r="I1004" s="395"/>
      <c r="J1004" s="395"/>
      <c r="K1004" s="396"/>
      <c r="L1004" s="395"/>
      <c r="M1004" s="394"/>
      <c r="N1004" s="395"/>
      <c r="O1004" s="395"/>
      <c r="P1004" s="395"/>
      <c r="R1004" s="154"/>
      <c r="S1004" s="154"/>
      <c r="T1004" s="154"/>
    </row>
    <row r="1005" spans="1:20" s="149" customFormat="1" ht="18" customHeight="1" x14ac:dyDescent="0.25">
      <c r="A1005" s="335"/>
      <c r="B1005" s="397">
        <v>70</v>
      </c>
      <c r="C1005" s="461"/>
      <c r="D1005" s="808" t="s">
        <v>2890</v>
      </c>
      <c r="E1005" s="403"/>
      <c r="F1005" s="394"/>
      <c r="G1005" s="395"/>
      <c r="H1005" s="395"/>
      <c r="I1005" s="395"/>
      <c r="J1005" s="395"/>
      <c r="K1005" s="396"/>
      <c r="L1005" s="395"/>
      <c r="M1005" s="394"/>
      <c r="N1005" s="395"/>
      <c r="O1005" s="395"/>
      <c r="P1005" s="395"/>
      <c r="R1005" s="154"/>
      <c r="S1005" s="154"/>
      <c r="T1005" s="154"/>
    </row>
    <row r="1006" spans="1:20" s="149" customFormat="1" ht="18" customHeight="1" x14ac:dyDescent="0.25">
      <c r="A1006" s="335"/>
      <c r="B1006" s="397">
        <v>90</v>
      </c>
      <c r="C1006" s="461"/>
      <c r="D1006" s="808" t="s">
        <v>2817</v>
      </c>
      <c r="E1006" s="403"/>
      <c r="F1006" s="394"/>
      <c r="G1006" s="395"/>
      <c r="H1006" s="395"/>
      <c r="I1006" s="395"/>
      <c r="J1006" s="395"/>
      <c r="K1006" s="396"/>
      <c r="L1006" s="395"/>
      <c r="M1006" s="394"/>
      <c r="N1006" s="395"/>
      <c r="O1006" s="395"/>
      <c r="P1006" s="395"/>
      <c r="R1006" s="154"/>
      <c r="S1006" s="154"/>
      <c r="T1006" s="154"/>
    </row>
    <row r="1007" spans="1:20" s="149" customFormat="1" ht="18" customHeight="1" x14ac:dyDescent="0.25">
      <c r="A1007" s="335"/>
      <c r="B1007" s="397"/>
      <c r="C1007" s="461">
        <v>110</v>
      </c>
      <c r="D1007" s="808" t="s">
        <v>2909</v>
      </c>
      <c r="E1007" s="403"/>
      <c r="F1007" s="394"/>
      <c r="G1007" s="395"/>
      <c r="H1007" s="395"/>
      <c r="I1007" s="395"/>
      <c r="J1007" s="395"/>
      <c r="K1007" s="396"/>
      <c r="L1007" s="395"/>
      <c r="M1007" s="394"/>
      <c r="N1007" s="395"/>
      <c r="O1007" s="395"/>
      <c r="P1007" s="395"/>
      <c r="R1007" s="154"/>
      <c r="S1007" s="154"/>
      <c r="T1007" s="154"/>
    </row>
    <row r="1008" spans="1:20" s="149" customFormat="1" ht="18" customHeight="1" x14ac:dyDescent="0.25">
      <c r="A1008" s="335"/>
      <c r="B1008" s="397">
        <v>65</v>
      </c>
      <c r="C1008" s="461"/>
      <c r="D1008" s="808" t="s">
        <v>2891</v>
      </c>
      <c r="E1008" s="403"/>
      <c r="F1008" s="394"/>
      <c r="G1008" s="395"/>
      <c r="H1008" s="395"/>
      <c r="I1008" s="395"/>
      <c r="J1008" s="395"/>
      <c r="K1008" s="396"/>
      <c r="L1008" s="395"/>
      <c r="M1008" s="394"/>
      <c r="N1008" s="395"/>
      <c r="O1008" s="395"/>
      <c r="P1008" s="395"/>
      <c r="R1008" s="154"/>
      <c r="S1008" s="154"/>
      <c r="T1008" s="154"/>
    </row>
    <row r="1009" spans="1:20" s="149" customFormat="1" ht="18" customHeight="1" thickBot="1" x14ac:dyDescent="0.3">
      <c r="A1009" s="335"/>
      <c r="B1009" s="397">
        <v>80</v>
      </c>
      <c r="C1009" s="461"/>
      <c r="D1009" s="808" t="s">
        <v>2912</v>
      </c>
      <c r="E1009" s="403"/>
      <c r="F1009" s="394"/>
      <c r="G1009" s="395"/>
      <c r="H1009" s="395"/>
      <c r="I1009" s="395"/>
      <c r="J1009" s="395"/>
      <c r="K1009" s="396"/>
      <c r="L1009" s="395"/>
      <c r="M1009" s="394"/>
      <c r="N1009" s="395"/>
      <c r="O1009" s="395"/>
      <c r="P1009" s="395"/>
      <c r="R1009" s="154"/>
      <c r="S1009" s="154"/>
      <c r="T1009" s="154"/>
    </row>
    <row r="1010" spans="1:20" s="149" customFormat="1" ht="18" customHeight="1" thickBot="1" x14ac:dyDescent="0.3">
      <c r="A1010" s="335"/>
      <c r="B1010" s="398">
        <f>SUM(B1004:B1009)</f>
        <v>395</v>
      </c>
      <c r="C1010" s="461"/>
      <c r="D1010" s="597"/>
      <c r="E1010" s="463"/>
      <c r="F1010" s="352"/>
      <c r="G1010" s="350"/>
      <c r="H1010" s="350"/>
      <c r="I1010" s="350"/>
      <c r="J1010" s="350"/>
      <c r="K1010" s="351"/>
      <c r="L1010" s="350"/>
      <c r="M1010" s="352"/>
      <c r="N1010" s="350"/>
      <c r="O1010" s="350"/>
      <c r="P1010" s="353"/>
      <c r="R1010" s="154"/>
      <c r="S1010" s="154"/>
      <c r="T1010" s="154"/>
    </row>
    <row r="1011" spans="1:20" s="149" customFormat="1" ht="18" customHeight="1" x14ac:dyDescent="0.25">
      <c r="A1011" s="335"/>
      <c r="B1011" s="397"/>
      <c r="C1011" s="461"/>
      <c r="D1011" s="597"/>
      <c r="E1011" s="403"/>
      <c r="F1011" s="394"/>
      <c r="G1011" s="395"/>
      <c r="H1011" s="395"/>
      <c r="I1011" s="395"/>
      <c r="J1011" s="395"/>
      <c r="K1011" s="396"/>
      <c r="L1011" s="395"/>
      <c r="M1011" s="394"/>
      <c r="N1011" s="395"/>
      <c r="O1011" s="395"/>
      <c r="P1011" s="395"/>
      <c r="R1011" s="154"/>
      <c r="S1011" s="154"/>
      <c r="T1011" s="154"/>
    </row>
    <row r="1012" spans="1:20" s="149" customFormat="1" ht="18" customHeight="1" x14ac:dyDescent="0.25">
      <c r="A1012" s="335">
        <v>45471</v>
      </c>
      <c r="B1012" s="397">
        <v>110</v>
      </c>
      <c r="C1012" s="461"/>
      <c r="D1012" s="808" t="s">
        <v>2904</v>
      </c>
      <c r="E1012" s="403"/>
      <c r="F1012" s="394"/>
      <c r="G1012" s="395"/>
      <c r="H1012" s="395"/>
      <c r="I1012" s="395"/>
      <c r="J1012" s="395"/>
      <c r="K1012" s="396"/>
      <c r="L1012" s="395"/>
      <c r="M1012" s="394"/>
      <c r="N1012" s="395"/>
      <c r="O1012" s="395"/>
      <c r="P1012" s="395"/>
      <c r="R1012" s="154"/>
      <c r="S1012" s="154"/>
      <c r="T1012" s="154"/>
    </row>
    <row r="1013" spans="1:20" s="149" customFormat="1" ht="18" customHeight="1" thickBot="1" x14ac:dyDescent="0.3">
      <c r="A1013" s="335"/>
      <c r="B1013" s="397">
        <v>90</v>
      </c>
      <c r="C1013" s="461"/>
      <c r="D1013" s="808" t="s">
        <v>2905</v>
      </c>
      <c r="E1013" s="403"/>
      <c r="F1013" s="394"/>
      <c r="G1013" s="395"/>
      <c r="H1013" s="395"/>
      <c r="I1013" s="395"/>
      <c r="J1013" s="395"/>
      <c r="K1013" s="396"/>
      <c r="L1013" s="395"/>
      <c r="M1013" s="394"/>
      <c r="N1013" s="395"/>
      <c r="O1013" s="395"/>
      <c r="P1013" s="395"/>
      <c r="R1013" s="154"/>
      <c r="S1013" s="154"/>
      <c r="T1013" s="154"/>
    </row>
    <row r="1014" spans="1:20" s="149" customFormat="1" ht="18" customHeight="1" thickBot="1" x14ac:dyDescent="0.3">
      <c r="A1014" s="335"/>
      <c r="B1014" s="398">
        <f>SUM(B1012:B1013)</f>
        <v>200</v>
      </c>
      <c r="C1014" s="461"/>
      <c r="D1014" s="597"/>
      <c r="E1014" s="463"/>
      <c r="F1014" s="352"/>
      <c r="G1014" s="350"/>
      <c r="H1014" s="350"/>
      <c r="I1014" s="350"/>
      <c r="J1014" s="350"/>
      <c r="K1014" s="351"/>
      <c r="L1014" s="350"/>
      <c r="M1014" s="352"/>
      <c r="N1014" s="350"/>
      <c r="O1014" s="350"/>
      <c r="P1014" s="353"/>
      <c r="R1014" s="154"/>
      <c r="S1014" s="154"/>
      <c r="T1014" s="154"/>
    </row>
    <row r="1015" spans="1:20" s="149" customFormat="1" ht="18" customHeight="1" x14ac:dyDescent="0.25">
      <c r="A1015" s="335"/>
      <c r="B1015" s="397"/>
      <c r="C1015" s="461"/>
      <c r="D1015" s="597"/>
      <c r="E1015" s="403"/>
      <c r="F1015" s="394"/>
      <c r="G1015" s="395"/>
      <c r="H1015" s="395"/>
      <c r="I1015" s="395"/>
      <c r="J1015" s="395"/>
      <c r="K1015" s="396"/>
      <c r="L1015" s="395"/>
      <c r="M1015" s="394"/>
      <c r="N1015" s="395"/>
      <c r="O1015" s="395"/>
      <c r="P1015" s="395"/>
      <c r="R1015" s="154"/>
      <c r="S1015" s="154"/>
      <c r="T1015" s="154"/>
    </row>
    <row r="1016" spans="1:20" s="149" customFormat="1" ht="18" customHeight="1" x14ac:dyDescent="0.25">
      <c r="A1016" s="335">
        <v>45472</v>
      </c>
      <c r="B1016" s="397">
        <v>160</v>
      </c>
      <c r="C1016" s="461"/>
      <c r="D1016" s="808" t="s">
        <v>2918</v>
      </c>
      <c r="E1016" s="403"/>
      <c r="F1016" s="394"/>
      <c r="G1016" s="395"/>
      <c r="H1016" s="395"/>
      <c r="I1016" s="395"/>
      <c r="J1016" s="395"/>
      <c r="K1016" s="396"/>
      <c r="L1016" s="395"/>
      <c r="M1016" s="394"/>
      <c r="N1016" s="395"/>
      <c r="O1016" s="395"/>
      <c r="P1016" s="395"/>
      <c r="R1016" s="154"/>
      <c r="S1016" s="154"/>
      <c r="T1016" s="154"/>
    </row>
    <row r="1017" spans="1:20" s="149" customFormat="1" ht="18" customHeight="1" x14ac:dyDescent="0.25">
      <c r="A1017" s="335"/>
      <c r="B1017" s="397">
        <v>100</v>
      </c>
      <c r="C1017" s="461"/>
      <c r="D1017" s="808" t="s">
        <v>2919</v>
      </c>
      <c r="E1017" s="403"/>
      <c r="F1017" s="394"/>
      <c r="G1017" s="395"/>
      <c r="H1017" s="395"/>
      <c r="I1017" s="395"/>
      <c r="J1017" s="395"/>
      <c r="K1017" s="396"/>
      <c r="L1017" s="395"/>
      <c r="M1017" s="394"/>
      <c r="N1017" s="395"/>
      <c r="O1017" s="395"/>
      <c r="P1017" s="395"/>
      <c r="R1017" s="154"/>
      <c r="S1017" s="154"/>
      <c r="T1017" s="154"/>
    </row>
    <row r="1018" spans="1:20" s="149" customFormat="1" ht="18" customHeight="1" thickBot="1" x14ac:dyDescent="0.3">
      <c r="A1018" s="335"/>
      <c r="B1018" s="397">
        <v>45</v>
      </c>
      <c r="C1018" s="461"/>
      <c r="D1018" s="808" t="s">
        <v>2920</v>
      </c>
      <c r="E1018" s="403"/>
      <c r="F1018" s="394"/>
      <c r="G1018" s="395"/>
      <c r="H1018" s="395"/>
      <c r="I1018" s="395"/>
      <c r="J1018" s="395"/>
      <c r="K1018" s="396"/>
      <c r="L1018" s="395"/>
      <c r="M1018" s="394"/>
      <c r="N1018" s="395"/>
      <c r="O1018" s="395"/>
      <c r="P1018" s="395"/>
      <c r="R1018" s="154"/>
      <c r="S1018" s="154"/>
      <c r="T1018" s="154"/>
    </row>
    <row r="1019" spans="1:20" s="149" customFormat="1" ht="18" customHeight="1" thickBot="1" x14ac:dyDescent="0.3">
      <c r="A1019" s="335"/>
      <c r="B1019" s="398">
        <f>SUM(B1016:B1018)</f>
        <v>305</v>
      </c>
      <c r="C1019" s="461"/>
      <c r="D1019" s="597"/>
      <c r="E1019" s="463"/>
      <c r="F1019" s="352"/>
      <c r="G1019" s="350"/>
      <c r="H1019" s="350"/>
      <c r="I1019" s="350"/>
      <c r="J1019" s="350"/>
      <c r="K1019" s="351"/>
      <c r="L1019" s="350"/>
      <c r="M1019" s="352"/>
      <c r="N1019" s="350"/>
      <c r="O1019" s="350"/>
      <c r="P1019" s="353"/>
      <c r="R1019" s="154"/>
      <c r="S1019" s="154"/>
      <c r="T1019" s="154"/>
    </row>
    <row r="1020" spans="1:20" s="149" customFormat="1" ht="18" customHeight="1" x14ac:dyDescent="0.25">
      <c r="A1020" s="335"/>
      <c r="B1020" s="397"/>
      <c r="C1020" s="461"/>
      <c r="D1020" s="597"/>
      <c r="E1020" s="403"/>
      <c r="F1020" s="394"/>
      <c r="G1020" s="395"/>
      <c r="H1020" s="395"/>
      <c r="I1020" s="395"/>
      <c r="J1020" s="395"/>
      <c r="K1020" s="396"/>
      <c r="L1020" s="395"/>
      <c r="M1020" s="394"/>
      <c r="N1020" s="395"/>
      <c r="O1020" s="395"/>
      <c r="P1020" s="395"/>
      <c r="R1020" s="154"/>
      <c r="S1020" s="154"/>
      <c r="T1020" s="154"/>
    </row>
    <row r="1021" spans="1:20" s="149" customFormat="1" ht="18" customHeight="1" x14ac:dyDescent="0.25">
      <c r="A1021" s="335"/>
      <c r="B1021" s="203"/>
      <c r="C1021" s="461"/>
      <c r="D1021" s="597"/>
      <c r="E1021" s="336"/>
      <c r="F1021" s="151"/>
      <c r="K1021" s="201"/>
      <c r="M1021" s="151"/>
      <c r="R1021" s="154"/>
      <c r="S1021" s="154"/>
      <c r="T1021" s="154"/>
    </row>
    <row r="1022" spans="1:20" s="149" customFormat="1" ht="18" customHeight="1" x14ac:dyDescent="0.25">
      <c r="A1022" s="237" t="s">
        <v>706</v>
      </c>
      <c r="B1022" s="203">
        <f>+B818+B832+B834+B841+B848+B859+B869+B877+B887+B906+B920+B933+B939+B944+B949+B953+B959+B968+B985+B1002+B1010+B1014+B1019</f>
        <v>8907</v>
      </c>
      <c r="C1022" s="461"/>
      <c r="D1022" s="597"/>
      <c r="E1022" s="336"/>
      <c r="F1022" s="151"/>
      <c r="K1022" s="201"/>
      <c r="M1022" s="151"/>
      <c r="R1022" s="154"/>
      <c r="S1022" s="154"/>
      <c r="T1022" s="154"/>
    </row>
    <row r="1023" spans="1:20" s="149" customFormat="1" ht="18" customHeight="1" x14ac:dyDescent="0.25">
      <c r="A1023" s="354" t="s">
        <v>707</v>
      </c>
      <c r="B1023" s="203"/>
      <c r="C1023" s="461"/>
      <c r="D1023" s="597"/>
      <c r="E1023" s="336"/>
      <c r="F1023" s="151"/>
      <c r="K1023" s="201"/>
      <c r="M1023" s="151"/>
      <c r="R1023" s="154"/>
      <c r="S1023" s="154"/>
      <c r="T1023" s="154"/>
    </row>
    <row r="1024" spans="1:20" s="149" customFormat="1" ht="18" customHeight="1" x14ac:dyDescent="0.25">
      <c r="A1024" s="354" t="s">
        <v>708</v>
      </c>
      <c r="B1024" s="203"/>
      <c r="C1024" s="461"/>
      <c r="D1024" s="597"/>
      <c r="E1024" s="336"/>
      <c r="F1024" s="151"/>
      <c r="K1024" s="201"/>
      <c r="M1024" s="151"/>
      <c r="R1024" s="154"/>
      <c r="S1024" s="154"/>
      <c r="T1024" s="154"/>
    </row>
    <row r="1025" spans="1:20" s="149" customFormat="1" ht="18" customHeight="1" x14ac:dyDescent="0.25">
      <c r="A1025" s="354" t="s">
        <v>709</v>
      </c>
      <c r="B1025" s="203"/>
      <c r="C1025" s="461"/>
      <c r="D1025" s="597"/>
      <c r="E1025" s="336"/>
      <c r="F1025" s="151"/>
      <c r="K1025" s="201"/>
      <c r="M1025" s="151"/>
      <c r="R1025" s="154"/>
      <c r="S1025" s="154"/>
      <c r="T1025" s="154"/>
    </row>
    <row r="1026" spans="1:20" s="149" customFormat="1" ht="18" customHeight="1" x14ac:dyDescent="0.25">
      <c r="A1026" s="354" t="s">
        <v>710</v>
      </c>
      <c r="B1026" s="203">
        <f>+B1022</f>
        <v>8907</v>
      </c>
      <c r="C1026" s="461"/>
      <c r="D1026" s="597"/>
      <c r="E1026" s="336"/>
      <c r="F1026" s="151"/>
      <c r="K1026" s="201"/>
      <c r="M1026" s="151"/>
      <c r="R1026" s="154"/>
      <c r="S1026" s="154"/>
      <c r="T1026" s="154"/>
    </row>
    <row r="1027" spans="1:20" s="149" customFormat="1" ht="18" customHeight="1" x14ac:dyDescent="0.25">
      <c r="A1027" s="354" t="s">
        <v>711</v>
      </c>
      <c r="B1027" s="203">
        <f>+B1026-7500</f>
        <v>1407</v>
      </c>
      <c r="C1027" s="461"/>
      <c r="D1027" s="597"/>
      <c r="E1027" s="336"/>
      <c r="F1027" s="151"/>
      <c r="K1027" s="201"/>
      <c r="M1027" s="151"/>
      <c r="R1027" s="154"/>
      <c r="S1027" s="154"/>
      <c r="T1027" s="154"/>
    </row>
    <row r="1028" spans="1:20" s="149" customFormat="1" ht="18" customHeight="1" x14ac:dyDescent="0.25">
      <c r="A1028" s="354" t="s">
        <v>712</v>
      </c>
      <c r="B1028" s="203">
        <f>+B1027*0.01</f>
        <v>14.07</v>
      </c>
      <c r="C1028" s="461"/>
      <c r="D1028" s="597"/>
      <c r="E1028" s="336"/>
      <c r="F1028" s="151"/>
      <c r="K1028" s="201"/>
      <c r="M1028" s="151"/>
      <c r="R1028" s="154"/>
      <c r="S1028" s="154"/>
      <c r="T1028" s="154"/>
    </row>
    <row r="1029" spans="1:20" s="149" customFormat="1" ht="18" customHeight="1" x14ac:dyDescent="0.25">
      <c r="A1029" s="354" t="s">
        <v>713</v>
      </c>
      <c r="B1029" s="203"/>
      <c r="C1029" s="461"/>
      <c r="D1029" s="597"/>
      <c r="E1029" s="336"/>
      <c r="F1029" s="151"/>
      <c r="K1029" s="201"/>
      <c r="M1029" s="151"/>
      <c r="R1029" s="154"/>
      <c r="S1029" s="154"/>
      <c r="T1029" s="154"/>
    </row>
    <row r="1030" spans="1:20" s="149" customFormat="1" ht="18" customHeight="1" x14ac:dyDescent="0.25">
      <c r="A1030" s="335"/>
      <c r="B1030" s="203"/>
      <c r="C1030" s="461"/>
      <c r="D1030" s="597"/>
      <c r="E1030" s="336"/>
      <c r="F1030" s="151"/>
      <c r="K1030" s="201"/>
      <c r="M1030" s="151"/>
      <c r="R1030" s="154"/>
      <c r="S1030" s="154"/>
      <c r="T1030" s="154"/>
    </row>
    <row r="1031" spans="1:20" s="874" customFormat="1" ht="18" customHeight="1" x14ac:dyDescent="0.25">
      <c r="A1031" s="869"/>
      <c r="B1031" s="870"/>
      <c r="C1031" s="871"/>
      <c r="D1031" s="973" t="s">
        <v>2923</v>
      </c>
      <c r="E1031" s="184"/>
      <c r="F1031" s="873"/>
      <c r="K1031" s="875"/>
      <c r="M1031" s="873"/>
      <c r="R1031" s="876"/>
      <c r="S1031" s="876"/>
      <c r="T1031" s="876"/>
    </row>
    <row r="1032" spans="1:20" s="149" customFormat="1" ht="18" customHeight="1" thickBot="1" x14ac:dyDescent="0.3">
      <c r="A1032" s="335"/>
      <c r="B1032" s="203"/>
      <c r="C1032" s="461"/>
      <c r="D1032" s="597"/>
      <c r="E1032" s="336"/>
      <c r="F1032" s="151"/>
      <c r="K1032" s="201"/>
      <c r="M1032" s="151"/>
      <c r="R1032" s="154"/>
      <c r="S1032" s="154"/>
      <c r="T1032" s="154"/>
    </row>
    <row r="1033" spans="1:20" s="149" customFormat="1" ht="18" customHeight="1" thickBot="1" x14ac:dyDescent="0.3">
      <c r="A1033" s="335">
        <v>45475</v>
      </c>
      <c r="B1033" s="398">
        <v>125</v>
      </c>
      <c r="C1033" s="461"/>
      <c r="D1033" s="808" t="s">
        <v>2954</v>
      </c>
      <c r="E1033" s="463"/>
      <c r="F1033" s="352"/>
      <c r="G1033" s="350"/>
      <c r="H1033" s="350"/>
      <c r="I1033" s="350"/>
      <c r="J1033" s="350"/>
      <c r="K1033" s="351"/>
      <c r="L1033" s="350"/>
      <c r="M1033" s="352"/>
      <c r="N1033" s="350"/>
      <c r="O1033" s="350"/>
      <c r="P1033" s="353"/>
      <c r="R1033" s="154"/>
      <c r="S1033" s="154"/>
      <c r="T1033" s="154"/>
    </row>
    <row r="1034" spans="1:20" s="149" customFormat="1" ht="18" customHeight="1" x14ac:dyDescent="0.25">
      <c r="A1034" s="335"/>
      <c r="B1034" s="203"/>
      <c r="C1034" s="461"/>
      <c r="D1034" s="597"/>
      <c r="E1034" s="336"/>
      <c r="F1034" s="151"/>
      <c r="K1034" s="201"/>
      <c r="M1034" s="151"/>
      <c r="R1034" s="154"/>
      <c r="S1034" s="154"/>
      <c r="T1034" s="154"/>
    </row>
    <row r="1035" spans="1:20" s="149" customFormat="1" ht="18" customHeight="1" x14ac:dyDescent="0.25">
      <c r="A1035" s="335">
        <v>45476</v>
      </c>
      <c r="B1035" s="203">
        <v>125</v>
      </c>
      <c r="C1035" s="461"/>
      <c r="D1035" s="808" t="s">
        <v>2933</v>
      </c>
      <c r="E1035" s="814" t="s">
        <v>2956</v>
      </c>
      <c r="F1035" s="151"/>
      <c r="K1035" s="201"/>
      <c r="M1035" s="151"/>
      <c r="R1035" s="154"/>
      <c r="S1035" s="154"/>
      <c r="T1035" s="154"/>
    </row>
    <row r="1036" spans="1:20" s="149" customFormat="1" ht="18" customHeight="1" x14ac:dyDescent="0.25">
      <c r="A1036" s="335"/>
      <c r="B1036" s="203"/>
      <c r="C1036" s="461"/>
      <c r="D1036" s="829" t="s">
        <v>2934</v>
      </c>
      <c r="E1036" s="336"/>
      <c r="F1036" s="151"/>
      <c r="K1036" s="201"/>
      <c r="M1036" s="151"/>
      <c r="R1036" s="154"/>
      <c r="S1036" s="154"/>
      <c r="T1036" s="154"/>
    </row>
    <row r="1037" spans="1:20" s="149" customFormat="1" ht="18" customHeight="1" x14ac:dyDescent="0.25">
      <c r="A1037" s="335"/>
      <c r="B1037" s="203"/>
      <c r="C1037" s="461">
        <v>145</v>
      </c>
      <c r="D1037" s="808" t="s">
        <v>2935</v>
      </c>
      <c r="E1037" s="336">
        <v>5</v>
      </c>
      <c r="F1037" s="151"/>
      <c r="K1037" s="201"/>
      <c r="M1037" s="151"/>
      <c r="R1037" s="154"/>
      <c r="S1037" s="154"/>
      <c r="T1037" s="154"/>
    </row>
    <row r="1038" spans="1:20" s="149" customFormat="1" ht="18" customHeight="1" x14ac:dyDescent="0.25">
      <c r="A1038" s="335"/>
      <c r="B1038" s="203"/>
      <c r="C1038" s="461">
        <v>145</v>
      </c>
      <c r="D1038" s="808" t="s">
        <v>2936</v>
      </c>
      <c r="E1038" s="336">
        <v>5</v>
      </c>
      <c r="F1038" s="151"/>
      <c r="K1038" s="201"/>
      <c r="M1038" s="151"/>
      <c r="R1038" s="154"/>
      <c r="S1038" s="154"/>
      <c r="T1038" s="154"/>
    </row>
    <row r="1039" spans="1:20" s="149" customFormat="1" ht="18" customHeight="1" x14ac:dyDescent="0.25">
      <c r="A1039" s="335"/>
      <c r="B1039" s="203"/>
      <c r="C1039" s="461">
        <v>120</v>
      </c>
      <c r="D1039" s="808" t="s">
        <v>2937</v>
      </c>
      <c r="E1039" s="336">
        <v>5</v>
      </c>
      <c r="F1039" s="151"/>
      <c r="K1039" s="201"/>
      <c r="M1039" s="151"/>
      <c r="R1039" s="154"/>
      <c r="S1039" s="154"/>
      <c r="T1039" s="154"/>
    </row>
    <row r="1040" spans="1:20" s="149" customFormat="1" ht="18" customHeight="1" x14ac:dyDescent="0.25">
      <c r="A1040" s="335"/>
      <c r="B1040" s="203"/>
      <c r="C1040" s="461">
        <v>50</v>
      </c>
      <c r="D1040" s="808" t="s">
        <v>2938</v>
      </c>
      <c r="E1040" s="336">
        <v>5</v>
      </c>
      <c r="F1040" s="151"/>
      <c r="K1040" s="201"/>
      <c r="M1040" s="151"/>
      <c r="R1040" s="154"/>
      <c r="S1040" s="154"/>
      <c r="T1040" s="154"/>
    </row>
    <row r="1041" spans="1:20" s="149" customFormat="1" ht="18" customHeight="1" thickBot="1" x14ac:dyDescent="0.3">
      <c r="A1041" s="335"/>
      <c r="B1041" s="203"/>
      <c r="C1041" s="461">
        <v>110</v>
      </c>
      <c r="D1041" s="808" t="s">
        <v>2939</v>
      </c>
      <c r="E1041" s="336"/>
      <c r="F1041" s="151"/>
      <c r="K1041" s="201"/>
      <c r="M1041" s="151"/>
      <c r="R1041" s="154"/>
      <c r="S1041" s="154"/>
      <c r="T1041" s="154"/>
    </row>
    <row r="1042" spans="1:20" s="149" customFormat="1" ht="18" customHeight="1" thickBot="1" x14ac:dyDescent="0.3">
      <c r="A1042" s="335"/>
      <c r="B1042" s="398">
        <f>SUM(B1035:B1041)</f>
        <v>125</v>
      </c>
      <c r="C1042" s="461"/>
      <c r="D1042" s="597"/>
      <c r="E1042" s="463"/>
      <c r="F1042" s="352"/>
      <c r="G1042" s="350"/>
      <c r="H1042" s="350"/>
      <c r="I1042" s="350"/>
      <c r="J1042" s="350"/>
      <c r="K1042" s="351"/>
      <c r="L1042" s="350"/>
      <c r="M1042" s="352"/>
      <c r="N1042" s="350"/>
      <c r="O1042" s="350"/>
      <c r="P1042" s="353"/>
      <c r="R1042" s="154"/>
      <c r="S1042" s="154"/>
      <c r="T1042" s="154"/>
    </row>
    <row r="1043" spans="1:20" s="149" customFormat="1" ht="18" customHeight="1" x14ac:dyDescent="0.25">
      <c r="A1043" s="335"/>
      <c r="B1043" s="203"/>
      <c r="C1043" s="461"/>
      <c r="D1043" s="597"/>
      <c r="E1043" s="336"/>
      <c r="F1043" s="151"/>
      <c r="K1043" s="201"/>
      <c r="M1043" s="151"/>
      <c r="R1043" s="154"/>
      <c r="S1043" s="154"/>
      <c r="T1043" s="154"/>
    </row>
    <row r="1044" spans="1:20" s="149" customFormat="1" ht="18" customHeight="1" x14ac:dyDescent="0.25">
      <c r="A1044" s="335">
        <v>45477</v>
      </c>
      <c r="B1044" s="203">
        <v>35</v>
      </c>
      <c r="C1044" s="461"/>
      <c r="D1044" s="808" t="s">
        <v>2940</v>
      </c>
      <c r="E1044" s="336"/>
      <c r="F1044" s="151"/>
      <c r="K1044" s="201"/>
      <c r="M1044" s="151"/>
      <c r="R1044" s="154"/>
      <c r="S1044" s="154"/>
      <c r="T1044" s="154"/>
    </row>
    <row r="1045" spans="1:20" s="149" customFormat="1" ht="18" customHeight="1" x14ac:dyDescent="0.25">
      <c r="A1045" s="335"/>
      <c r="B1045" s="203">
        <v>85</v>
      </c>
      <c r="C1045" s="461"/>
      <c r="D1045" s="808" t="s">
        <v>2941</v>
      </c>
      <c r="E1045" s="814" t="s">
        <v>2943</v>
      </c>
      <c r="F1045" s="151"/>
      <c r="K1045" s="201"/>
      <c r="M1045" s="151"/>
      <c r="R1045" s="154"/>
      <c r="S1045" s="154"/>
      <c r="T1045" s="154"/>
    </row>
    <row r="1046" spans="1:20" s="149" customFormat="1" ht="18" customHeight="1" thickBot="1" x14ac:dyDescent="0.3">
      <c r="A1046" s="335"/>
      <c r="B1046" s="203">
        <v>25</v>
      </c>
      <c r="C1046" s="461"/>
      <c r="D1046" s="808" t="s">
        <v>2942</v>
      </c>
      <c r="E1046" s="336">
        <v>5</v>
      </c>
      <c r="F1046" s="151"/>
      <c r="K1046" s="201"/>
      <c r="M1046" s="151"/>
      <c r="R1046" s="154"/>
      <c r="S1046" s="154"/>
      <c r="T1046" s="154"/>
    </row>
    <row r="1047" spans="1:20" s="149" customFormat="1" ht="18" customHeight="1" thickBot="1" x14ac:dyDescent="0.3">
      <c r="A1047" s="335"/>
      <c r="B1047" s="398">
        <f>SUM(B1044:B1046)</f>
        <v>145</v>
      </c>
      <c r="C1047" s="461"/>
      <c r="D1047" s="597"/>
      <c r="E1047" s="463"/>
      <c r="F1047" s="352"/>
      <c r="G1047" s="350"/>
      <c r="H1047" s="350"/>
      <c r="I1047" s="350"/>
      <c r="J1047" s="350"/>
      <c r="K1047" s="351"/>
      <c r="L1047" s="350"/>
      <c r="M1047" s="352"/>
      <c r="N1047" s="350"/>
      <c r="O1047" s="350"/>
      <c r="P1047" s="353"/>
      <c r="R1047" s="154"/>
      <c r="S1047" s="154"/>
      <c r="T1047" s="154"/>
    </row>
    <row r="1048" spans="1:20" s="149" customFormat="1" ht="18" customHeight="1" x14ac:dyDescent="0.25">
      <c r="A1048" s="335"/>
      <c r="B1048" s="203"/>
      <c r="C1048" s="461"/>
      <c r="D1048" s="597"/>
      <c r="E1048" s="336"/>
      <c r="F1048" s="151"/>
      <c r="K1048" s="201"/>
      <c r="M1048" s="151"/>
      <c r="R1048" s="154"/>
      <c r="S1048" s="154"/>
      <c r="T1048" s="154"/>
    </row>
    <row r="1049" spans="1:20" s="149" customFormat="1" ht="18" customHeight="1" x14ac:dyDescent="0.25">
      <c r="A1049" s="335">
        <v>45478</v>
      </c>
      <c r="B1049" s="203">
        <v>70</v>
      </c>
      <c r="C1049" s="461"/>
      <c r="D1049" s="808" t="s">
        <v>2944</v>
      </c>
      <c r="E1049" s="336"/>
      <c r="F1049" s="151"/>
      <c r="K1049" s="201"/>
      <c r="M1049" s="151"/>
      <c r="R1049" s="154"/>
      <c r="S1049" s="154"/>
      <c r="T1049" s="154"/>
    </row>
    <row r="1050" spans="1:20" s="149" customFormat="1" ht="18" customHeight="1" x14ac:dyDescent="0.25">
      <c r="A1050" s="335"/>
      <c r="B1050" s="203">
        <v>110</v>
      </c>
      <c r="C1050" s="461"/>
      <c r="D1050" s="808" t="s">
        <v>2945</v>
      </c>
      <c r="E1050" s="336"/>
      <c r="F1050" s="151"/>
      <c r="K1050" s="201"/>
      <c r="M1050" s="151"/>
      <c r="R1050" s="154"/>
      <c r="S1050" s="154"/>
      <c r="T1050" s="154"/>
    </row>
    <row r="1051" spans="1:20" s="149" customFormat="1" ht="18" customHeight="1" x14ac:dyDescent="0.25">
      <c r="A1051" s="335"/>
      <c r="B1051" s="203">
        <v>50</v>
      </c>
      <c r="C1051" s="461"/>
      <c r="D1051" s="808" t="s">
        <v>2946</v>
      </c>
      <c r="E1051" s="336">
        <v>5</v>
      </c>
      <c r="F1051" s="151"/>
      <c r="K1051" s="201"/>
      <c r="M1051" s="151"/>
      <c r="R1051" s="154"/>
      <c r="S1051" s="154"/>
      <c r="T1051" s="154"/>
    </row>
    <row r="1052" spans="1:20" s="149" customFormat="1" ht="18" customHeight="1" x14ac:dyDescent="0.25">
      <c r="A1052" s="335"/>
      <c r="B1052" s="203">
        <v>120</v>
      </c>
      <c r="C1052" s="461"/>
      <c r="D1052" s="808" t="s">
        <v>2947</v>
      </c>
      <c r="E1052" s="336">
        <v>5</v>
      </c>
      <c r="F1052" s="151"/>
      <c r="K1052" s="201"/>
      <c r="M1052" s="151"/>
      <c r="R1052" s="154"/>
      <c r="S1052" s="154"/>
      <c r="T1052" s="154"/>
    </row>
    <row r="1053" spans="1:20" s="149" customFormat="1" ht="18" customHeight="1" x14ac:dyDescent="0.25">
      <c r="A1053" s="335"/>
      <c r="B1053" s="203">
        <v>120</v>
      </c>
      <c r="C1053" s="461"/>
      <c r="D1053" s="808" t="s">
        <v>2948</v>
      </c>
      <c r="E1053" s="336">
        <v>-30</v>
      </c>
      <c r="F1053" s="151"/>
      <c r="K1053" s="201"/>
      <c r="M1053" s="151"/>
      <c r="R1053" s="154"/>
      <c r="S1053" s="154"/>
      <c r="T1053" s="154"/>
    </row>
    <row r="1054" spans="1:20" s="149" customFormat="1" ht="18" customHeight="1" x14ac:dyDescent="0.25">
      <c r="A1054" s="335"/>
      <c r="B1054" s="203">
        <v>120</v>
      </c>
      <c r="C1054" s="461"/>
      <c r="D1054" s="878" t="s">
        <v>2949</v>
      </c>
      <c r="E1054" s="336">
        <v>-5</v>
      </c>
      <c r="F1054" s="151" t="s">
        <v>2959</v>
      </c>
      <c r="K1054" s="201"/>
      <c r="M1054" s="151"/>
      <c r="R1054" s="154"/>
      <c r="S1054" s="154"/>
      <c r="T1054" s="154"/>
    </row>
    <row r="1055" spans="1:20" s="149" customFormat="1" ht="18" customHeight="1" x14ac:dyDescent="0.25">
      <c r="A1055" s="335"/>
      <c r="B1055" s="203">
        <v>60</v>
      </c>
      <c r="C1055" s="461"/>
      <c r="D1055" s="808" t="s">
        <v>2950</v>
      </c>
      <c r="E1055" s="336">
        <v>5</v>
      </c>
      <c r="F1055" s="151"/>
      <c r="K1055" s="201"/>
      <c r="M1055" s="151"/>
      <c r="R1055" s="154"/>
      <c r="S1055" s="154"/>
      <c r="T1055" s="154"/>
    </row>
    <row r="1056" spans="1:20" s="149" customFormat="1" ht="18" customHeight="1" thickBot="1" x14ac:dyDescent="0.3">
      <c r="A1056" s="335"/>
      <c r="B1056" s="203">
        <v>130</v>
      </c>
      <c r="C1056" s="461"/>
      <c r="D1056" s="808" t="s">
        <v>2951</v>
      </c>
      <c r="E1056" s="336"/>
      <c r="F1056" s="151"/>
      <c r="K1056" s="201"/>
      <c r="M1056" s="151"/>
      <c r="R1056" s="154"/>
      <c r="S1056" s="154"/>
      <c r="T1056" s="154"/>
    </row>
    <row r="1057" spans="1:20" s="149" customFormat="1" ht="18" customHeight="1" thickBot="1" x14ac:dyDescent="0.3">
      <c r="A1057" s="335"/>
      <c r="B1057" s="398">
        <f>SUM(B1049:B1056)</f>
        <v>780</v>
      </c>
      <c r="C1057" s="461"/>
      <c r="D1057" s="597"/>
      <c r="E1057" s="463"/>
      <c r="F1057" s="352"/>
      <c r="G1057" s="350"/>
      <c r="H1057" s="350"/>
      <c r="I1057" s="350"/>
      <c r="J1057" s="350"/>
      <c r="K1057" s="351"/>
      <c r="L1057" s="350"/>
      <c r="M1057" s="352"/>
      <c r="N1057" s="350"/>
      <c r="O1057" s="350"/>
      <c r="P1057" s="353"/>
      <c r="R1057" s="154"/>
      <c r="S1057" s="154"/>
      <c r="T1057" s="154"/>
    </row>
    <row r="1058" spans="1:20" s="149" customFormat="1" ht="18" customHeight="1" x14ac:dyDescent="0.25">
      <c r="A1058" s="335"/>
      <c r="B1058" s="203"/>
      <c r="C1058" s="461"/>
      <c r="D1058" s="597"/>
      <c r="E1058" s="336"/>
      <c r="F1058" s="151"/>
      <c r="K1058" s="201"/>
      <c r="M1058" s="151"/>
      <c r="R1058" s="154"/>
      <c r="S1058" s="154"/>
      <c r="T1058" s="154"/>
    </row>
    <row r="1059" spans="1:20" s="395" customFormat="1" ht="18" customHeight="1" x14ac:dyDescent="0.25">
      <c r="A1059" s="181">
        <v>45479</v>
      </c>
      <c r="B1059" s="397">
        <v>90</v>
      </c>
      <c r="C1059" s="205"/>
      <c r="D1059" s="708" t="s">
        <v>2952</v>
      </c>
      <c r="E1059" s="403"/>
      <c r="F1059" s="394"/>
      <c r="K1059" s="396"/>
      <c r="M1059" s="394"/>
      <c r="R1059" s="393"/>
      <c r="S1059" s="393"/>
      <c r="T1059" s="393"/>
    </row>
    <row r="1060" spans="1:20" s="149" customFormat="1" ht="18" customHeight="1" x14ac:dyDescent="0.25">
      <c r="A1060" s="335"/>
      <c r="B1060" s="203">
        <v>72</v>
      </c>
      <c r="C1060" s="461"/>
      <c r="D1060" s="808" t="s">
        <v>2953</v>
      </c>
      <c r="E1060" s="336"/>
      <c r="F1060" s="151"/>
      <c r="K1060" s="201"/>
      <c r="M1060" s="151"/>
      <c r="R1060" s="154"/>
      <c r="S1060" s="154"/>
      <c r="T1060" s="154"/>
    </row>
    <row r="1061" spans="1:20" s="149" customFormat="1" ht="18" customHeight="1" thickBot="1" x14ac:dyDescent="0.3">
      <c r="A1061" s="335"/>
      <c r="B1061" s="203">
        <v>5</v>
      </c>
      <c r="C1061" s="461"/>
      <c r="D1061" s="597" t="s">
        <v>2960</v>
      </c>
      <c r="E1061" s="336"/>
      <c r="F1061" s="151"/>
      <c r="K1061" s="201"/>
      <c r="M1061" s="151"/>
      <c r="R1061" s="154"/>
      <c r="S1061" s="154"/>
      <c r="T1061" s="154"/>
    </row>
    <row r="1062" spans="1:20" s="149" customFormat="1" ht="18" customHeight="1" thickBot="1" x14ac:dyDescent="0.3">
      <c r="A1062" s="335"/>
      <c r="B1062" s="398">
        <f>SUM(B1059:B1061)</f>
        <v>167</v>
      </c>
      <c r="C1062" s="461"/>
      <c r="D1062" s="597"/>
      <c r="E1062" s="463"/>
      <c r="F1062" s="352"/>
      <c r="G1062" s="350"/>
      <c r="H1062" s="350"/>
      <c r="I1062" s="350"/>
      <c r="J1062" s="350"/>
      <c r="K1062" s="351"/>
      <c r="L1062" s="350"/>
      <c r="M1062" s="352"/>
      <c r="N1062" s="350"/>
      <c r="O1062" s="350"/>
      <c r="P1062" s="353"/>
      <c r="R1062" s="154"/>
      <c r="S1062" s="154"/>
      <c r="T1062" s="154"/>
    </row>
    <row r="1063" spans="1:20" s="149" customFormat="1" ht="18" customHeight="1" x14ac:dyDescent="0.25">
      <c r="A1063" s="335"/>
      <c r="B1063" s="397"/>
      <c r="C1063" s="461"/>
      <c r="D1063" s="597"/>
      <c r="E1063" s="403"/>
      <c r="F1063" s="394"/>
      <c r="G1063" s="395"/>
      <c r="H1063" s="395"/>
      <c r="I1063" s="395"/>
      <c r="J1063" s="395"/>
      <c r="K1063" s="396"/>
      <c r="L1063" s="395"/>
      <c r="M1063" s="394"/>
      <c r="N1063" s="395"/>
      <c r="O1063" s="395"/>
      <c r="P1063" s="395"/>
      <c r="R1063" s="154"/>
      <c r="S1063" s="154"/>
      <c r="T1063" s="154"/>
    </row>
    <row r="1064" spans="1:20" s="149" customFormat="1" ht="18" customHeight="1" x14ac:dyDescent="0.25">
      <c r="A1064" s="335">
        <v>45481</v>
      </c>
      <c r="B1064" s="397">
        <v>80</v>
      </c>
      <c r="C1064" s="461"/>
      <c r="D1064" s="808" t="s">
        <v>2961</v>
      </c>
      <c r="E1064" s="403"/>
      <c r="F1064" s="394"/>
      <c r="G1064" s="395"/>
      <c r="H1064" s="395"/>
      <c r="I1064" s="395"/>
      <c r="J1064" s="395"/>
      <c r="K1064" s="396"/>
      <c r="L1064" s="395"/>
      <c r="M1064" s="394"/>
      <c r="N1064" s="395"/>
      <c r="O1064" s="395"/>
      <c r="P1064" s="395"/>
      <c r="R1064" s="154"/>
      <c r="S1064" s="154"/>
      <c r="T1064" s="154"/>
    </row>
    <row r="1065" spans="1:20" s="149" customFormat="1" ht="18" customHeight="1" thickBot="1" x14ac:dyDescent="0.3">
      <c r="A1065" s="335"/>
      <c r="B1065" s="397"/>
      <c r="C1065" s="461"/>
      <c r="D1065" s="597"/>
      <c r="E1065" s="403"/>
      <c r="F1065" s="394"/>
      <c r="G1065" s="395"/>
      <c r="H1065" s="395"/>
      <c r="I1065" s="395"/>
      <c r="J1065" s="395"/>
      <c r="K1065" s="396"/>
      <c r="L1065" s="395"/>
      <c r="M1065" s="394"/>
      <c r="N1065" s="395"/>
      <c r="O1065" s="395"/>
      <c r="P1065" s="395"/>
      <c r="R1065" s="154"/>
      <c r="S1065" s="154"/>
      <c r="T1065" s="154"/>
    </row>
    <row r="1066" spans="1:20" s="149" customFormat="1" ht="18" customHeight="1" thickBot="1" x14ac:dyDescent="0.3">
      <c r="A1066" s="335"/>
      <c r="B1066" s="398">
        <f>SUM(B1064:B1065)</f>
        <v>80</v>
      </c>
      <c r="C1066" s="461"/>
      <c r="D1066" s="597"/>
      <c r="E1066" s="463"/>
      <c r="F1066" s="352"/>
      <c r="G1066" s="350"/>
      <c r="H1066" s="350"/>
      <c r="I1066" s="350"/>
      <c r="J1066" s="350"/>
      <c r="K1066" s="351"/>
      <c r="L1066" s="350"/>
      <c r="M1066" s="352"/>
      <c r="N1066" s="350"/>
      <c r="O1066" s="350"/>
      <c r="P1066" s="353"/>
      <c r="R1066" s="154"/>
      <c r="S1066" s="154"/>
      <c r="T1066" s="154"/>
    </row>
    <row r="1067" spans="1:20" s="149" customFormat="1" ht="18" customHeight="1" thickBot="1" x14ac:dyDescent="0.3">
      <c r="A1067" s="335"/>
      <c r="B1067" s="397"/>
      <c r="C1067" s="461"/>
      <c r="D1067" s="597"/>
      <c r="E1067" s="403"/>
      <c r="F1067" s="394"/>
      <c r="G1067" s="395"/>
      <c r="H1067" s="395"/>
      <c r="I1067" s="395"/>
      <c r="J1067" s="395"/>
      <c r="K1067" s="396"/>
      <c r="L1067" s="395"/>
      <c r="M1067" s="394"/>
      <c r="N1067" s="395"/>
      <c r="O1067" s="395"/>
      <c r="P1067" s="395"/>
      <c r="R1067" s="154"/>
      <c r="S1067" s="154"/>
      <c r="T1067" s="154"/>
    </row>
    <row r="1068" spans="1:20" s="149" customFormat="1" ht="18" customHeight="1" thickBot="1" x14ac:dyDescent="0.3">
      <c r="A1068" s="335">
        <v>45482</v>
      </c>
      <c r="B1068" s="398">
        <v>25</v>
      </c>
      <c r="C1068" s="461"/>
      <c r="D1068" s="808" t="s">
        <v>2962</v>
      </c>
      <c r="E1068" s="403"/>
      <c r="F1068" s="394"/>
      <c r="G1068" s="395"/>
      <c r="H1068" s="395"/>
      <c r="I1068" s="395"/>
      <c r="J1068" s="395"/>
      <c r="K1068" s="396"/>
      <c r="L1068" s="395"/>
      <c r="M1068" s="394"/>
      <c r="N1068" s="395"/>
      <c r="O1068" s="395"/>
      <c r="P1068" s="395"/>
      <c r="R1068" s="154"/>
      <c r="S1068" s="154"/>
      <c r="T1068" s="154"/>
    </row>
    <row r="1069" spans="1:20" s="149" customFormat="1" ht="18" customHeight="1" thickBot="1" x14ac:dyDescent="0.3">
      <c r="A1069" s="335"/>
      <c r="B1069" s="397"/>
      <c r="C1069" s="461"/>
      <c r="D1069" s="597"/>
      <c r="E1069" s="463"/>
      <c r="F1069" s="352"/>
      <c r="G1069" s="350"/>
      <c r="H1069" s="350"/>
      <c r="I1069" s="350"/>
      <c r="J1069" s="350"/>
      <c r="K1069" s="351"/>
      <c r="L1069" s="350"/>
      <c r="M1069" s="352"/>
      <c r="N1069" s="350"/>
      <c r="O1069" s="350"/>
      <c r="P1069" s="353"/>
      <c r="R1069" s="154"/>
      <c r="S1069" s="154"/>
      <c r="T1069" s="154"/>
    </row>
    <row r="1070" spans="1:20" s="149" customFormat="1" ht="18" customHeight="1" x14ac:dyDescent="0.25">
      <c r="A1070" s="335">
        <v>45483</v>
      </c>
      <c r="B1070" s="397">
        <v>60</v>
      </c>
      <c r="C1070" s="461"/>
      <c r="D1070" s="808" t="s">
        <v>1942</v>
      </c>
      <c r="E1070" s="403"/>
      <c r="F1070" s="394"/>
      <c r="G1070" s="395"/>
      <c r="H1070" s="395"/>
      <c r="I1070" s="395"/>
      <c r="J1070" s="395"/>
      <c r="K1070" s="396"/>
      <c r="L1070" s="395"/>
      <c r="M1070" s="394"/>
      <c r="N1070" s="395"/>
      <c r="O1070" s="395"/>
      <c r="P1070" s="395"/>
      <c r="R1070" s="154"/>
      <c r="S1070" s="154"/>
      <c r="T1070" s="154"/>
    </row>
    <row r="1071" spans="1:20" s="149" customFormat="1" ht="18" customHeight="1" x14ac:dyDescent="0.25">
      <c r="A1071" s="335"/>
      <c r="B1071" s="397">
        <v>50</v>
      </c>
      <c r="C1071" s="461"/>
      <c r="D1071" s="808" t="s">
        <v>2963</v>
      </c>
      <c r="E1071" s="403"/>
      <c r="F1071" s="394"/>
      <c r="G1071" s="395"/>
      <c r="H1071" s="395"/>
      <c r="I1071" s="395"/>
      <c r="J1071" s="395"/>
      <c r="K1071" s="396"/>
      <c r="L1071" s="395"/>
      <c r="M1071" s="394"/>
      <c r="N1071" s="395"/>
      <c r="O1071" s="395"/>
      <c r="P1071" s="395"/>
      <c r="R1071" s="154"/>
      <c r="S1071" s="154"/>
      <c r="T1071" s="154"/>
    </row>
    <row r="1072" spans="1:20" s="149" customFormat="1" ht="18" customHeight="1" x14ac:dyDescent="0.25">
      <c r="A1072" s="335"/>
      <c r="B1072" s="397">
        <v>60</v>
      </c>
      <c r="C1072" s="461"/>
      <c r="D1072" s="808" t="s">
        <v>2964</v>
      </c>
      <c r="E1072" s="403"/>
      <c r="F1072" s="394"/>
      <c r="G1072" s="395"/>
      <c r="H1072" s="395"/>
      <c r="I1072" s="395"/>
      <c r="J1072" s="395"/>
      <c r="K1072" s="396"/>
      <c r="L1072" s="395"/>
      <c r="M1072" s="394"/>
      <c r="N1072" s="395"/>
      <c r="O1072" s="395"/>
      <c r="P1072" s="395"/>
      <c r="R1072" s="154"/>
      <c r="S1072" s="154"/>
      <c r="T1072" s="154"/>
    </row>
    <row r="1073" spans="1:20" s="149" customFormat="1" ht="18" customHeight="1" thickBot="1" x14ac:dyDescent="0.3">
      <c r="A1073" s="335"/>
      <c r="B1073" s="397">
        <v>45</v>
      </c>
      <c r="C1073" s="461"/>
      <c r="D1073" s="808" t="s">
        <v>2973</v>
      </c>
      <c r="E1073" s="403"/>
      <c r="F1073" s="394"/>
      <c r="G1073" s="395"/>
      <c r="H1073" s="395"/>
      <c r="I1073" s="395"/>
      <c r="J1073" s="395"/>
      <c r="K1073" s="396"/>
      <c r="L1073" s="395"/>
      <c r="M1073" s="394"/>
      <c r="N1073" s="395"/>
      <c r="O1073" s="395"/>
      <c r="P1073" s="395"/>
      <c r="R1073" s="154"/>
      <c r="S1073" s="154"/>
      <c r="T1073" s="154"/>
    </row>
    <row r="1074" spans="1:20" s="149" customFormat="1" ht="18" customHeight="1" thickBot="1" x14ac:dyDescent="0.3">
      <c r="A1074" s="335"/>
      <c r="B1074" s="398">
        <f>SUM(B1070:B1073)</f>
        <v>215</v>
      </c>
      <c r="C1074" s="461"/>
      <c r="D1074" s="597"/>
      <c r="E1074" s="463"/>
      <c r="F1074" s="352"/>
      <c r="G1074" s="350"/>
      <c r="H1074" s="350"/>
      <c r="I1074" s="350"/>
      <c r="J1074" s="350"/>
      <c r="K1074" s="351"/>
      <c r="L1074" s="350"/>
      <c r="M1074" s="352"/>
      <c r="N1074" s="350"/>
      <c r="O1074" s="350"/>
      <c r="P1074" s="353"/>
      <c r="R1074" s="154"/>
      <c r="S1074" s="154"/>
      <c r="T1074" s="154"/>
    </row>
    <row r="1075" spans="1:20" s="149" customFormat="1" ht="18" customHeight="1" x14ac:dyDescent="0.25">
      <c r="A1075" s="335"/>
      <c r="B1075" s="397"/>
      <c r="C1075" s="461"/>
      <c r="D1075" s="597"/>
      <c r="E1075" s="403"/>
      <c r="F1075" s="394"/>
      <c r="G1075" s="395"/>
      <c r="H1075" s="395"/>
      <c r="I1075" s="395"/>
      <c r="J1075" s="395"/>
      <c r="K1075" s="396"/>
      <c r="L1075" s="395"/>
      <c r="M1075" s="394"/>
      <c r="N1075" s="395"/>
      <c r="O1075" s="395"/>
      <c r="P1075" s="395"/>
      <c r="R1075" s="154"/>
      <c r="S1075" s="154"/>
      <c r="T1075" s="154"/>
    </row>
    <row r="1076" spans="1:20" s="149" customFormat="1" ht="18" customHeight="1" x14ac:dyDescent="0.25">
      <c r="A1076" s="335">
        <v>45484</v>
      </c>
      <c r="B1076" s="397">
        <v>270</v>
      </c>
      <c r="C1076" s="461"/>
      <c r="D1076" s="597" t="s">
        <v>2966</v>
      </c>
      <c r="E1076" s="403"/>
      <c r="F1076" s="394"/>
      <c r="G1076" s="395"/>
      <c r="H1076" s="395"/>
      <c r="I1076" s="395"/>
      <c r="J1076" s="395"/>
      <c r="K1076" s="396"/>
      <c r="L1076" s="395"/>
      <c r="M1076" s="394"/>
      <c r="N1076" s="395"/>
      <c r="O1076" s="395"/>
      <c r="P1076" s="395"/>
      <c r="R1076" s="154"/>
      <c r="S1076" s="154"/>
      <c r="T1076" s="154"/>
    </row>
    <row r="1077" spans="1:20" s="149" customFormat="1" ht="18" customHeight="1" x14ac:dyDescent="0.25">
      <c r="A1077" s="335"/>
      <c r="B1077" s="397">
        <v>100</v>
      </c>
      <c r="C1077" s="461"/>
      <c r="D1077" s="808" t="s">
        <v>2004</v>
      </c>
      <c r="E1077" s="403"/>
      <c r="F1077" s="394"/>
      <c r="G1077" s="395"/>
      <c r="H1077" s="395"/>
      <c r="I1077" s="395"/>
      <c r="J1077" s="395"/>
      <c r="K1077" s="396"/>
      <c r="L1077" s="395"/>
      <c r="M1077" s="394"/>
      <c r="N1077" s="395"/>
      <c r="O1077" s="395"/>
      <c r="P1077" s="395"/>
      <c r="R1077" s="154"/>
      <c r="S1077" s="154"/>
      <c r="T1077" s="154"/>
    </row>
    <row r="1078" spans="1:20" s="149" customFormat="1" ht="18" customHeight="1" x14ac:dyDescent="0.25">
      <c r="A1078" s="335"/>
      <c r="B1078" s="397">
        <v>85</v>
      </c>
      <c r="C1078" s="461"/>
      <c r="D1078" s="808" t="s">
        <v>2967</v>
      </c>
      <c r="E1078" s="403"/>
      <c r="F1078" s="394"/>
      <c r="G1078" s="395"/>
      <c r="H1078" s="395"/>
      <c r="I1078" s="395"/>
      <c r="J1078" s="395"/>
      <c r="K1078" s="396"/>
      <c r="L1078" s="395"/>
      <c r="M1078" s="394"/>
      <c r="N1078" s="395"/>
      <c r="O1078" s="395"/>
      <c r="P1078" s="395"/>
      <c r="R1078" s="154"/>
      <c r="S1078" s="154"/>
      <c r="T1078" s="154"/>
    </row>
    <row r="1079" spans="1:20" s="149" customFormat="1" ht="18" customHeight="1" x14ac:dyDescent="0.25">
      <c r="A1079" s="335"/>
      <c r="B1079" s="397">
        <v>260</v>
      </c>
      <c r="C1079" s="461"/>
      <c r="D1079" s="808" t="s">
        <v>2595</v>
      </c>
      <c r="E1079" s="403"/>
      <c r="F1079" s="394"/>
      <c r="G1079" s="395"/>
      <c r="H1079" s="395"/>
      <c r="I1079" s="395"/>
      <c r="J1079" s="395"/>
      <c r="K1079" s="396"/>
      <c r="L1079" s="395"/>
      <c r="M1079" s="394"/>
      <c r="N1079" s="395"/>
      <c r="O1079" s="395"/>
      <c r="P1079" s="395"/>
      <c r="R1079" s="154"/>
      <c r="S1079" s="154"/>
      <c r="T1079" s="154"/>
    </row>
    <row r="1080" spans="1:20" s="149" customFormat="1" ht="18" customHeight="1" x14ac:dyDescent="0.25">
      <c r="A1080" s="335"/>
      <c r="B1080" s="397">
        <v>165</v>
      </c>
      <c r="C1080" s="461"/>
      <c r="D1080" s="808" t="s">
        <v>2968</v>
      </c>
      <c r="E1080" s="403"/>
      <c r="F1080" s="394"/>
      <c r="G1080" s="395"/>
      <c r="H1080" s="395"/>
      <c r="I1080" s="395"/>
      <c r="J1080" s="395"/>
      <c r="K1080" s="396"/>
      <c r="L1080" s="395"/>
      <c r="M1080" s="394"/>
      <c r="N1080" s="395"/>
      <c r="O1080" s="395"/>
      <c r="P1080" s="395"/>
      <c r="R1080" s="154"/>
      <c r="S1080" s="154"/>
      <c r="T1080" s="154"/>
    </row>
    <row r="1081" spans="1:20" s="149" customFormat="1" ht="18" customHeight="1" x14ac:dyDescent="0.25">
      <c r="A1081" s="335"/>
      <c r="B1081" s="397">
        <v>125</v>
      </c>
      <c r="C1081" s="461"/>
      <c r="D1081" s="808" t="s">
        <v>2969</v>
      </c>
      <c r="E1081" s="403"/>
      <c r="F1081" s="394"/>
      <c r="G1081" s="395"/>
      <c r="H1081" s="395"/>
      <c r="I1081" s="395"/>
      <c r="J1081" s="395"/>
      <c r="K1081" s="396"/>
      <c r="L1081" s="395"/>
      <c r="M1081" s="394"/>
      <c r="N1081" s="395"/>
      <c r="O1081" s="395"/>
      <c r="P1081" s="395"/>
      <c r="R1081" s="154"/>
      <c r="S1081" s="154"/>
      <c r="T1081" s="154"/>
    </row>
    <row r="1082" spans="1:20" s="149" customFormat="1" ht="18" customHeight="1" x14ac:dyDescent="0.25">
      <c r="A1082" s="335"/>
      <c r="B1082" s="397">
        <v>45</v>
      </c>
      <c r="C1082" s="461"/>
      <c r="D1082" s="808" t="s">
        <v>2588</v>
      </c>
      <c r="E1082" s="403"/>
      <c r="F1082" s="394"/>
      <c r="G1082" s="395"/>
      <c r="H1082" s="395"/>
      <c r="I1082" s="395"/>
      <c r="J1082" s="395"/>
      <c r="K1082" s="396"/>
      <c r="L1082" s="395"/>
      <c r="M1082" s="394"/>
      <c r="N1082" s="395"/>
      <c r="O1082" s="395"/>
      <c r="P1082" s="395"/>
      <c r="R1082" s="154"/>
      <c r="S1082" s="154"/>
      <c r="T1082" s="154"/>
    </row>
    <row r="1083" spans="1:20" s="149" customFormat="1" ht="18" customHeight="1" thickBot="1" x14ac:dyDescent="0.3">
      <c r="A1083" s="335"/>
      <c r="B1083" s="397">
        <v>25</v>
      </c>
      <c r="C1083" s="461"/>
      <c r="D1083" s="808" t="s">
        <v>2970</v>
      </c>
      <c r="E1083" s="403"/>
      <c r="F1083" s="394"/>
      <c r="G1083" s="395"/>
      <c r="H1083" s="395"/>
      <c r="I1083" s="395"/>
      <c r="J1083" s="395"/>
      <c r="K1083" s="396"/>
      <c r="L1083" s="395"/>
      <c r="M1083" s="394"/>
      <c r="N1083" s="395"/>
      <c r="O1083" s="395"/>
      <c r="P1083" s="395"/>
      <c r="R1083" s="154"/>
      <c r="S1083" s="154"/>
      <c r="T1083" s="154"/>
    </row>
    <row r="1084" spans="1:20" s="149" customFormat="1" ht="18" customHeight="1" thickBot="1" x14ac:dyDescent="0.3">
      <c r="A1084" s="335"/>
      <c r="B1084" s="398">
        <f>SUM(B1076:B1083)</f>
        <v>1075</v>
      </c>
      <c r="C1084" s="461"/>
      <c r="D1084" s="597"/>
      <c r="E1084" s="463"/>
      <c r="F1084" s="352"/>
      <c r="G1084" s="350"/>
      <c r="H1084" s="350"/>
      <c r="I1084" s="350"/>
      <c r="J1084" s="350"/>
      <c r="K1084" s="351"/>
      <c r="L1084" s="350"/>
      <c r="M1084" s="352"/>
      <c r="N1084" s="350"/>
      <c r="O1084" s="350"/>
      <c r="P1084" s="353"/>
      <c r="R1084" s="154"/>
      <c r="S1084" s="154"/>
      <c r="T1084" s="154"/>
    </row>
    <row r="1085" spans="1:20" s="149" customFormat="1" ht="18" customHeight="1" x14ac:dyDescent="0.25">
      <c r="A1085" s="335"/>
      <c r="B1085" s="397"/>
      <c r="C1085" s="461"/>
      <c r="D1085" s="597"/>
      <c r="E1085" s="403"/>
      <c r="F1085" s="394"/>
      <c r="G1085" s="395"/>
      <c r="H1085" s="395"/>
      <c r="I1085" s="395"/>
      <c r="J1085" s="395"/>
      <c r="K1085" s="396"/>
      <c r="L1085" s="395"/>
      <c r="M1085" s="394"/>
      <c r="N1085" s="395"/>
      <c r="O1085" s="395"/>
      <c r="P1085" s="395"/>
      <c r="R1085" s="154"/>
      <c r="S1085" s="154"/>
      <c r="T1085" s="154"/>
    </row>
    <row r="1086" spans="1:20" s="149" customFormat="1" ht="18" customHeight="1" x14ac:dyDescent="0.25">
      <c r="A1086" s="335">
        <v>45485</v>
      </c>
      <c r="B1086" s="397">
        <v>85</v>
      </c>
      <c r="C1086" s="461"/>
      <c r="D1086" s="808" t="s">
        <v>2971</v>
      </c>
      <c r="E1086" s="403"/>
      <c r="F1086" s="394"/>
      <c r="G1086" s="395"/>
      <c r="H1086" s="395"/>
      <c r="I1086" s="395"/>
      <c r="J1086" s="395"/>
      <c r="K1086" s="396"/>
      <c r="L1086" s="395"/>
      <c r="M1086" s="394"/>
      <c r="N1086" s="395"/>
      <c r="O1086" s="395"/>
      <c r="P1086" s="395"/>
      <c r="R1086" s="154"/>
      <c r="S1086" s="154"/>
      <c r="T1086" s="154"/>
    </row>
    <row r="1087" spans="1:20" s="149" customFormat="1" ht="18" customHeight="1" thickBot="1" x14ac:dyDescent="0.3">
      <c r="A1087" s="335"/>
      <c r="B1087" s="397">
        <v>85</v>
      </c>
      <c r="C1087" s="461"/>
      <c r="D1087" s="808" t="s">
        <v>2972</v>
      </c>
      <c r="E1087" s="403"/>
      <c r="F1087" s="394"/>
      <c r="G1087" s="395"/>
      <c r="H1087" s="395"/>
      <c r="I1087" s="395"/>
      <c r="J1087" s="395"/>
      <c r="K1087" s="396"/>
      <c r="L1087" s="395"/>
      <c r="M1087" s="394"/>
      <c r="N1087" s="395"/>
      <c r="O1087" s="395"/>
      <c r="P1087" s="395"/>
      <c r="R1087" s="154"/>
      <c r="S1087" s="154"/>
      <c r="T1087" s="154"/>
    </row>
    <row r="1088" spans="1:20" s="149" customFormat="1" ht="18" customHeight="1" thickBot="1" x14ac:dyDescent="0.3">
      <c r="A1088" s="335"/>
      <c r="B1088" s="398">
        <f>SUM(B1086:B1087)</f>
        <v>170</v>
      </c>
      <c r="C1088" s="461"/>
      <c r="D1088" s="597"/>
      <c r="E1088" s="463"/>
      <c r="F1088" s="352"/>
      <c r="G1088" s="350"/>
      <c r="H1088" s="350"/>
      <c r="I1088" s="350"/>
      <c r="J1088" s="350"/>
      <c r="K1088" s="351"/>
      <c r="L1088" s="350"/>
      <c r="M1088" s="352"/>
      <c r="N1088" s="350"/>
      <c r="O1088" s="350"/>
      <c r="P1088" s="353"/>
      <c r="R1088" s="154"/>
      <c r="S1088" s="154"/>
      <c r="T1088" s="154"/>
    </row>
    <row r="1089" spans="1:20" s="149" customFormat="1" ht="18" customHeight="1" x14ac:dyDescent="0.25">
      <c r="A1089" s="335"/>
      <c r="B1089" s="397"/>
      <c r="C1089" s="461"/>
      <c r="D1089" s="597"/>
      <c r="E1089" s="403"/>
      <c r="F1089" s="394"/>
      <c r="G1089" s="395"/>
      <c r="H1089" s="395"/>
      <c r="I1089" s="395"/>
      <c r="J1089" s="395"/>
      <c r="K1089" s="396"/>
      <c r="L1089" s="395"/>
      <c r="M1089" s="394"/>
      <c r="N1089" s="395"/>
      <c r="O1089" s="395"/>
      <c r="P1089" s="395"/>
      <c r="R1089" s="154"/>
      <c r="S1089" s="154"/>
      <c r="T1089" s="154"/>
    </row>
    <row r="1090" spans="1:20" s="149" customFormat="1" ht="18" customHeight="1" x14ac:dyDescent="0.25">
      <c r="A1090" s="335">
        <v>45486</v>
      </c>
      <c r="B1090" s="397">
        <v>65</v>
      </c>
      <c r="C1090" s="461"/>
      <c r="D1090" s="808" t="s">
        <v>2975</v>
      </c>
      <c r="E1090" s="885" t="s">
        <v>1909</v>
      </c>
      <c r="F1090" s="504"/>
      <c r="G1090" s="395"/>
      <c r="H1090" s="395"/>
      <c r="I1090" s="395"/>
      <c r="J1090" s="395"/>
      <c r="K1090" s="396"/>
      <c r="L1090" s="395"/>
      <c r="M1090" s="394"/>
      <c r="N1090" s="395"/>
      <c r="O1090" s="395"/>
      <c r="P1090" s="395"/>
      <c r="R1090" s="154"/>
      <c r="S1090" s="154"/>
      <c r="T1090" s="154"/>
    </row>
    <row r="1091" spans="1:20" s="149" customFormat="1" ht="18" customHeight="1" x14ac:dyDescent="0.25">
      <c r="A1091" s="335"/>
      <c r="B1091" s="397">
        <v>65</v>
      </c>
      <c r="C1091" s="461"/>
      <c r="D1091" s="808" t="s">
        <v>2976</v>
      </c>
      <c r="E1091" s="403"/>
      <c r="F1091" s="394"/>
      <c r="G1091" s="395"/>
      <c r="H1091" s="395"/>
      <c r="I1091" s="395"/>
      <c r="J1091" s="395"/>
      <c r="K1091" s="396"/>
      <c r="L1091" s="395"/>
      <c r="M1091" s="394"/>
      <c r="N1091" s="395"/>
      <c r="O1091" s="395"/>
      <c r="P1091" s="395"/>
      <c r="R1091" s="154"/>
      <c r="S1091" s="154"/>
      <c r="T1091" s="154"/>
    </row>
    <row r="1092" spans="1:20" s="149" customFormat="1" ht="18" customHeight="1" x14ac:dyDescent="0.25">
      <c r="A1092" s="335"/>
      <c r="B1092" s="397">
        <v>65</v>
      </c>
      <c r="C1092" s="461"/>
      <c r="D1092" s="808" t="s">
        <v>2977</v>
      </c>
      <c r="E1092" s="403"/>
      <c r="F1092" s="394"/>
      <c r="G1092" s="395"/>
      <c r="H1092" s="395"/>
      <c r="I1092" s="395"/>
      <c r="J1092" s="395"/>
      <c r="K1092" s="396"/>
      <c r="L1092" s="395"/>
      <c r="M1092" s="394"/>
      <c r="N1092" s="395"/>
      <c r="O1092" s="395"/>
      <c r="P1092" s="395"/>
      <c r="R1092" s="154"/>
      <c r="S1092" s="154"/>
      <c r="T1092" s="154"/>
    </row>
    <row r="1093" spans="1:20" s="149" customFormat="1" ht="18" customHeight="1" thickBot="1" x14ac:dyDescent="0.3">
      <c r="A1093" s="335"/>
      <c r="B1093" s="397">
        <v>5</v>
      </c>
      <c r="C1093" s="461"/>
      <c r="D1093" s="808" t="s">
        <v>3032</v>
      </c>
      <c r="E1093" s="403"/>
      <c r="F1093" s="394"/>
      <c r="G1093" s="395"/>
      <c r="H1093" s="395"/>
      <c r="I1093" s="395"/>
      <c r="J1093" s="395"/>
      <c r="K1093" s="396"/>
      <c r="L1093" s="395"/>
      <c r="M1093" s="394"/>
      <c r="N1093" s="395"/>
      <c r="O1093" s="395"/>
      <c r="P1093" s="395"/>
      <c r="R1093" s="154"/>
      <c r="S1093" s="154"/>
      <c r="T1093" s="154"/>
    </row>
    <row r="1094" spans="1:20" s="149" customFormat="1" ht="18" customHeight="1" thickBot="1" x14ac:dyDescent="0.3">
      <c r="A1094" s="335"/>
      <c r="B1094" s="398">
        <f>SUM(B1090:B1093)</f>
        <v>200</v>
      </c>
      <c r="C1094" s="461"/>
      <c r="D1094" s="597"/>
      <c r="E1094" s="463"/>
      <c r="F1094" s="352"/>
      <c r="G1094" s="350"/>
      <c r="H1094" s="350"/>
      <c r="I1094" s="350"/>
      <c r="J1094" s="350"/>
      <c r="K1094" s="351"/>
      <c r="L1094" s="350"/>
      <c r="M1094" s="352"/>
      <c r="N1094" s="350"/>
      <c r="O1094" s="350"/>
      <c r="P1094" s="353"/>
      <c r="R1094" s="154"/>
      <c r="S1094" s="154"/>
      <c r="T1094" s="154"/>
    </row>
    <row r="1095" spans="1:20" s="149" customFormat="1" ht="18" customHeight="1" thickBot="1" x14ac:dyDescent="0.3">
      <c r="A1095" s="335"/>
      <c r="B1095" s="397"/>
      <c r="C1095" s="461"/>
      <c r="D1095" s="597"/>
      <c r="E1095" s="403"/>
      <c r="F1095" s="394"/>
      <c r="G1095" s="395"/>
      <c r="H1095" s="395"/>
      <c r="I1095" s="395"/>
      <c r="J1095" s="395"/>
      <c r="K1095" s="396"/>
      <c r="L1095" s="395"/>
      <c r="M1095" s="394"/>
      <c r="N1095" s="395"/>
      <c r="O1095" s="395"/>
      <c r="P1095" s="395"/>
      <c r="R1095" s="154"/>
      <c r="S1095" s="154"/>
      <c r="T1095" s="154"/>
    </row>
    <row r="1096" spans="1:20" s="149" customFormat="1" ht="18" customHeight="1" thickBot="1" x14ac:dyDescent="0.3">
      <c r="A1096" s="335">
        <v>45458</v>
      </c>
      <c r="B1096" s="398">
        <v>50</v>
      </c>
      <c r="C1096" s="461"/>
      <c r="D1096" s="808" t="s">
        <v>2978</v>
      </c>
      <c r="E1096" s="463"/>
      <c r="F1096" s="352"/>
      <c r="G1096" s="350"/>
      <c r="H1096" s="350"/>
      <c r="I1096" s="350"/>
      <c r="J1096" s="350"/>
      <c r="K1096" s="351"/>
      <c r="L1096" s="350"/>
      <c r="M1096" s="352"/>
      <c r="N1096" s="350"/>
      <c r="O1096" s="350"/>
      <c r="P1096" s="353"/>
      <c r="R1096" s="154"/>
      <c r="S1096" s="154"/>
      <c r="T1096" s="154"/>
    </row>
    <row r="1097" spans="1:20" s="149" customFormat="1" ht="18" customHeight="1" x14ac:dyDescent="0.25">
      <c r="A1097" s="335"/>
      <c r="B1097" s="397"/>
      <c r="C1097" s="461"/>
      <c r="D1097" s="597"/>
      <c r="E1097" s="403"/>
      <c r="F1097" s="394"/>
      <c r="G1097" s="395"/>
      <c r="H1097" s="395"/>
      <c r="I1097" s="395"/>
      <c r="J1097" s="395"/>
      <c r="K1097" s="396"/>
      <c r="L1097" s="395"/>
      <c r="M1097" s="394"/>
      <c r="N1097" s="395"/>
      <c r="O1097" s="395"/>
      <c r="P1097" s="395"/>
      <c r="R1097" s="154"/>
      <c r="S1097" s="154"/>
      <c r="T1097" s="154"/>
    </row>
    <row r="1098" spans="1:20" s="149" customFormat="1" ht="18" customHeight="1" x14ac:dyDescent="0.25">
      <c r="A1098" s="335">
        <v>45459</v>
      </c>
      <c r="B1098" s="397">
        <v>200</v>
      </c>
      <c r="C1098" s="461"/>
      <c r="D1098" s="808" t="s">
        <v>2979</v>
      </c>
      <c r="E1098" s="403"/>
      <c r="F1098" s="394"/>
      <c r="G1098" s="395"/>
      <c r="H1098" s="395"/>
      <c r="I1098" s="395"/>
      <c r="J1098" s="395"/>
      <c r="K1098" s="396"/>
      <c r="L1098" s="395"/>
      <c r="M1098" s="394"/>
      <c r="N1098" s="395"/>
      <c r="O1098" s="395"/>
      <c r="P1098" s="395"/>
      <c r="R1098" s="154"/>
      <c r="S1098" s="154"/>
      <c r="T1098" s="154"/>
    </row>
    <row r="1099" spans="1:20" s="149" customFormat="1" ht="18" customHeight="1" x14ac:dyDescent="0.25">
      <c r="A1099" s="335"/>
      <c r="B1099" s="397"/>
      <c r="C1099" s="461">
        <v>110</v>
      </c>
      <c r="D1099" s="808" t="s">
        <v>2980</v>
      </c>
      <c r="E1099" s="403"/>
      <c r="F1099" s="394"/>
      <c r="G1099" s="395"/>
      <c r="H1099" s="395"/>
      <c r="I1099" s="395"/>
      <c r="J1099" s="395"/>
      <c r="K1099" s="396"/>
      <c r="L1099" s="395"/>
      <c r="M1099" s="394"/>
      <c r="N1099" s="395"/>
      <c r="O1099" s="395"/>
      <c r="P1099" s="395"/>
      <c r="R1099" s="154"/>
      <c r="S1099" s="154"/>
      <c r="T1099" s="154"/>
    </row>
    <row r="1100" spans="1:20" s="149" customFormat="1" ht="18" customHeight="1" x14ac:dyDescent="0.25">
      <c r="A1100" s="335"/>
      <c r="B1100" s="397">
        <v>90</v>
      </c>
      <c r="C1100" s="461"/>
      <c r="D1100" s="808" t="s">
        <v>2346</v>
      </c>
      <c r="E1100" s="403"/>
      <c r="F1100" s="394"/>
      <c r="G1100" s="395"/>
      <c r="H1100" s="395"/>
      <c r="I1100" s="395"/>
      <c r="J1100" s="395"/>
      <c r="K1100" s="396"/>
      <c r="L1100" s="395"/>
      <c r="M1100" s="394"/>
      <c r="N1100" s="395"/>
      <c r="O1100" s="395"/>
      <c r="P1100" s="395"/>
      <c r="R1100" s="154"/>
      <c r="S1100" s="154"/>
      <c r="T1100" s="154"/>
    </row>
    <row r="1101" spans="1:20" s="149" customFormat="1" ht="18" customHeight="1" x14ac:dyDescent="0.25">
      <c r="A1101" s="335"/>
      <c r="B1101" s="397"/>
      <c r="C1101" s="461"/>
      <c r="D1101" s="829" t="s">
        <v>1985</v>
      </c>
      <c r="E1101" s="403"/>
      <c r="F1101" s="394"/>
      <c r="G1101" s="395"/>
      <c r="H1101" s="395"/>
      <c r="I1101" s="395"/>
      <c r="J1101" s="395"/>
      <c r="K1101" s="396"/>
      <c r="L1101" s="395"/>
      <c r="M1101" s="394"/>
      <c r="N1101" s="395"/>
      <c r="O1101" s="395"/>
      <c r="P1101" s="395"/>
      <c r="R1101" s="154"/>
      <c r="S1101" s="154"/>
      <c r="T1101" s="154"/>
    </row>
    <row r="1102" spans="1:20" s="149" customFormat="1" ht="18" customHeight="1" x14ac:dyDescent="0.25">
      <c r="A1102" s="335"/>
      <c r="B1102" s="397"/>
      <c r="C1102" s="461">
        <v>85</v>
      </c>
      <c r="D1102" s="808" t="s">
        <v>2981</v>
      </c>
      <c r="E1102" s="403"/>
      <c r="F1102" s="394"/>
      <c r="G1102" s="395"/>
      <c r="H1102" s="395"/>
      <c r="I1102" s="395"/>
      <c r="J1102" s="395"/>
      <c r="K1102" s="396"/>
      <c r="L1102" s="395"/>
      <c r="M1102" s="394"/>
      <c r="N1102" s="395"/>
      <c r="O1102" s="395"/>
      <c r="P1102" s="395"/>
      <c r="R1102" s="154"/>
      <c r="S1102" s="154"/>
      <c r="T1102" s="154"/>
    </row>
    <row r="1103" spans="1:20" s="149" customFormat="1" ht="18" customHeight="1" x14ac:dyDescent="0.25">
      <c r="A1103" s="335"/>
      <c r="B1103" s="397"/>
      <c r="C1103" s="461">
        <v>110</v>
      </c>
      <c r="D1103" s="808" t="s">
        <v>2982</v>
      </c>
      <c r="E1103" s="403"/>
      <c r="F1103" s="394"/>
      <c r="G1103" s="395"/>
      <c r="H1103" s="395"/>
      <c r="I1103" s="395"/>
      <c r="J1103" s="395"/>
      <c r="K1103" s="396"/>
      <c r="L1103" s="395"/>
      <c r="M1103" s="394"/>
      <c r="N1103" s="395"/>
      <c r="O1103" s="395"/>
      <c r="P1103" s="395"/>
      <c r="R1103" s="154"/>
      <c r="S1103" s="154"/>
      <c r="T1103" s="154"/>
    </row>
    <row r="1104" spans="1:20" s="149" customFormat="1" ht="18" customHeight="1" thickBot="1" x14ac:dyDescent="0.3">
      <c r="A1104" s="335"/>
      <c r="B1104" s="397">
        <v>55</v>
      </c>
      <c r="C1104" s="461"/>
      <c r="D1104" s="808" t="s">
        <v>2987</v>
      </c>
      <c r="E1104" s="403"/>
      <c r="F1104" s="394"/>
      <c r="G1104" s="395"/>
      <c r="H1104" s="395"/>
      <c r="I1104" s="395"/>
      <c r="J1104" s="395"/>
      <c r="K1104" s="396"/>
      <c r="L1104" s="395"/>
      <c r="M1104" s="394"/>
      <c r="N1104" s="395"/>
      <c r="O1104" s="395"/>
      <c r="P1104" s="395"/>
      <c r="R1104" s="154"/>
      <c r="S1104" s="154"/>
      <c r="T1104" s="154"/>
    </row>
    <row r="1105" spans="1:20" s="149" customFormat="1" ht="18" customHeight="1" thickBot="1" x14ac:dyDescent="0.3">
      <c r="A1105" s="335"/>
      <c r="B1105" s="398">
        <f>SUM(B1098:B1104)</f>
        <v>345</v>
      </c>
      <c r="C1105" s="461"/>
      <c r="D1105" s="597"/>
      <c r="E1105" s="463"/>
      <c r="F1105" s="352"/>
      <c r="G1105" s="350"/>
      <c r="H1105" s="350"/>
      <c r="I1105" s="350"/>
      <c r="J1105" s="350"/>
      <c r="K1105" s="351"/>
      <c r="L1105" s="350"/>
      <c r="M1105" s="352"/>
      <c r="N1105" s="350"/>
      <c r="O1105" s="350"/>
      <c r="P1105" s="353"/>
      <c r="R1105" s="154"/>
      <c r="S1105" s="154"/>
      <c r="T1105" s="154"/>
    </row>
    <row r="1106" spans="1:20" s="149" customFormat="1" ht="18" customHeight="1" x14ac:dyDescent="0.25">
      <c r="A1106" s="335"/>
      <c r="B1106" s="397"/>
      <c r="C1106" s="461"/>
      <c r="D1106" s="597"/>
      <c r="E1106" s="403"/>
      <c r="F1106" s="394"/>
      <c r="G1106" s="395"/>
      <c r="H1106" s="395"/>
      <c r="I1106" s="395"/>
      <c r="J1106" s="395"/>
      <c r="K1106" s="396"/>
      <c r="L1106" s="395"/>
      <c r="M1106" s="394"/>
      <c r="N1106" s="395"/>
      <c r="O1106" s="395"/>
      <c r="P1106" s="395"/>
      <c r="R1106" s="154"/>
      <c r="S1106" s="154"/>
      <c r="T1106" s="154"/>
    </row>
    <row r="1107" spans="1:20" s="149" customFormat="1" ht="18" customHeight="1" x14ac:dyDescent="0.25">
      <c r="A1107" s="335">
        <v>45491</v>
      </c>
      <c r="B1107" s="397">
        <v>70</v>
      </c>
      <c r="C1107" s="461"/>
      <c r="D1107" s="808" t="s">
        <v>3000</v>
      </c>
      <c r="E1107" s="403"/>
      <c r="F1107" s="394"/>
      <c r="G1107" s="395"/>
      <c r="H1107" s="395"/>
      <c r="I1107" s="395"/>
      <c r="J1107" s="395"/>
      <c r="K1107" s="396"/>
      <c r="L1107" s="395"/>
      <c r="M1107" s="394"/>
      <c r="N1107" s="395"/>
      <c r="O1107" s="395"/>
      <c r="P1107" s="395"/>
      <c r="R1107" s="154"/>
      <c r="S1107" s="154"/>
      <c r="T1107" s="154"/>
    </row>
    <row r="1108" spans="1:20" s="149" customFormat="1" ht="18" customHeight="1" x14ac:dyDescent="0.25">
      <c r="A1108" s="335"/>
      <c r="B1108" s="397">
        <v>10</v>
      </c>
      <c r="C1108" s="461"/>
      <c r="D1108" s="808" t="s">
        <v>2988</v>
      </c>
      <c r="E1108" s="403"/>
      <c r="F1108" s="394"/>
      <c r="G1108" s="395"/>
      <c r="H1108" s="395"/>
      <c r="I1108" s="395"/>
      <c r="J1108" s="395"/>
      <c r="K1108" s="396"/>
      <c r="L1108" s="395"/>
      <c r="M1108" s="394"/>
      <c r="N1108" s="395"/>
      <c r="O1108" s="395"/>
      <c r="P1108" s="395"/>
      <c r="R1108" s="154"/>
      <c r="S1108" s="154"/>
      <c r="T1108" s="154"/>
    </row>
    <row r="1109" spans="1:20" s="149" customFormat="1" ht="18" customHeight="1" x14ac:dyDescent="0.25">
      <c r="A1109" s="335"/>
      <c r="B1109" s="397"/>
      <c r="C1109" s="461"/>
      <c r="D1109" s="808" t="s">
        <v>2989</v>
      </c>
      <c r="E1109" s="403"/>
      <c r="F1109" s="394"/>
      <c r="G1109" s="395"/>
      <c r="H1109" s="395"/>
      <c r="I1109" s="395"/>
      <c r="J1109" s="395"/>
      <c r="K1109" s="396"/>
      <c r="L1109" s="395"/>
      <c r="M1109" s="394"/>
      <c r="N1109" s="395"/>
      <c r="O1109" s="395"/>
      <c r="P1109" s="395"/>
      <c r="R1109" s="154"/>
      <c r="S1109" s="154"/>
      <c r="T1109" s="154"/>
    </row>
    <row r="1110" spans="1:20" s="149" customFormat="1" ht="18" customHeight="1" x14ac:dyDescent="0.25">
      <c r="A1110" s="335"/>
      <c r="B1110" s="397"/>
      <c r="C1110" s="461">
        <v>100</v>
      </c>
      <c r="D1110" s="808" t="s">
        <v>2415</v>
      </c>
      <c r="E1110" s="403"/>
      <c r="F1110" s="394"/>
      <c r="G1110" s="395"/>
      <c r="H1110" s="395"/>
      <c r="I1110" s="395"/>
      <c r="J1110" s="395"/>
      <c r="K1110" s="396"/>
      <c r="L1110" s="395"/>
      <c r="M1110" s="394"/>
      <c r="N1110" s="395"/>
      <c r="O1110" s="395"/>
      <c r="P1110" s="395"/>
      <c r="R1110" s="154"/>
      <c r="S1110" s="154"/>
      <c r="T1110" s="154"/>
    </row>
    <row r="1111" spans="1:20" s="149" customFormat="1" ht="18" customHeight="1" thickBot="1" x14ac:dyDescent="0.3">
      <c r="A1111" s="335"/>
      <c r="B1111" s="397">
        <v>25</v>
      </c>
      <c r="C1111" s="461"/>
      <c r="D1111" s="808" t="s">
        <v>2990</v>
      </c>
      <c r="E1111" s="403"/>
      <c r="F1111" s="394"/>
      <c r="G1111" s="395"/>
      <c r="H1111" s="395"/>
      <c r="I1111" s="395"/>
      <c r="J1111" s="395"/>
      <c r="K1111" s="396"/>
      <c r="L1111" s="395"/>
      <c r="M1111" s="394"/>
      <c r="N1111" s="395"/>
      <c r="O1111" s="395"/>
      <c r="P1111" s="395"/>
      <c r="R1111" s="154"/>
      <c r="S1111" s="154"/>
      <c r="T1111" s="154"/>
    </row>
    <row r="1112" spans="1:20" s="149" customFormat="1" ht="18" customHeight="1" thickBot="1" x14ac:dyDescent="0.3">
      <c r="A1112" s="335"/>
      <c r="B1112" s="975">
        <f>SUM(B1107:B1111)</f>
        <v>105</v>
      </c>
      <c r="C1112" s="976"/>
      <c r="D1112" s="597"/>
      <c r="E1112" s="463"/>
      <c r="F1112" s="352"/>
      <c r="G1112" s="350"/>
      <c r="H1112" s="350"/>
      <c r="I1112" s="350"/>
      <c r="J1112" s="350"/>
      <c r="K1112" s="351"/>
      <c r="L1112" s="350"/>
      <c r="M1112" s="352"/>
      <c r="N1112" s="350"/>
      <c r="O1112" s="350"/>
      <c r="P1112" s="353"/>
      <c r="R1112" s="154"/>
      <c r="S1112" s="154"/>
      <c r="T1112" s="154"/>
    </row>
    <row r="1113" spans="1:20" s="149" customFormat="1" ht="18" customHeight="1" x14ac:dyDescent="0.25">
      <c r="A1113" s="335"/>
      <c r="B1113" s="397"/>
      <c r="C1113" s="461"/>
      <c r="D1113" s="597"/>
      <c r="E1113" s="403"/>
      <c r="F1113" s="394"/>
      <c r="G1113" s="395"/>
      <c r="H1113" s="395"/>
      <c r="I1113" s="395"/>
      <c r="J1113" s="395"/>
      <c r="K1113" s="396"/>
      <c r="L1113" s="395"/>
      <c r="M1113" s="394"/>
      <c r="N1113" s="395"/>
      <c r="O1113" s="395"/>
      <c r="P1113" s="395"/>
      <c r="R1113" s="154"/>
      <c r="S1113" s="154"/>
      <c r="T1113" s="154"/>
    </row>
    <row r="1114" spans="1:20" s="149" customFormat="1" ht="18" customHeight="1" x14ac:dyDescent="0.25">
      <c r="A1114" s="335">
        <v>45495</v>
      </c>
      <c r="B1114" s="397">
        <v>100</v>
      </c>
      <c r="C1114" s="461"/>
      <c r="D1114" s="808" t="s">
        <v>2991</v>
      </c>
      <c r="E1114" s="403"/>
      <c r="F1114" s="394"/>
      <c r="G1114" s="395"/>
      <c r="H1114" s="395"/>
      <c r="I1114" s="395"/>
      <c r="J1114" s="395"/>
      <c r="K1114" s="396"/>
      <c r="L1114" s="395"/>
      <c r="M1114" s="394"/>
      <c r="N1114" s="395"/>
      <c r="O1114" s="395"/>
      <c r="P1114" s="395"/>
      <c r="R1114" s="154"/>
      <c r="S1114" s="154"/>
      <c r="T1114" s="154"/>
    </row>
    <row r="1115" spans="1:20" s="149" customFormat="1" ht="18" customHeight="1" x14ac:dyDescent="0.25">
      <c r="A1115" s="335"/>
      <c r="B1115" s="397"/>
      <c r="C1115" s="461"/>
      <c r="D1115" s="808" t="s">
        <v>2992</v>
      </c>
      <c r="E1115" s="403">
        <v>125</v>
      </c>
      <c r="F1115" s="394"/>
      <c r="G1115" s="395"/>
      <c r="H1115" s="395"/>
      <c r="I1115" s="395"/>
      <c r="J1115" s="395"/>
      <c r="K1115" s="396"/>
      <c r="L1115" s="395"/>
      <c r="M1115" s="394"/>
      <c r="N1115" s="395"/>
      <c r="O1115" s="395"/>
      <c r="P1115" s="395"/>
      <c r="R1115" s="154"/>
      <c r="S1115" s="154"/>
      <c r="T1115" s="154"/>
    </row>
    <row r="1116" spans="1:20" s="149" customFormat="1" ht="18" customHeight="1" x14ac:dyDescent="0.25">
      <c r="A1116" s="335"/>
      <c r="B1116" s="397"/>
      <c r="C1116" s="461"/>
      <c r="D1116" s="808" t="s">
        <v>2588</v>
      </c>
      <c r="E1116" s="403">
        <v>45</v>
      </c>
      <c r="F1116" s="394"/>
      <c r="G1116" s="395"/>
      <c r="H1116" s="395"/>
      <c r="I1116" s="395"/>
      <c r="J1116" s="395"/>
      <c r="K1116" s="396"/>
      <c r="L1116" s="395"/>
      <c r="M1116" s="394"/>
      <c r="N1116" s="395"/>
      <c r="O1116" s="395"/>
      <c r="P1116" s="395"/>
      <c r="R1116" s="154"/>
      <c r="S1116" s="154"/>
      <c r="T1116" s="154"/>
    </row>
    <row r="1117" spans="1:20" s="149" customFormat="1" ht="18" customHeight="1" x14ac:dyDescent="0.25">
      <c r="A1117" s="335"/>
      <c r="B1117" s="397"/>
      <c r="C1117" s="461"/>
      <c r="D1117" s="808" t="s">
        <v>3023</v>
      </c>
      <c r="E1117" s="403">
        <v>45</v>
      </c>
      <c r="F1117" s="394"/>
      <c r="G1117" s="395"/>
      <c r="H1117" s="395"/>
      <c r="I1117" s="395"/>
      <c r="J1117" s="395"/>
      <c r="K1117" s="396"/>
      <c r="L1117" s="395"/>
      <c r="M1117" s="394"/>
      <c r="N1117" s="395"/>
      <c r="O1117" s="395"/>
      <c r="P1117" s="395"/>
      <c r="R1117" s="154"/>
      <c r="S1117" s="154"/>
      <c r="T1117" s="154"/>
    </row>
    <row r="1118" spans="1:20" s="149" customFormat="1" ht="18" customHeight="1" x14ac:dyDescent="0.25">
      <c r="A1118" s="335"/>
      <c r="B1118" s="397">
        <v>125</v>
      </c>
      <c r="C1118" s="461"/>
      <c r="D1118" s="808" t="s">
        <v>2993</v>
      </c>
      <c r="E1118" s="403"/>
      <c r="F1118" s="394"/>
      <c r="G1118" s="395"/>
      <c r="H1118" s="395"/>
      <c r="I1118" s="395"/>
      <c r="J1118" s="395"/>
      <c r="K1118" s="396"/>
      <c r="L1118" s="395"/>
      <c r="M1118" s="394"/>
      <c r="N1118" s="395"/>
      <c r="O1118" s="395"/>
      <c r="P1118" s="395"/>
      <c r="R1118" s="154"/>
      <c r="S1118" s="154"/>
      <c r="T1118" s="154"/>
    </row>
    <row r="1119" spans="1:20" s="149" customFormat="1" ht="18" customHeight="1" x14ac:dyDescent="0.25">
      <c r="A1119" s="335"/>
      <c r="B1119" s="397">
        <v>85</v>
      </c>
      <c r="C1119" s="461"/>
      <c r="D1119" s="808" t="s">
        <v>2994</v>
      </c>
      <c r="E1119" s="403"/>
      <c r="F1119" s="394"/>
      <c r="G1119" s="395"/>
      <c r="H1119" s="395"/>
      <c r="I1119" s="395"/>
      <c r="J1119" s="395"/>
      <c r="K1119" s="396"/>
      <c r="L1119" s="395"/>
      <c r="M1119" s="394"/>
      <c r="N1119" s="395"/>
      <c r="O1119" s="395"/>
      <c r="P1119" s="395"/>
      <c r="R1119" s="154"/>
      <c r="S1119" s="154"/>
      <c r="T1119" s="154"/>
    </row>
    <row r="1120" spans="1:20" s="149" customFormat="1" ht="18" customHeight="1" thickBot="1" x14ac:dyDescent="0.3">
      <c r="A1120" s="335"/>
      <c r="B1120" s="397">
        <v>50</v>
      </c>
      <c r="C1120" s="461"/>
      <c r="D1120" s="808" t="s">
        <v>2995</v>
      </c>
      <c r="E1120" s="403"/>
      <c r="F1120" s="394"/>
      <c r="G1120" s="395"/>
      <c r="H1120" s="395"/>
      <c r="I1120" s="395"/>
      <c r="J1120" s="395"/>
      <c r="K1120" s="396"/>
      <c r="L1120" s="395"/>
      <c r="M1120" s="394"/>
      <c r="N1120" s="395"/>
      <c r="O1120" s="395"/>
      <c r="P1120" s="395"/>
      <c r="R1120" s="154"/>
      <c r="S1120" s="154"/>
      <c r="T1120" s="154"/>
    </row>
    <row r="1121" spans="1:20" s="149" customFormat="1" ht="18" customHeight="1" thickBot="1" x14ac:dyDescent="0.3">
      <c r="A1121" s="335"/>
      <c r="B1121" s="398">
        <f>SUM(B1114:B1120)</f>
        <v>360</v>
      </c>
      <c r="C1121" s="461"/>
      <c r="D1121" s="597"/>
      <c r="E1121" s="463"/>
      <c r="F1121" s="352"/>
      <c r="G1121" s="350"/>
      <c r="H1121" s="350"/>
      <c r="I1121" s="350"/>
      <c r="J1121" s="350"/>
      <c r="K1121" s="351"/>
      <c r="L1121" s="350"/>
      <c r="M1121" s="352"/>
      <c r="N1121" s="350"/>
      <c r="O1121" s="350"/>
      <c r="P1121" s="353"/>
      <c r="R1121" s="154"/>
      <c r="S1121" s="154"/>
      <c r="T1121" s="154"/>
    </row>
    <row r="1122" spans="1:20" s="149" customFormat="1" ht="18" customHeight="1" x14ac:dyDescent="0.25">
      <c r="A1122" s="335"/>
      <c r="B1122" s="397"/>
      <c r="C1122" s="461"/>
      <c r="D1122" s="597"/>
      <c r="E1122" s="403"/>
      <c r="F1122" s="394"/>
      <c r="G1122" s="395"/>
      <c r="H1122" s="395"/>
      <c r="I1122" s="395"/>
      <c r="J1122" s="395"/>
      <c r="K1122" s="396"/>
      <c r="L1122" s="395"/>
      <c r="M1122" s="394"/>
      <c r="N1122" s="395"/>
      <c r="O1122" s="395"/>
      <c r="P1122" s="395"/>
      <c r="R1122" s="154"/>
      <c r="S1122" s="154"/>
      <c r="T1122" s="154"/>
    </row>
    <row r="1123" spans="1:20" s="149" customFormat="1" ht="18" customHeight="1" x14ac:dyDescent="0.25">
      <c r="A1123" s="335">
        <v>45496</v>
      </c>
      <c r="B1123" s="397">
        <v>150</v>
      </c>
      <c r="C1123" s="461"/>
      <c r="D1123" s="808" t="s">
        <v>3004</v>
      </c>
      <c r="E1123" s="403"/>
      <c r="F1123" s="394"/>
      <c r="G1123" s="395"/>
      <c r="H1123" s="395"/>
      <c r="I1123" s="395"/>
      <c r="J1123" s="395"/>
      <c r="K1123" s="396"/>
      <c r="L1123" s="395"/>
      <c r="M1123" s="394"/>
      <c r="N1123" s="395"/>
      <c r="O1123" s="395"/>
      <c r="P1123" s="395"/>
      <c r="R1123" s="154"/>
      <c r="S1123" s="154"/>
      <c r="T1123" s="154"/>
    </row>
    <row r="1124" spans="1:20" s="149" customFormat="1" ht="18" customHeight="1" x14ac:dyDescent="0.25">
      <c r="A1124" s="335"/>
      <c r="B1124" s="397">
        <v>25</v>
      </c>
      <c r="C1124" s="461">
        <v>55</v>
      </c>
      <c r="D1124" s="808" t="s">
        <v>3005</v>
      </c>
      <c r="E1124" s="403"/>
      <c r="F1124" s="394"/>
      <c r="G1124" s="395"/>
      <c r="H1124" s="395"/>
      <c r="I1124" s="395"/>
      <c r="J1124" s="395"/>
      <c r="K1124" s="396"/>
      <c r="L1124" s="395"/>
      <c r="M1124" s="394"/>
      <c r="N1124" s="395"/>
      <c r="O1124" s="395"/>
      <c r="P1124" s="395"/>
      <c r="R1124" s="154"/>
      <c r="S1124" s="154"/>
      <c r="T1124" s="154"/>
    </row>
    <row r="1125" spans="1:20" s="149" customFormat="1" ht="18" customHeight="1" x14ac:dyDescent="0.25">
      <c r="A1125" s="335"/>
      <c r="B1125" s="397">
        <v>150</v>
      </c>
      <c r="C1125" s="461"/>
      <c r="D1125" s="808" t="s">
        <v>2734</v>
      </c>
      <c r="E1125" s="403"/>
      <c r="F1125" s="394"/>
      <c r="G1125" s="395"/>
      <c r="H1125" s="395"/>
      <c r="I1125" s="395"/>
      <c r="J1125" s="395"/>
      <c r="K1125" s="396"/>
      <c r="L1125" s="395"/>
      <c r="M1125" s="394"/>
      <c r="N1125" s="395"/>
      <c r="O1125" s="395"/>
      <c r="P1125" s="395"/>
      <c r="R1125" s="154"/>
      <c r="S1125" s="154"/>
      <c r="T1125" s="154"/>
    </row>
    <row r="1126" spans="1:20" s="149" customFormat="1" ht="18" customHeight="1" x14ac:dyDescent="0.25">
      <c r="A1126" s="335"/>
      <c r="B1126" s="397"/>
      <c r="C1126" s="461">
        <v>65</v>
      </c>
      <c r="D1126" s="808" t="s">
        <v>3007</v>
      </c>
      <c r="E1126" s="403"/>
      <c r="F1126" s="394"/>
      <c r="G1126" s="395"/>
      <c r="H1126" s="395"/>
      <c r="I1126" s="395"/>
      <c r="J1126" s="395"/>
      <c r="K1126" s="396"/>
      <c r="L1126" s="395"/>
      <c r="M1126" s="394"/>
      <c r="N1126" s="395"/>
      <c r="O1126" s="395"/>
      <c r="P1126" s="395"/>
      <c r="R1126" s="154"/>
      <c r="S1126" s="154"/>
      <c r="T1126" s="154"/>
    </row>
    <row r="1127" spans="1:20" s="149" customFormat="1" ht="18" customHeight="1" x14ac:dyDescent="0.25">
      <c r="A1127" s="335"/>
      <c r="B1127" s="397">
        <v>60</v>
      </c>
      <c r="C1127" s="461"/>
      <c r="D1127" s="808" t="s">
        <v>3009</v>
      </c>
      <c r="E1127" s="403"/>
      <c r="F1127" s="394"/>
      <c r="G1127" s="395"/>
      <c r="H1127" s="395"/>
      <c r="I1127" s="395"/>
      <c r="J1127" s="395"/>
      <c r="K1127" s="396"/>
      <c r="L1127" s="395"/>
      <c r="M1127" s="394"/>
      <c r="N1127" s="395"/>
      <c r="O1127" s="395"/>
      <c r="P1127" s="395"/>
      <c r="R1127" s="154"/>
      <c r="S1127" s="154"/>
      <c r="T1127" s="154"/>
    </row>
    <row r="1128" spans="1:20" s="149" customFormat="1" ht="18" customHeight="1" thickBot="1" x14ac:dyDescent="0.3">
      <c r="A1128" s="335"/>
      <c r="B1128" s="397"/>
      <c r="C1128" s="461"/>
      <c r="D1128" s="808" t="s">
        <v>3012</v>
      </c>
      <c r="E1128" s="403"/>
      <c r="F1128" s="394"/>
      <c r="G1128" s="395"/>
      <c r="H1128" s="395"/>
      <c r="I1128" s="395"/>
      <c r="J1128" s="395"/>
      <c r="K1128" s="396"/>
      <c r="L1128" s="395"/>
      <c r="M1128" s="394"/>
      <c r="N1128" s="395"/>
      <c r="O1128" s="395"/>
      <c r="P1128" s="395"/>
      <c r="R1128" s="154"/>
      <c r="S1128" s="154"/>
      <c r="T1128" s="154"/>
    </row>
    <row r="1129" spans="1:20" s="149" customFormat="1" ht="18" customHeight="1" thickBot="1" x14ac:dyDescent="0.3">
      <c r="A1129" s="335"/>
      <c r="B1129" s="398">
        <f>SUM(B1123:B1128)</f>
        <v>385</v>
      </c>
      <c r="C1129" s="461"/>
      <c r="D1129" s="597"/>
      <c r="E1129" s="463"/>
      <c r="F1129" s="352"/>
      <c r="G1129" s="350"/>
      <c r="H1129" s="350"/>
      <c r="I1129" s="350"/>
      <c r="J1129" s="350"/>
      <c r="K1129" s="351"/>
      <c r="L1129" s="350"/>
      <c r="M1129" s="352"/>
      <c r="N1129" s="350"/>
      <c r="O1129" s="350"/>
      <c r="P1129" s="353"/>
      <c r="R1129" s="154"/>
      <c r="S1129" s="154"/>
      <c r="T1129" s="154"/>
    </row>
    <row r="1130" spans="1:20" s="149" customFormat="1" ht="18" customHeight="1" thickBot="1" x14ac:dyDescent="0.3">
      <c r="A1130" s="335"/>
      <c r="B1130" s="397"/>
      <c r="C1130" s="461"/>
      <c r="D1130" s="597"/>
      <c r="E1130" s="403"/>
      <c r="F1130" s="394"/>
      <c r="G1130" s="395"/>
      <c r="H1130" s="395"/>
      <c r="I1130" s="395"/>
      <c r="J1130" s="395"/>
      <c r="K1130" s="396"/>
      <c r="L1130" s="395"/>
      <c r="M1130" s="394"/>
      <c r="N1130" s="395"/>
      <c r="O1130" s="395"/>
      <c r="P1130" s="395"/>
      <c r="R1130" s="154"/>
      <c r="S1130" s="154"/>
      <c r="T1130" s="154"/>
    </row>
    <row r="1131" spans="1:20" s="149" customFormat="1" ht="18" customHeight="1" thickBot="1" x14ac:dyDescent="0.3">
      <c r="A1131" s="335">
        <v>45497</v>
      </c>
      <c r="B1131" s="398">
        <v>170</v>
      </c>
      <c r="C1131" s="461"/>
      <c r="D1131" s="808" t="s">
        <v>3015</v>
      </c>
      <c r="E1131" s="463"/>
      <c r="F1131" s="352"/>
      <c r="G1131" s="350"/>
      <c r="H1131" s="350"/>
      <c r="I1131" s="350"/>
      <c r="J1131" s="350"/>
      <c r="K1131" s="351"/>
      <c r="L1131" s="350"/>
      <c r="M1131" s="352"/>
      <c r="N1131" s="350"/>
      <c r="O1131" s="350"/>
      <c r="P1131" s="353"/>
      <c r="R1131" s="154"/>
      <c r="S1131" s="154"/>
      <c r="T1131" s="154"/>
    </row>
    <row r="1132" spans="1:20" s="149" customFormat="1" ht="18" customHeight="1" x14ac:dyDescent="0.25">
      <c r="A1132" s="335"/>
      <c r="B1132" s="397"/>
      <c r="C1132" s="461"/>
      <c r="D1132" s="597"/>
      <c r="E1132" s="403"/>
      <c r="F1132" s="394"/>
      <c r="G1132" s="395"/>
      <c r="H1132" s="395"/>
      <c r="I1132" s="395"/>
      <c r="J1132" s="395"/>
      <c r="K1132" s="396"/>
      <c r="L1132" s="395"/>
      <c r="M1132" s="394"/>
      <c r="N1132" s="395"/>
      <c r="O1132" s="395"/>
      <c r="P1132" s="395"/>
      <c r="R1132" s="154"/>
      <c r="S1132" s="154"/>
      <c r="T1132" s="154"/>
    </row>
    <row r="1133" spans="1:20" s="395" customFormat="1" ht="18" customHeight="1" x14ac:dyDescent="0.25">
      <c r="A1133" s="181">
        <v>45498</v>
      </c>
      <c r="B1133" s="709">
        <v>500</v>
      </c>
      <c r="C1133" s="205" t="s">
        <v>66</v>
      </c>
      <c r="D1133" s="693" t="s">
        <v>3016</v>
      </c>
      <c r="E1133" s="403"/>
      <c r="F1133" s="394"/>
      <c r="K1133" s="396"/>
      <c r="M1133" s="394"/>
      <c r="R1133" s="393"/>
      <c r="S1133" s="393"/>
      <c r="T1133" s="393"/>
    </row>
    <row r="1134" spans="1:20" s="149" customFormat="1" ht="18" customHeight="1" x14ac:dyDescent="0.25">
      <c r="A1134" s="335"/>
      <c r="B1134" s="203">
        <v>35</v>
      </c>
      <c r="C1134" s="461"/>
      <c r="D1134" s="808" t="s">
        <v>3019</v>
      </c>
      <c r="E1134" s="336"/>
      <c r="F1134" s="151"/>
      <c r="K1134" s="201"/>
      <c r="M1134" s="151"/>
      <c r="R1134" s="154"/>
      <c r="S1134" s="154"/>
      <c r="T1134" s="154"/>
    </row>
    <row r="1135" spans="1:20" s="149" customFormat="1" ht="18" customHeight="1" thickBot="1" x14ac:dyDescent="0.3">
      <c r="A1135" s="335"/>
      <c r="B1135" s="203">
        <v>30</v>
      </c>
      <c r="C1135" s="461"/>
      <c r="D1135" s="808" t="s">
        <v>3020</v>
      </c>
      <c r="E1135" s="336"/>
      <c r="F1135" s="151"/>
      <c r="K1135" s="201"/>
      <c r="M1135" s="151"/>
      <c r="R1135" s="154"/>
      <c r="S1135" s="154"/>
      <c r="T1135" s="154"/>
    </row>
    <row r="1136" spans="1:20" s="149" customFormat="1" ht="18" customHeight="1" thickBot="1" x14ac:dyDescent="0.3">
      <c r="A1136" s="335"/>
      <c r="B1136" s="398">
        <f>SUM(B1133:B1135)</f>
        <v>565</v>
      </c>
      <c r="C1136" s="461"/>
      <c r="D1136" s="597"/>
      <c r="E1136" s="463"/>
      <c r="F1136" s="352"/>
      <c r="G1136" s="350"/>
      <c r="H1136" s="350"/>
      <c r="I1136" s="350"/>
      <c r="J1136" s="350"/>
      <c r="K1136" s="351"/>
      <c r="L1136" s="350"/>
      <c r="M1136" s="352"/>
      <c r="N1136" s="350"/>
      <c r="O1136" s="350"/>
      <c r="P1136" s="353"/>
      <c r="R1136" s="154"/>
      <c r="S1136" s="154"/>
      <c r="T1136" s="154"/>
    </row>
    <row r="1137" spans="1:20" s="149" customFormat="1" ht="18" customHeight="1" x14ac:dyDescent="0.25">
      <c r="A1137" s="335"/>
      <c r="B1137" s="203"/>
      <c r="C1137" s="461"/>
      <c r="D1137" s="597"/>
      <c r="E1137" s="336"/>
      <c r="F1137" s="151"/>
      <c r="K1137" s="201"/>
      <c r="M1137" s="151"/>
      <c r="R1137" s="154"/>
      <c r="S1137" s="154"/>
      <c r="T1137" s="154"/>
    </row>
    <row r="1138" spans="1:20" s="149" customFormat="1" ht="18" customHeight="1" x14ac:dyDescent="0.25">
      <c r="A1138" s="335">
        <v>45499</v>
      </c>
      <c r="B1138" s="203">
        <v>180</v>
      </c>
      <c r="C1138" s="461"/>
      <c r="D1138" s="808" t="s">
        <v>3017</v>
      </c>
      <c r="E1138" s="336"/>
      <c r="F1138" s="151"/>
      <c r="K1138" s="201"/>
      <c r="M1138" s="151"/>
      <c r="R1138" s="154"/>
      <c r="S1138" s="154"/>
      <c r="T1138" s="154"/>
    </row>
    <row r="1139" spans="1:20" s="149" customFormat="1" ht="18" customHeight="1" x14ac:dyDescent="0.25">
      <c r="A1139" s="335"/>
      <c r="B1139" s="203">
        <v>54</v>
      </c>
      <c r="C1139" s="461"/>
      <c r="D1139" s="808" t="s">
        <v>3018</v>
      </c>
      <c r="E1139" s="336"/>
      <c r="F1139" s="151"/>
      <c r="K1139" s="201"/>
      <c r="M1139" s="151"/>
      <c r="R1139" s="154"/>
      <c r="S1139" s="154"/>
      <c r="T1139" s="154"/>
    </row>
    <row r="1140" spans="1:20" s="149" customFormat="1" ht="18" customHeight="1" thickBot="1" x14ac:dyDescent="0.3">
      <c r="A1140" s="335"/>
      <c r="B1140" s="203">
        <v>100</v>
      </c>
      <c r="C1140" s="461"/>
      <c r="D1140" s="808" t="s">
        <v>3024</v>
      </c>
      <c r="E1140" s="336"/>
      <c r="F1140" s="151"/>
      <c r="K1140" s="201"/>
      <c r="M1140" s="151"/>
      <c r="R1140" s="154"/>
      <c r="S1140" s="154"/>
      <c r="T1140" s="154"/>
    </row>
    <row r="1141" spans="1:20" s="149" customFormat="1" ht="18" customHeight="1" thickBot="1" x14ac:dyDescent="0.3">
      <c r="A1141" s="335"/>
      <c r="B1141" s="398">
        <f>SUM(B1138:B1140)</f>
        <v>334</v>
      </c>
      <c r="C1141" s="461"/>
      <c r="D1141" s="597"/>
      <c r="E1141" s="463"/>
      <c r="F1141" s="352"/>
      <c r="G1141" s="350"/>
      <c r="H1141" s="350"/>
      <c r="I1141" s="350"/>
      <c r="J1141" s="350"/>
      <c r="K1141" s="351"/>
      <c r="L1141" s="350"/>
      <c r="M1141" s="352"/>
      <c r="N1141" s="350"/>
      <c r="O1141" s="350"/>
      <c r="P1141" s="353"/>
      <c r="R1141" s="154"/>
      <c r="S1141" s="154"/>
      <c r="T1141" s="154"/>
    </row>
    <row r="1142" spans="1:20" s="149" customFormat="1" ht="18" customHeight="1" x14ac:dyDescent="0.25">
      <c r="A1142" s="335"/>
      <c r="B1142" s="203"/>
      <c r="C1142" s="461"/>
      <c r="D1142" s="597"/>
      <c r="E1142" s="336"/>
      <c r="F1142" s="151"/>
      <c r="K1142" s="201"/>
      <c r="M1142" s="151"/>
      <c r="R1142" s="154"/>
      <c r="S1142" s="154"/>
      <c r="T1142" s="154"/>
    </row>
    <row r="1143" spans="1:20" s="149" customFormat="1" ht="18" customHeight="1" x14ac:dyDescent="0.25">
      <c r="A1143" s="335">
        <v>45500</v>
      </c>
      <c r="B1143" s="203">
        <v>35</v>
      </c>
      <c r="C1143" s="461"/>
      <c r="D1143" s="808" t="s">
        <v>1910</v>
      </c>
      <c r="E1143" s="336"/>
      <c r="F1143" s="151"/>
      <c r="K1143" s="201"/>
      <c r="M1143" s="151"/>
      <c r="R1143" s="154"/>
      <c r="S1143" s="154"/>
      <c r="T1143" s="154"/>
    </row>
    <row r="1144" spans="1:20" s="149" customFormat="1" ht="18" customHeight="1" x14ac:dyDescent="0.25">
      <c r="A1144" s="335"/>
      <c r="B1144" s="203">
        <v>100</v>
      </c>
      <c r="C1144" s="461"/>
      <c r="D1144" s="808" t="s">
        <v>3022</v>
      </c>
      <c r="E1144" s="336"/>
      <c r="F1144" s="151"/>
      <c r="K1144" s="201"/>
      <c r="M1144" s="151"/>
      <c r="R1144" s="154"/>
      <c r="S1144" s="154"/>
      <c r="T1144" s="154"/>
    </row>
    <row r="1145" spans="1:20" s="149" customFormat="1" ht="18" customHeight="1" x14ac:dyDescent="0.25">
      <c r="A1145" s="335"/>
      <c r="B1145" s="203">
        <v>90</v>
      </c>
      <c r="C1145" s="461"/>
      <c r="D1145" s="808" t="s">
        <v>3021</v>
      </c>
      <c r="E1145" s="336"/>
      <c r="F1145" s="151"/>
      <c r="K1145" s="201"/>
      <c r="M1145" s="151"/>
      <c r="R1145" s="154"/>
      <c r="S1145" s="154"/>
      <c r="T1145" s="154"/>
    </row>
    <row r="1146" spans="1:20" s="149" customFormat="1" ht="18" customHeight="1" x14ac:dyDescent="0.25">
      <c r="A1146" s="335"/>
      <c r="B1146" s="203">
        <v>125</v>
      </c>
      <c r="C1146" s="461"/>
      <c r="D1146" s="808" t="s">
        <v>3025</v>
      </c>
      <c r="E1146" s="336"/>
      <c r="F1146" s="151"/>
      <c r="K1146" s="201"/>
      <c r="M1146" s="151"/>
      <c r="R1146" s="154"/>
      <c r="S1146" s="154"/>
      <c r="T1146" s="154"/>
    </row>
    <row r="1147" spans="1:20" s="149" customFormat="1" ht="18" customHeight="1" thickBot="1" x14ac:dyDescent="0.3">
      <c r="A1147" s="335"/>
      <c r="B1147" s="203">
        <v>145</v>
      </c>
      <c r="C1147" s="461"/>
      <c r="D1147" s="808" t="s">
        <v>3026</v>
      </c>
      <c r="E1147" s="336"/>
      <c r="F1147" s="151"/>
      <c r="K1147" s="201"/>
      <c r="M1147" s="151"/>
      <c r="R1147" s="154"/>
      <c r="S1147" s="154"/>
      <c r="T1147" s="154"/>
    </row>
    <row r="1148" spans="1:20" s="149" customFormat="1" ht="18" customHeight="1" thickBot="1" x14ac:dyDescent="0.3">
      <c r="A1148" s="335"/>
      <c r="B1148" s="398">
        <f>SUM(B1143:B1147)</f>
        <v>495</v>
      </c>
      <c r="C1148" s="461"/>
      <c r="D1148" s="597"/>
      <c r="E1148" s="463"/>
      <c r="F1148" s="352"/>
      <c r="G1148" s="350"/>
      <c r="H1148" s="350"/>
      <c r="I1148" s="350"/>
      <c r="J1148" s="350"/>
      <c r="K1148" s="351"/>
      <c r="L1148" s="350"/>
      <c r="M1148" s="352"/>
      <c r="N1148" s="350"/>
      <c r="O1148" s="350"/>
      <c r="P1148" s="353"/>
      <c r="R1148" s="154"/>
      <c r="S1148" s="154"/>
      <c r="T1148" s="154"/>
    </row>
    <row r="1149" spans="1:20" s="149" customFormat="1" ht="18" customHeight="1" thickBot="1" x14ac:dyDescent="0.3">
      <c r="A1149" s="335"/>
      <c r="B1149" s="203"/>
      <c r="C1149" s="461"/>
      <c r="D1149" s="597"/>
      <c r="E1149" s="336"/>
      <c r="F1149" s="151"/>
      <c r="K1149" s="201"/>
      <c r="M1149" s="151"/>
      <c r="R1149" s="154"/>
      <c r="S1149" s="154"/>
      <c r="T1149" s="154"/>
    </row>
    <row r="1150" spans="1:20" s="149" customFormat="1" ht="18" customHeight="1" thickBot="1" x14ac:dyDescent="0.3">
      <c r="A1150" s="335">
        <v>45502</v>
      </c>
      <c r="B1150" s="398">
        <v>90</v>
      </c>
      <c r="C1150" s="461"/>
      <c r="D1150" s="808" t="s">
        <v>1897</v>
      </c>
      <c r="E1150" s="463"/>
      <c r="F1150" s="352"/>
      <c r="G1150" s="350"/>
      <c r="H1150" s="350"/>
      <c r="I1150" s="350"/>
      <c r="J1150" s="350"/>
      <c r="K1150" s="351"/>
      <c r="L1150" s="350"/>
      <c r="M1150" s="352"/>
      <c r="N1150" s="350"/>
      <c r="O1150" s="350"/>
      <c r="P1150" s="353"/>
      <c r="R1150" s="154"/>
      <c r="S1150" s="154"/>
      <c r="T1150" s="154"/>
    </row>
    <row r="1151" spans="1:20" s="149" customFormat="1" ht="18" customHeight="1" x14ac:dyDescent="0.25">
      <c r="A1151" s="335"/>
      <c r="B1151" s="203"/>
      <c r="C1151" s="461"/>
      <c r="D1151" s="597"/>
      <c r="E1151" s="336"/>
      <c r="F1151" s="151"/>
      <c r="K1151" s="201"/>
      <c r="M1151" s="151"/>
      <c r="R1151" s="154"/>
      <c r="S1151" s="154"/>
      <c r="T1151" s="154"/>
    </row>
    <row r="1152" spans="1:20" s="149" customFormat="1" ht="18" customHeight="1" x14ac:dyDescent="0.25">
      <c r="A1152" s="335">
        <v>45503</v>
      </c>
      <c r="B1152" s="203">
        <v>100</v>
      </c>
      <c r="C1152" s="461"/>
      <c r="D1152" s="808" t="s">
        <v>2046</v>
      </c>
      <c r="E1152" s="336"/>
      <c r="F1152" s="151"/>
      <c r="K1152" s="201"/>
      <c r="M1152" s="151"/>
      <c r="R1152" s="154"/>
      <c r="S1152" s="154"/>
      <c r="T1152" s="154"/>
    </row>
    <row r="1153" spans="1:20" s="149" customFormat="1" ht="18" customHeight="1" x14ac:dyDescent="0.25">
      <c r="A1153" s="335"/>
      <c r="B1153" s="203">
        <v>125</v>
      </c>
      <c r="C1153" s="461"/>
      <c r="D1153" s="808" t="s">
        <v>3027</v>
      </c>
      <c r="E1153" s="336"/>
      <c r="F1153" s="151"/>
      <c r="K1153" s="201"/>
      <c r="M1153" s="151"/>
      <c r="R1153" s="154"/>
      <c r="S1153" s="154"/>
      <c r="T1153" s="154"/>
    </row>
    <row r="1154" spans="1:20" s="149" customFormat="1" ht="18" customHeight="1" thickBot="1" x14ac:dyDescent="0.3">
      <c r="A1154" s="335"/>
      <c r="B1154" s="203">
        <v>55</v>
      </c>
      <c r="C1154" s="461"/>
      <c r="D1154" s="808" t="s">
        <v>2558</v>
      </c>
      <c r="E1154" s="336"/>
      <c r="F1154" s="151"/>
      <c r="K1154" s="201"/>
      <c r="M1154" s="151"/>
      <c r="R1154" s="154"/>
      <c r="S1154" s="154"/>
      <c r="T1154" s="154"/>
    </row>
    <row r="1155" spans="1:20" s="149" customFormat="1" ht="18" customHeight="1" thickBot="1" x14ac:dyDescent="0.3">
      <c r="A1155" s="335"/>
      <c r="B1155" s="398">
        <f>SUM(B1152:B1154)</f>
        <v>280</v>
      </c>
      <c r="C1155" s="461"/>
      <c r="D1155" s="597"/>
      <c r="E1155" s="463"/>
      <c r="F1155" s="352"/>
      <c r="G1155" s="350"/>
      <c r="H1155" s="350"/>
      <c r="I1155" s="350"/>
      <c r="J1155" s="350"/>
      <c r="K1155" s="351"/>
      <c r="L1155" s="350"/>
      <c r="M1155" s="352"/>
      <c r="N1155" s="350"/>
      <c r="O1155" s="350"/>
      <c r="P1155" s="353"/>
      <c r="R1155" s="154"/>
      <c r="S1155" s="154"/>
      <c r="T1155" s="154"/>
    </row>
    <row r="1156" spans="1:20" s="149" customFormat="1" ht="18" customHeight="1" x14ac:dyDescent="0.25">
      <c r="A1156" s="335"/>
      <c r="B1156" s="203"/>
      <c r="C1156" s="461"/>
      <c r="D1156" s="597"/>
      <c r="E1156" s="336"/>
      <c r="F1156" s="151"/>
      <c r="K1156" s="201"/>
      <c r="M1156" s="151"/>
      <c r="R1156" s="154"/>
      <c r="S1156" s="154"/>
      <c r="T1156" s="154"/>
    </row>
    <row r="1157" spans="1:20" s="149" customFormat="1" ht="18" customHeight="1" x14ac:dyDescent="0.25">
      <c r="A1157" s="335">
        <v>45504</v>
      </c>
      <c r="B1157" s="203">
        <v>65</v>
      </c>
      <c r="C1157" s="461"/>
      <c r="D1157" s="597" t="s">
        <v>3034</v>
      </c>
      <c r="E1157" s="336"/>
      <c r="F1157" s="151"/>
      <c r="K1157" s="201"/>
      <c r="M1157" s="151"/>
      <c r="R1157" s="154"/>
      <c r="S1157" s="154"/>
      <c r="T1157" s="154"/>
    </row>
    <row r="1158" spans="1:20" s="149" customFormat="1" ht="18" customHeight="1" x14ac:dyDescent="0.25">
      <c r="A1158" s="335"/>
      <c r="B1158" s="203"/>
      <c r="C1158" s="461"/>
      <c r="D1158" s="597"/>
      <c r="E1158" s="336"/>
      <c r="F1158" s="151"/>
      <c r="K1158" s="201"/>
      <c r="M1158" s="151"/>
      <c r="R1158" s="154"/>
      <c r="S1158" s="154"/>
      <c r="T1158" s="154"/>
    </row>
    <row r="1159" spans="1:20" s="149" customFormat="1" ht="18" customHeight="1" x14ac:dyDescent="0.25">
      <c r="A1159" s="335"/>
      <c r="B1159" s="203"/>
      <c r="C1159" s="461"/>
      <c r="D1159" s="597"/>
      <c r="E1159" s="336"/>
      <c r="F1159" s="151"/>
      <c r="K1159" s="201"/>
      <c r="M1159" s="151"/>
      <c r="R1159" s="154"/>
      <c r="S1159" s="154"/>
      <c r="T1159" s="154"/>
    </row>
    <row r="1160" spans="1:20" s="149" customFormat="1" ht="18" customHeight="1" x14ac:dyDescent="0.25">
      <c r="A1160" s="335"/>
      <c r="B1160" s="203"/>
      <c r="C1160" s="461"/>
      <c r="D1160" s="597"/>
      <c r="E1160" s="336"/>
      <c r="F1160" s="151"/>
      <c r="K1160" s="201"/>
      <c r="M1160" s="151"/>
      <c r="R1160" s="154"/>
      <c r="S1160" s="154"/>
      <c r="T1160" s="154"/>
    </row>
    <row r="1161" spans="1:20" s="149" customFormat="1" ht="18" customHeight="1" x14ac:dyDescent="0.25">
      <c r="A1161" s="335"/>
      <c r="B1161" s="203"/>
      <c r="C1161" s="461"/>
      <c r="D1161" s="597"/>
      <c r="E1161" s="336"/>
      <c r="F1161" s="151"/>
      <c r="K1161" s="201"/>
      <c r="M1161" s="151"/>
      <c r="R1161" s="154"/>
      <c r="S1161" s="154"/>
      <c r="T1161" s="154"/>
    </row>
    <row r="1162" spans="1:20" s="149" customFormat="1" ht="18" customHeight="1" x14ac:dyDescent="0.25">
      <c r="A1162" s="335"/>
      <c r="B1162" s="203"/>
      <c r="C1162" s="461"/>
      <c r="D1162" s="597"/>
      <c r="E1162" s="336"/>
      <c r="F1162" s="151"/>
      <c r="K1162" s="201"/>
      <c r="M1162" s="151"/>
      <c r="R1162" s="154"/>
      <c r="S1162" s="154"/>
      <c r="T1162" s="154"/>
    </row>
    <row r="1163" spans="1:20" s="149" customFormat="1" ht="18" customHeight="1" x14ac:dyDescent="0.25">
      <c r="A1163" s="335"/>
      <c r="B1163" s="203"/>
      <c r="C1163" s="461"/>
      <c r="D1163" s="597"/>
      <c r="E1163" s="336"/>
      <c r="F1163" s="151"/>
      <c r="K1163" s="201"/>
      <c r="M1163" s="151"/>
      <c r="R1163" s="154"/>
      <c r="S1163" s="154"/>
      <c r="T1163" s="154"/>
    </row>
    <row r="1164" spans="1:20" s="149" customFormat="1" ht="18" customHeight="1" x14ac:dyDescent="0.25">
      <c r="A1164" s="237" t="s">
        <v>706</v>
      </c>
      <c r="B1164" s="203">
        <f>+B1033+B1042+B1047+B1057+B1062+B1066+B1068+B1074+B1084+B1088+B1094+B1096+B1105+B1112+B1121+B1129+B1131+B1136+B1141+B1148+B1150+B1155</f>
        <v>6286</v>
      </c>
      <c r="C1164" s="461"/>
      <c r="D1164" s="597"/>
      <c r="E1164" s="336"/>
      <c r="F1164" s="151"/>
      <c r="K1164" s="201"/>
      <c r="M1164" s="151"/>
      <c r="R1164" s="154"/>
      <c r="S1164" s="154"/>
      <c r="T1164" s="154"/>
    </row>
    <row r="1165" spans="1:20" s="149" customFormat="1" ht="18" customHeight="1" x14ac:dyDescent="0.25">
      <c r="A1165" s="354" t="s">
        <v>707</v>
      </c>
      <c r="B1165" s="203"/>
      <c r="C1165" s="461"/>
      <c r="D1165" s="597"/>
      <c r="E1165" s="336"/>
      <c r="F1165" s="151"/>
      <c r="K1165" s="201"/>
      <c r="M1165" s="151"/>
      <c r="R1165" s="154"/>
      <c r="S1165" s="154"/>
      <c r="T1165" s="154"/>
    </row>
    <row r="1166" spans="1:20" s="149" customFormat="1" ht="18" customHeight="1" x14ac:dyDescent="0.25">
      <c r="A1166" s="354" t="s">
        <v>708</v>
      </c>
      <c r="B1166" s="203"/>
      <c r="C1166" s="461"/>
      <c r="D1166" s="597"/>
      <c r="E1166" s="336"/>
      <c r="F1166" s="151"/>
      <c r="K1166" s="201"/>
      <c r="M1166" s="151"/>
      <c r="R1166" s="154"/>
      <c r="S1166" s="154"/>
      <c r="T1166" s="154"/>
    </row>
    <row r="1167" spans="1:20" s="149" customFormat="1" ht="18" customHeight="1" x14ac:dyDescent="0.25">
      <c r="A1167" s="354" t="s">
        <v>709</v>
      </c>
      <c r="B1167" s="203"/>
      <c r="C1167" s="461"/>
      <c r="D1167" s="597"/>
      <c r="E1167" s="336"/>
      <c r="F1167" s="151"/>
      <c r="K1167" s="201"/>
      <c r="M1167" s="151"/>
      <c r="R1167" s="154"/>
      <c r="S1167" s="154"/>
      <c r="T1167" s="154"/>
    </row>
    <row r="1168" spans="1:20" s="149" customFormat="1" ht="18" customHeight="1" x14ac:dyDescent="0.25">
      <c r="A1168" s="354" t="s">
        <v>710</v>
      </c>
      <c r="B1168" s="203"/>
      <c r="C1168" s="461"/>
      <c r="D1168" s="597"/>
      <c r="E1168" s="336"/>
      <c r="F1168" s="151"/>
      <c r="K1168" s="201"/>
      <c r="M1168" s="151"/>
      <c r="R1168" s="154"/>
      <c r="S1168" s="154"/>
      <c r="T1168" s="154"/>
    </row>
    <row r="1169" spans="1:20" s="149" customFormat="1" ht="18" customHeight="1" x14ac:dyDescent="0.25">
      <c r="A1169" s="354" t="s">
        <v>711</v>
      </c>
      <c r="B1169" s="203"/>
      <c r="C1169" s="461"/>
      <c r="D1169" s="597"/>
      <c r="E1169" s="336"/>
      <c r="F1169" s="151"/>
      <c r="K1169" s="201"/>
      <c r="M1169" s="151"/>
      <c r="R1169" s="154"/>
      <c r="S1169" s="154"/>
      <c r="T1169" s="154"/>
    </row>
    <row r="1170" spans="1:20" s="149" customFormat="1" ht="18" customHeight="1" x14ac:dyDescent="0.25">
      <c r="A1170" s="354" t="s">
        <v>712</v>
      </c>
      <c r="B1170" s="203"/>
      <c r="C1170" s="461"/>
      <c r="D1170" s="597"/>
      <c r="E1170" s="336"/>
      <c r="F1170" s="151"/>
      <c r="K1170" s="201"/>
      <c r="M1170" s="151"/>
      <c r="R1170" s="154"/>
      <c r="S1170" s="154"/>
      <c r="T1170" s="154"/>
    </row>
    <row r="1171" spans="1:20" s="149" customFormat="1" ht="18" customHeight="1" x14ac:dyDescent="0.25">
      <c r="A1171" s="354" t="s">
        <v>713</v>
      </c>
      <c r="B1171" s="203"/>
      <c r="C1171" s="461"/>
      <c r="D1171" s="597"/>
      <c r="E1171" s="336"/>
      <c r="F1171" s="151"/>
      <c r="K1171" s="201"/>
      <c r="M1171" s="151"/>
      <c r="R1171" s="154"/>
      <c r="S1171" s="154"/>
      <c r="T1171" s="154"/>
    </row>
    <row r="1172" spans="1:20" s="149" customFormat="1" ht="18" customHeight="1" x14ac:dyDescent="0.25">
      <c r="A1172" s="335"/>
      <c r="B1172" s="203"/>
      <c r="C1172" s="461"/>
      <c r="D1172" s="597"/>
      <c r="E1172" s="336"/>
      <c r="F1172" s="151"/>
      <c r="K1172" s="201"/>
      <c r="M1172" s="151"/>
      <c r="R1172" s="154"/>
      <c r="S1172" s="154"/>
      <c r="T1172" s="154"/>
    </row>
    <row r="1173" spans="1:20" s="149" customFormat="1" ht="18" customHeight="1" x14ac:dyDescent="0.25">
      <c r="A1173" s="335"/>
      <c r="B1173" s="203"/>
      <c r="C1173" s="461"/>
      <c r="D1173" s="597"/>
      <c r="E1173" s="336"/>
      <c r="F1173" s="151"/>
      <c r="K1173" s="201"/>
      <c r="M1173" s="151"/>
      <c r="R1173" s="154"/>
      <c r="S1173" s="154"/>
      <c r="T1173" s="154"/>
    </row>
    <row r="1174" spans="1:20" s="149" customFormat="1" ht="18" customHeight="1" x14ac:dyDescent="0.25">
      <c r="A1174" s="335"/>
      <c r="B1174" s="203"/>
      <c r="C1174" s="461"/>
      <c r="D1174" s="597"/>
      <c r="E1174" s="336"/>
      <c r="F1174" s="151"/>
      <c r="K1174" s="201"/>
      <c r="M1174" s="151"/>
      <c r="R1174" s="154"/>
      <c r="S1174" s="154"/>
      <c r="T1174" s="154"/>
    </row>
    <row r="1175" spans="1:20" s="149" customFormat="1" ht="18" customHeight="1" x14ac:dyDescent="0.25">
      <c r="A1175" s="335"/>
      <c r="B1175" s="203"/>
      <c r="C1175" s="461"/>
      <c r="D1175" s="597"/>
      <c r="E1175" s="336"/>
      <c r="F1175" s="151"/>
      <c r="K1175" s="201"/>
      <c r="M1175" s="151"/>
      <c r="R1175" s="154"/>
      <c r="S1175" s="154"/>
      <c r="T1175" s="154"/>
    </row>
    <row r="1176" spans="1:20" s="149" customFormat="1" ht="18" customHeight="1" x14ac:dyDescent="0.25">
      <c r="A1176" s="335"/>
      <c r="B1176" s="203"/>
      <c r="C1176" s="461"/>
      <c r="D1176" s="597"/>
      <c r="E1176" s="336"/>
      <c r="F1176" s="151"/>
      <c r="K1176" s="201"/>
      <c r="M1176" s="151"/>
      <c r="R1176" s="154"/>
      <c r="S1176" s="154"/>
      <c r="T1176" s="154"/>
    </row>
    <row r="1177" spans="1:20" s="149" customFormat="1" ht="18" customHeight="1" x14ac:dyDescent="0.25">
      <c r="A1177" s="335"/>
      <c r="B1177" s="203"/>
      <c r="C1177" s="461"/>
      <c r="D1177" s="597"/>
      <c r="E1177" s="336"/>
      <c r="F1177" s="151"/>
      <c r="K1177" s="201"/>
      <c r="M1177" s="151"/>
      <c r="R1177" s="154"/>
      <c r="S1177" s="154"/>
      <c r="T1177" s="154"/>
    </row>
    <row r="1178" spans="1:20" s="149" customFormat="1" ht="18" customHeight="1" x14ac:dyDescent="0.25">
      <c r="A1178" s="335"/>
      <c r="B1178" s="203"/>
      <c r="C1178" s="461"/>
      <c r="D1178" s="597"/>
      <c r="E1178" s="336"/>
      <c r="F1178" s="151"/>
      <c r="K1178" s="201"/>
      <c r="M1178" s="151"/>
      <c r="R1178" s="154"/>
      <c r="S1178" s="154"/>
      <c r="T1178" s="154"/>
    </row>
    <row r="1179" spans="1:20" s="149" customFormat="1" ht="18" customHeight="1" x14ac:dyDescent="0.25">
      <c r="A1179" s="335"/>
      <c r="B1179" s="203"/>
      <c r="C1179" s="461"/>
      <c r="D1179" s="597"/>
      <c r="E1179" s="336"/>
      <c r="F1179" s="151"/>
      <c r="K1179" s="201"/>
      <c r="M1179" s="151"/>
      <c r="R1179" s="154"/>
      <c r="S1179" s="154"/>
      <c r="T1179" s="154"/>
    </row>
    <row r="1180" spans="1:20" s="149" customFormat="1" ht="18" customHeight="1" x14ac:dyDescent="0.25">
      <c r="A1180" s="335"/>
      <c r="B1180" s="203"/>
      <c r="C1180" s="461"/>
      <c r="D1180" s="597"/>
      <c r="E1180" s="336"/>
      <c r="F1180" s="151"/>
      <c r="K1180" s="201"/>
      <c r="M1180" s="151"/>
      <c r="R1180" s="154"/>
      <c r="S1180" s="154"/>
      <c r="T1180" s="154"/>
    </row>
    <row r="1181" spans="1:20" s="149" customFormat="1" ht="18" customHeight="1" x14ac:dyDescent="0.25">
      <c r="A1181" s="335"/>
      <c r="B1181" s="203"/>
      <c r="C1181" s="461"/>
      <c r="D1181" s="597"/>
      <c r="E1181" s="336"/>
      <c r="F1181" s="151"/>
      <c r="K1181" s="201"/>
      <c r="M1181" s="151"/>
      <c r="R1181" s="154"/>
      <c r="S1181" s="154"/>
      <c r="T1181" s="154"/>
    </row>
    <row r="1182" spans="1:20" s="149" customFormat="1" ht="18" customHeight="1" x14ac:dyDescent="0.25">
      <c r="A1182" s="335"/>
      <c r="B1182" s="203"/>
      <c r="C1182" s="461"/>
      <c r="D1182" s="597"/>
      <c r="E1182" s="336"/>
      <c r="F1182" s="151"/>
      <c r="K1182" s="201"/>
      <c r="M1182" s="151"/>
      <c r="R1182" s="154"/>
      <c r="S1182" s="154"/>
      <c r="T1182" s="154"/>
    </row>
    <row r="1183" spans="1:20" s="149" customFormat="1" ht="18" customHeight="1" x14ac:dyDescent="0.25">
      <c r="A1183" s="335"/>
      <c r="B1183" s="203"/>
      <c r="C1183" s="461"/>
      <c r="D1183" s="597"/>
      <c r="E1183" s="336"/>
      <c r="F1183" s="151"/>
      <c r="K1183" s="201"/>
      <c r="M1183" s="151"/>
      <c r="R1183" s="154"/>
      <c r="S1183" s="154"/>
      <c r="T1183" s="154"/>
    </row>
    <row r="1184" spans="1:20" s="149" customFormat="1" ht="18" customHeight="1" x14ac:dyDescent="0.25">
      <c r="A1184" s="335"/>
      <c r="B1184" s="203"/>
      <c r="C1184" s="461"/>
      <c r="D1184" s="597"/>
      <c r="E1184" s="336"/>
      <c r="F1184" s="151"/>
      <c r="K1184" s="201"/>
      <c r="M1184" s="151"/>
      <c r="R1184" s="154"/>
      <c r="S1184" s="154"/>
      <c r="T1184" s="154"/>
    </row>
    <row r="1185" spans="1:20" s="149" customFormat="1" ht="18" customHeight="1" x14ac:dyDescent="0.25">
      <c r="A1185" s="335"/>
      <c r="B1185" s="203"/>
      <c r="C1185" s="461"/>
      <c r="D1185" s="597"/>
      <c r="E1185" s="336"/>
      <c r="F1185" s="151"/>
      <c r="K1185" s="201"/>
      <c r="M1185" s="151"/>
      <c r="R1185" s="154"/>
      <c r="S1185" s="154"/>
      <c r="T1185" s="154"/>
    </row>
    <row r="1186" spans="1:20" s="149" customFormat="1" ht="18" customHeight="1" x14ac:dyDescent="0.25">
      <c r="A1186" s="335"/>
      <c r="B1186" s="203"/>
      <c r="C1186" s="461"/>
      <c r="D1186" s="597"/>
      <c r="E1186" s="336"/>
      <c r="F1186" s="151"/>
      <c r="K1186" s="201"/>
      <c r="M1186" s="151"/>
      <c r="R1186" s="154"/>
      <c r="S1186" s="154"/>
      <c r="T1186" s="154"/>
    </row>
    <row r="1187" spans="1:20" s="149" customFormat="1" ht="18" customHeight="1" x14ac:dyDescent="0.25">
      <c r="A1187" s="335"/>
      <c r="B1187" s="203"/>
      <c r="C1187" s="461"/>
      <c r="D1187" s="597"/>
      <c r="E1187" s="336"/>
      <c r="F1187" s="151"/>
      <c r="K1187" s="201"/>
      <c r="M1187" s="151"/>
      <c r="R1187" s="154"/>
      <c r="S1187" s="154"/>
      <c r="T1187" s="154"/>
    </row>
    <row r="1188" spans="1:20" s="149" customFormat="1" ht="18" customHeight="1" x14ac:dyDescent="0.25">
      <c r="A1188" s="335"/>
      <c r="B1188" s="203"/>
      <c r="C1188" s="461"/>
      <c r="D1188" s="597"/>
      <c r="E1188" s="336"/>
      <c r="F1188" s="151"/>
      <c r="K1188" s="201"/>
      <c r="M1188" s="151"/>
      <c r="R1188" s="154"/>
      <c r="S1188" s="154"/>
      <c r="T1188" s="154"/>
    </row>
    <row r="1189" spans="1:20" s="149" customFormat="1" ht="18" customHeight="1" x14ac:dyDescent="0.25">
      <c r="A1189" s="335"/>
      <c r="B1189" s="203"/>
      <c r="C1189" s="461"/>
      <c r="D1189" s="597"/>
      <c r="E1189" s="336"/>
      <c r="F1189" s="151"/>
      <c r="K1189" s="201"/>
      <c r="M1189" s="151"/>
      <c r="R1189" s="154"/>
      <c r="S1189" s="154"/>
      <c r="T1189" s="154"/>
    </row>
    <row r="1190" spans="1:20" s="149" customFormat="1" ht="18" customHeight="1" x14ac:dyDescent="0.25">
      <c r="A1190" s="335"/>
      <c r="B1190" s="203"/>
      <c r="C1190" s="461"/>
      <c r="D1190" s="597"/>
      <c r="E1190" s="336"/>
      <c r="F1190" s="151"/>
      <c r="K1190" s="201"/>
      <c r="M1190" s="151"/>
      <c r="R1190" s="154"/>
      <c r="S1190" s="154"/>
      <c r="T1190" s="154"/>
    </row>
    <row r="1191" spans="1:20" s="149" customFormat="1" ht="18" customHeight="1" x14ac:dyDescent="0.25">
      <c r="A1191" s="335"/>
      <c r="B1191" s="203"/>
      <c r="C1191" s="461"/>
      <c r="D1191" s="597"/>
      <c r="E1191" s="336"/>
      <c r="F1191" s="151"/>
      <c r="K1191" s="201"/>
      <c r="M1191" s="151"/>
      <c r="R1191" s="154"/>
      <c r="S1191" s="154"/>
      <c r="T1191" s="154"/>
    </row>
    <row r="1192" spans="1:20" s="149" customFormat="1" ht="18" customHeight="1" x14ac:dyDescent="0.25">
      <c r="A1192" s="335"/>
      <c r="B1192" s="203"/>
      <c r="C1192" s="461"/>
      <c r="D1192" s="597"/>
      <c r="E1192" s="336"/>
      <c r="F1192" s="151"/>
      <c r="K1192" s="201"/>
      <c r="M1192" s="151"/>
      <c r="R1192" s="154"/>
      <c r="S1192" s="154"/>
      <c r="T1192" s="154"/>
    </row>
    <row r="1193" spans="1:20" s="149" customFormat="1" ht="18" customHeight="1" x14ac:dyDescent="0.25">
      <c r="A1193" s="335"/>
      <c r="B1193" s="203"/>
      <c r="C1193" s="461"/>
      <c r="D1193" s="597"/>
      <c r="E1193" s="336"/>
      <c r="F1193" s="151"/>
      <c r="K1193" s="201"/>
      <c r="M1193" s="151"/>
      <c r="R1193" s="154"/>
      <c r="S1193" s="154"/>
      <c r="T1193" s="154"/>
    </row>
    <row r="1194" spans="1:20" s="149" customFormat="1" ht="18" customHeight="1" x14ac:dyDescent="0.25">
      <c r="A1194" s="335"/>
      <c r="B1194" s="203"/>
      <c r="C1194" s="461"/>
      <c r="D1194" s="597"/>
      <c r="E1194" s="336"/>
      <c r="F1194" s="151"/>
      <c r="K1194" s="201"/>
      <c r="M1194" s="151"/>
      <c r="R1194" s="154"/>
      <c r="S1194" s="154"/>
      <c r="T1194" s="154"/>
    </row>
    <row r="1195" spans="1:20" s="149" customFormat="1" ht="18" customHeight="1" x14ac:dyDescent="0.25">
      <c r="A1195" s="335"/>
      <c r="B1195" s="203"/>
      <c r="C1195" s="461"/>
      <c r="D1195" s="597"/>
      <c r="E1195" s="336"/>
      <c r="F1195" s="151"/>
      <c r="K1195" s="201"/>
      <c r="M1195" s="151"/>
      <c r="R1195" s="154"/>
      <c r="S1195" s="154"/>
      <c r="T1195" s="154"/>
    </row>
    <row r="1196" spans="1:20" s="149" customFormat="1" ht="18" customHeight="1" x14ac:dyDescent="0.25">
      <c r="A1196" s="335"/>
      <c r="B1196" s="203"/>
      <c r="C1196" s="461"/>
      <c r="D1196" s="597"/>
      <c r="E1196" s="336"/>
      <c r="F1196" s="151"/>
      <c r="K1196" s="201"/>
      <c r="M1196" s="151"/>
      <c r="R1196" s="154"/>
      <c r="S1196" s="154"/>
      <c r="T1196" s="154"/>
    </row>
    <row r="1197" spans="1:20" s="149" customFormat="1" ht="18" customHeight="1" x14ac:dyDescent="0.25">
      <c r="A1197" s="335"/>
      <c r="B1197" s="203"/>
      <c r="C1197" s="461"/>
      <c r="D1197" s="597"/>
      <c r="E1197" s="336"/>
      <c r="F1197" s="151"/>
      <c r="K1197" s="201"/>
      <c r="M1197" s="151"/>
      <c r="R1197" s="154"/>
      <c r="S1197" s="154"/>
      <c r="T1197" s="154"/>
    </row>
    <row r="1198" spans="1:20" s="149" customFormat="1" ht="18" customHeight="1" x14ac:dyDescent="0.25">
      <c r="A1198" s="335"/>
      <c r="B1198" s="203"/>
      <c r="C1198" s="461"/>
      <c r="D1198" s="597"/>
      <c r="E1198" s="336"/>
      <c r="F1198" s="151"/>
      <c r="K1198" s="201"/>
      <c r="M1198" s="151"/>
      <c r="R1198" s="154"/>
      <c r="S1198" s="154"/>
      <c r="T1198" s="154"/>
    </row>
    <row r="1199" spans="1:20" s="149" customFormat="1" ht="18" customHeight="1" x14ac:dyDescent="0.25">
      <c r="A1199" s="335"/>
      <c r="B1199" s="203"/>
      <c r="C1199" s="461"/>
      <c r="D1199" s="597"/>
      <c r="E1199" s="336"/>
      <c r="F1199" s="151"/>
      <c r="K1199" s="201"/>
      <c r="M1199" s="151"/>
      <c r="R1199" s="154"/>
      <c r="S1199" s="154"/>
      <c r="T1199" s="154"/>
    </row>
    <row r="1200" spans="1:20" s="149" customFormat="1" ht="18" customHeight="1" x14ac:dyDescent="0.25">
      <c r="A1200" s="335"/>
      <c r="B1200" s="203"/>
      <c r="C1200" s="461"/>
      <c r="D1200" s="597"/>
      <c r="E1200" s="336"/>
      <c r="F1200" s="151"/>
      <c r="K1200" s="201"/>
      <c r="M1200" s="151"/>
      <c r="R1200" s="154"/>
      <c r="S1200" s="154"/>
      <c r="T1200" s="154"/>
    </row>
    <row r="1201" spans="1:20" s="149" customFormat="1" ht="18" customHeight="1" x14ac:dyDescent="0.25">
      <c r="A1201" s="335"/>
      <c r="B1201" s="203"/>
      <c r="C1201" s="461"/>
      <c r="D1201" s="597"/>
      <c r="E1201" s="336"/>
      <c r="F1201" s="151"/>
      <c r="K1201" s="201"/>
      <c r="M1201" s="151"/>
      <c r="R1201" s="154"/>
      <c r="S1201" s="154"/>
      <c r="T1201" s="154"/>
    </row>
    <row r="1202" spans="1:20" s="149" customFormat="1" ht="18" customHeight="1" x14ac:dyDescent="0.25">
      <c r="A1202" s="335"/>
      <c r="B1202" s="203"/>
      <c r="C1202" s="461"/>
      <c r="D1202" s="597"/>
      <c r="E1202" s="336"/>
      <c r="F1202" s="151"/>
      <c r="K1202" s="201"/>
      <c r="M1202" s="151"/>
      <c r="R1202" s="154"/>
      <c r="S1202" s="154"/>
      <c r="T1202" s="154"/>
    </row>
    <row r="1203" spans="1:20" s="149" customFormat="1" ht="18" customHeight="1" x14ac:dyDescent="0.25">
      <c r="A1203" s="335"/>
      <c r="B1203" s="203"/>
      <c r="C1203" s="461"/>
      <c r="D1203" s="597"/>
      <c r="E1203" s="336"/>
      <c r="F1203" s="151"/>
      <c r="K1203" s="201"/>
      <c r="M1203" s="151"/>
      <c r="R1203" s="154"/>
      <c r="S1203" s="154"/>
      <c r="T1203" s="154"/>
    </row>
    <row r="1204" spans="1:20" s="149" customFormat="1" ht="18" customHeight="1" x14ac:dyDescent="0.25">
      <c r="A1204" s="335"/>
      <c r="B1204" s="203"/>
      <c r="C1204" s="461"/>
      <c r="D1204" s="597"/>
      <c r="E1204" s="336"/>
      <c r="F1204" s="151"/>
      <c r="K1204" s="201"/>
      <c r="M1204" s="151"/>
      <c r="R1204" s="154"/>
      <c r="S1204" s="154"/>
      <c r="T1204" s="154"/>
    </row>
    <row r="1205" spans="1:20" s="149" customFormat="1" ht="18" customHeight="1" x14ac:dyDescent="0.25">
      <c r="A1205" s="335"/>
      <c r="B1205" s="203"/>
      <c r="C1205" s="461"/>
      <c r="D1205" s="597"/>
      <c r="E1205" s="336"/>
      <c r="F1205" s="151"/>
      <c r="K1205" s="201"/>
      <c r="M1205" s="151"/>
      <c r="R1205" s="154"/>
      <c r="S1205" s="154"/>
      <c r="T1205" s="154"/>
    </row>
    <row r="1206" spans="1:20" s="149" customFormat="1" ht="18" customHeight="1" x14ac:dyDescent="0.25">
      <c r="A1206" s="335"/>
      <c r="B1206" s="203"/>
      <c r="C1206" s="461"/>
      <c r="D1206" s="597"/>
      <c r="E1206" s="336"/>
      <c r="F1206" s="151"/>
      <c r="K1206" s="201"/>
      <c r="M1206" s="151"/>
      <c r="R1206" s="154"/>
      <c r="S1206" s="154"/>
      <c r="T1206" s="154"/>
    </row>
    <row r="1207" spans="1:20" s="149" customFormat="1" ht="18" customHeight="1" x14ac:dyDescent="0.25">
      <c r="A1207" s="335"/>
      <c r="B1207" s="203"/>
      <c r="C1207" s="461"/>
      <c r="D1207" s="597"/>
      <c r="E1207" s="336"/>
      <c r="F1207" s="151"/>
      <c r="K1207" s="201"/>
      <c r="M1207" s="151"/>
      <c r="R1207" s="154"/>
      <c r="S1207" s="154"/>
      <c r="T1207" s="154"/>
    </row>
    <row r="1208" spans="1:20" s="149" customFormat="1" ht="18" customHeight="1" x14ac:dyDescent="0.25">
      <c r="A1208" s="335"/>
      <c r="B1208" s="203"/>
      <c r="C1208" s="461"/>
      <c r="D1208" s="597"/>
      <c r="E1208" s="336"/>
      <c r="F1208" s="151"/>
      <c r="K1208" s="201"/>
      <c r="M1208" s="151"/>
      <c r="R1208" s="154"/>
      <c r="S1208" s="154"/>
      <c r="T1208" s="154"/>
    </row>
    <row r="1209" spans="1:20" s="149" customFormat="1" ht="18" customHeight="1" x14ac:dyDescent="0.25">
      <c r="A1209" s="335"/>
      <c r="B1209" s="203"/>
      <c r="C1209" s="461"/>
      <c r="D1209" s="597"/>
      <c r="E1209" s="336"/>
      <c r="F1209" s="151"/>
      <c r="K1209" s="201"/>
      <c r="M1209" s="151"/>
      <c r="R1209" s="154"/>
      <c r="S1209" s="154"/>
      <c r="T1209" s="154"/>
    </row>
    <row r="1210" spans="1:20" s="149" customFormat="1" ht="18" customHeight="1" x14ac:dyDescent="0.25">
      <c r="A1210" s="335"/>
      <c r="B1210" s="203"/>
      <c r="C1210" s="461"/>
      <c r="D1210" s="597"/>
      <c r="E1210" s="336"/>
      <c r="F1210" s="151"/>
      <c r="K1210" s="201"/>
      <c r="M1210" s="151"/>
      <c r="R1210" s="154"/>
      <c r="S1210" s="154"/>
      <c r="T1210" s="154"/>
    </row>
    <row r="1211" spans="1:20" s="149" customFormat="1" ht="18" customHeight="1" x14ac:dyDescent="0.25">
      <c r="A1211" s="335"/>
      <c r="B1211" s="203"/>
      <c r="C1211" s="461"/>
      <c r="D1211" s="597"/>
      <c r="E1211" s="336"/>
      <c r="F1211" s="151"/>
      <c r="K1211" s="201"/>
      <c r="M1211" s="151"/>
      <c r="R1211" s="154"/>
      <c r="S1211" s="154"/>
      <c r="T1211" s="154"/>
    </row>
    <row r="1212" spans="1:20" s="149" customFormat="1" ht="18" customHeight="1" x14ac:dyDescent="0.25">
      <c r="A1212" s="335"/>
      <c r="B1212" s="203"/>
      <c r="C1212" s="461"/>
      <c r="D1212" s="597"/>
      <c r="E1212" s="336"/>
      <c r="F1212" s="151"/>
      <c r="K1212" s="201"/>
      <c r="M1212" s="151"/>
      <c r="R1212" s="154"/>
      <c r="S1212" s="154"/>
      <c r="T1212" s="154"/>
    </row>
    <row r="1213" spans="1:20" s="149" customFormat="1" ht="18" customHeight="1" x14ac:dyDescent="0.25">
      <c r="A1213" s="335"/>
      <c r="B1213" s="203"/>
      <c r="C1213" s="461"/>
      <c r="D1213" s="597"/>
      <c r="E1213" s="336"/>
      <c r="F1213" s="151"/>
      <c r="K1213" s="201"/>
      <c r="M1213" s="151"/>
      <c r="R1213" s="154"/>
      <c r="S1213" s="154"/>
      <c r="T1213" s="154"/>
    </row>
    <row r="1214" spans="1:20" s="149" customFormat="1" ht="18" customHeight="1" x14ac:dyDescent="0.25">
      <c r="A1214" s="335"/>
      <c r="B1214" s="203"/>
      <c r="C1214" s="461"/>
      <c r="D1214" s="597"/>
      <c r="E1214" s="336"/>
      <c r="F1214" s="151"/>
      <c r="K1214" s="201"/>
      <c r="M1214" s="151"/>
      <c r="R1214" s="154"/>
      <c r="S1214" s="154"/>
      <c r="T1214" s="154"/>
    </row>
    <row r="1215" spans="1:20" s="149" customFormat="1" ht="18" customHeight="1" x14ac:dyDescent="0.25">
      <c r="A1215" s="335"/>
      <c r="B1215" s="203"/>
      <c r="C1215" s="461"/>
      <c r="D1215" s="597"/>
      <c r="E1215" s="336"/>
      <c r="F1215" s="151"/>
      <c r="K1215" s="201"/>
      <c r="M1215" s="151"/>
      <c r="R1215" s="154"/>
      <c r="S1215" s="154"/>
      <c r="T1215" s="154"/>
    </row>
    <row r="1216" spans="1:20" s="149" customFormat="1" ht="18" customHeight="1" x14ac:dyDescent="0.25">
      <c r="A1216" s="335"/>
      <c r="B1216" s="203"/>
      <c r="C1216" s="461"/>
      <c r="D1216" s="597"/>
      <c r="E1216" s="336"/>
      <c r="F1216" s="151"/>
      <c r="K1216" s="201"/>
      <c r="M1216" s="151"/>
      <c r="R1216" s="154"/>
      <c r="S1216" s="154"/>
      <c r="T1216" s="154"/>
    </row>
    <row r="1217" spans="1:20" s="149" customFormat="1" ht="18" customHeight="1" x14ac:dyDescent="0.25">
      <c r="A1217" s="335"/>
      <c r="B1217" s="203"/>
      <c r="C1217" s="461"/>
      <c r="D1217" s="597"/>
      <c r="E1217" s="336"/>
      <c r="F1217" s="151"/>
      <c r="K1217" s="201"/>
      <c r="M1217" s="151"/>
      <c r="R1217" s="154"/>
      <c r="S1217" s="154"/>
      <c r="T1217" s="154"/>
    </row>
    <row r="1218" spans="1:20" s="149" customFormat="1" ht="18" customHeight="1" x14ac:dyDescent="0.25">
      <c r="A1218" s="335"/>
      <c r="B1218" s="203"/>
      <c r="C1218" s="461"/>
      <c r="D1218" s="597"/>
      <c r="E1218" s="336"/>
      <c r="F1218" s="151"/>
      <c r="K1218" s="201"/>
      <c r="M1218" s="151"/>
      <c r="R1218" s="154"/>
      <c r="S1218" s="154"/>
      <c r="T1218" s="154"/>
    </row>
    <row r="1219" spans="1:20" s="149" customFormat="1" ht="18" customHeight="1" x14ac:dyDescent="0.25">
      <c r="A1219" s="335"/>
      <c r="B1219" s="203"/>
      <c r="C1219" s="461"/>
      <c r="D1219" s="597"/>
      <c r="E1219" s="336"/>
      <c r="F1219" s="151"/>
      <c r="K1219" s="201"/>
      <c r="M1219" s="151"/>
      <c r="R1219" s="154"/>
      <c r="S1219" s="154"/>
      <c r="T1219" s="154"/>
    </row>
    <row r="1220" spans="1:20" s="149" customFormat="1" ht="18" customHeight="1" x14ac:dyDescent="0.25">
      <c r="A1220" s="335"/>
      <c r="B1220" s="203"/>
      <c r="C1220" s="461"/>
      <c r="D1220" s="597"/>
      <c r="E1220" s="336"/>
      <c r="F1220" s="151"/>
      <c r="K1220" s="201"/>
      <c r="M1220" s="151"/>
      <c r="R1220" s="154"/>
      <c r="S1220" s="154"/>
      <c r="T1220" s="154"/>
    </row>
    <row r="1221" spans="1:20" s="149" customFormat="1" ht="18" customHeight="1" x14ac:dyDescent="0.25">
      <c r="A1221" s="335"/>
      <c r="B1221" s="203"/>
      <c r="C1221" s="461"/>
      <c r="D1221" s="597"/>
      <c r="E1221" s="336"/>
      <c r="F1221" s="151"/>
      <c r="K1221" s="201"/>
      <c r="M1221" s="151"/>
      <c r="R1221" s="154"/>
      <c r="S1221" s="154"/>
      <c r="T1221" s="154"/>
    </row>
    <row r="1222" spans="1:20" s="149" customFormat="1" ht="18" customHeight="1" x14ac:dyDescent="0.25">
      <c r="A1222" s="335"/>
      <c r="B1222" s="203"/>
      <c r="C1222" s="461"/>
      <c r="D1222" s="597"/>
      <c r="E1222" s="336"/>
      <c r="F1222" s="151"/>
      <c r="K1222" s="201"/>
      <c r="M1222" s="151"/>
      <c r="R1222" s="154"/>
      <c r="S1222" s="154"/>
      <c r="T1222" s="154"/>
    </row>
    <row r="1223" spans="1:20" s="149" customFormat="1" ht="18" customHeight="1" x14ac:dyDescent="0.25">
      <c r="A1223" s="335"/>
      <c r="B1223" s="203"/>
      <c r="C1223" s="461"/>
      <c r="D1223" s="597"/>
      <c r="E1223" s="336"/>
      <c r="F1223" s="151"/>
      <c r="K1223" s="201"/>
      <c r="M1223" s="151"/>
      <c r="R1223" s="154"/>
      <c r="S1223" s="154"/>
      <c r="T1223" s="154"/>
    </row>
    <row r="1224" spans="1:20" s="149" customFormat="1" ht="18" customHeight="1" x14ac:dyDescent="0.25">
      <c r="A1224" s="335"/>
      <c r="B1224" s="203"/>
      <c r="C1224" s="461"/>
      <c r="D1224" s="597"/>
      <c r="E1224" s="336"/>
      <c r="F1224" s="151"/>
      <c r="K1224" s="201"/>
      <c r="M1224" s="151"/>
      <c r="R1224" s="154"/>
      <c r="S1224" s="154"/>
      <c r="T1224" s="154"/>
    </row>
    <row r="1225" spans="1:20" s="149" customFormat="1" ht="18" customHeight="1" x14ac:dyDescent="0.25">
      <c r="A1225" s="335"/>
      <c r="B1225" s="203"/>
      <c r="C1225" s="461"/>
      <c r="D1225" s="597"/>
      <c r="E1225" s="336"/>
      <c r="F1225" s="151"/>
      <c r="K1225" s="201"/>
      <c r="M1225" s="151"/>
      <c r="R1225" s="154"/>
      <c r="S1225" s="154"/>
      <c r="T1225" s="154"/>
    </row>
    <row r="1226" spans="1:20" s="149" customFormat="1" ht="18" customHeight="1" x14ac:dyDescent="0.25">
      <c r="A1226" s="335"/>
      <c r="B1226" s="203"/>
      <c r="C1226" s="461"/>
      <c r="D1226" s="597"/>
      <c r="E1226" s="336"/>
      <c r="F1226" s="151"/>
      <c r="K1226" s="201"/>
      <c r="M1226" s="151"/>
      <c r="R1226" s="154"/>
      <c r="S1226" s="154"/>
      <c r="T1226" s="154"/>
    </row>
    <row r="1227" spans="1:20" s="149" customFormat="1" ht="18" customHeight="1" x14ac:dyDescent="0.25">
      <c r="A1227" s="335"/>
      <c r="B1227" s="203"/>
      <c r="C1227" s="461"/>
      <c r="D1227" s="597"/>
      <c r="E1227" s="336"/>
      <c r="F1227" s="151"/>
      <c r="K1227" s="201"/>
      <c r="M1227" s="151"/>
      <c r="R1227" s="154"/>
      <c r="S1227" s="154"/>
      <c r="T1227" s="154"/>
    </row>
    <row r="1228" spans="1:20" s="149" customFormat="1" ht="18" customHeight="1" x14ac:dyDescent="0.25">
      <c r="A1228" s="335"/>
      <c r="B1228" s="203"/>
      <c r="C1228" s="461"/>
      <c r="D1228" s="597"/>
      <c r="E1228" s="336"/>
      <c r="F1228" s="151"/>
      <c r="K1228" s="201"/>
      <c r="M1228" s="151"/>
      <c r="R1228" s="154"/>
      <c r="S1228" s="154"/>
      <c r="T1228" s="154"/>
    </row>
    <row r="1229" spans="1:20" s="149" customFormat="1" ht="18" customHeight="1" x14ac:dyDescent="0.25">
      <c r="A1229" s="335"/>
      <c r="B1229" s="203"/>
      <c r="C1229" s="461"/>
      <c r="D1229" s="597"/>
      <c r="E1229" s="336"/>
      <c r="F1229" s="151"/>
      <c r="K1229" s="201"/>
      <c r="M1229" s="151"/>
      <c r="R1229" s="154"/>
      <c r="S1229" s="154"/>
      <c r="T1229" s="154"/>
    </row>
    <row r="1230" spans="1:20" s="149" customFormat="1" ht="18" customHeight="1" x14ac:dyDescent="0.25">
      <c r="A1230" s="335"/>
      <c r="B1230" s="203"/>
      <c r="C1230" s="461"/>
      <c r="D1230" s="597"/>
      <c r="E1230" s="336"/>
      <c r="F1230" s="151"/>
      <c r="K1230" s="201"/>
      <c r="M1230" s="151"/>
      <c r="R1230" s="154"/>
      <c r="S1230" s="154"/>
      <c r="T1230" s="154"/>
    </row>
    <row r="1231" spans="1:20" s="149" customFormat="1" ht="18" customHeight="1" x14ac:dyDescent="0.25">
      <c r="A1231" s="335"/>
      <c r="B1231" s="203"/>
      <c r="C1231" s="461"/>
      <c r="D1231" s="597"/>
      <c r="E1231" s="336"/>
      <c r="F1231" s="151"/>
      <c r="K1231" s="201"/>
      <c r="M1231" s="151"/>
      <c r="R1231" s="154"/>
      <c r="S1231" s="154"/>
      <c r="T1231" s="154"/>
    </row>
    <row r="1232" spans="1:20" s="149" customFormat="1" ht="18" customHeight="1" x14ac:dyDescent="0.25">
      <c r="A1232" s="335"/>
      <c r="B1232" s="203"/>
      <c r="C1232" s="461"/>
      <c r="D1232" s="597"/>
      <c r="E1232" s="336"/>
      <c r="F1232" s="151"/>
      <c r="K1232" s="201"/>
      <c r="M1232" s="151"/>
      <c r="R1232" s="154"/>
      <c r="S1232" s="154"/>
      <c r="T1232" s="154"/>
    </row>
    <row r="1233" spans="1:20" s="149" customFormat="1" ht="18" customHeight="1" x14ac:dyDescent="0.25">
      <c r="A1233" s="335"/>
      <c r="B1233" s="203"/>
      <c r="C1233" s="461"/>
      <c r="D1233" s="597"/>
      <c r="E1233" s="336"/>
      <c r="F1233" s="151"/>
      <c r="K1233" s="201"/>
      <c r="M1233" s="151"/>
      <c r="R1233" s="154"/>
      <c r="S1233" s="154"/>
      <c r="T1233" s="154"/>
    </row>
    <row r="1234" spans="1:20" s="149" customFormat="1" ht="18" customHeight="1" x14ac:dyDescent="0.25">
      <c r="A1234" s="335"/>
      <c r="B1234" s="203"/>
      <c r="C1234" s="461"/>
      <c r="D1234" s="597"/>
      <c r="E1234" s="336"/>
      <c r="F1234" s="151"/>
      <c r="K1234" s="201"/>
      <c r="M1234" s="151"/>
      <c r="R1234" s="154"/>
      <c r="S1234" s="154"/>
      <c r="T1234" s="154"/>
    </row>
    <row r="1235" spans="1:20" s="149" customFormat="1" ht="18" customHeight="1" x14ac:dyDescent="0.25">
      <c r="A1235" s="335"/>
      <c r="B1235" s="203"/>
      <c r="C1235" s="461"/>
      <c r="D1235" s="597"/>
      <c r="E1235" s="336"/>
      <c r="F1235" s="151"/>
      <c r="K1235" s="201"/>
      <c r="M1235" s="151"/>
      <c r="R1235" s="154"/>
      <c r="S1235" s="154"/>
      <c r="T1235" s="154"/>
    </row>
    <row r="1236" spans="1:20" s="149" customFormat="1" ht="18" customHeight="1" x14ac:dyDescent="0.25">
      <c r="A1236" s="335"/>
      <c r="B1236" s="203"/>
      <c r="C1236" s="461"/>
      <c r="D1236" s="597"/>
      <c r="E1236" s="336"/>
      <c r="F1236" s="151"/>
      <c r="K1236" s="201"/>
      <c r="M1236" s="151"/>
      <c r="R1236" s="154"/>
      <c r="S1236" s="154"/>
      <c r="T1236" s="154"/>
    </row>
    <row r="1237" spans="1:20" s="149" customFormat="1" ht="18" customHeight="1" x14ac:dyDescent="0.25">
      <c r="A1237" s="335"/>
      <c r="B1237" s="203"/>
      <c r="C1237" s="461"/>
      <c r="D1237" s="597"/>
      <c r="E1237" s="336"/>
      <c r="F1237" s="151"/>
      <c r="K1237" s="201"/>
      <c r="M1237" s="151"/>
      <c r="R1237" s="154"/>
      <c r="S1237" s="154"/>
      <c r="T1237" s="154"/>
    </row>
    <row r="1238" spans="1:20" s="149" customFormat="1" ht="18" customHeight="1" x14ac:dyDescent="0.25">
      <c r="A1238" s="335"/>
      <c r="B1238" s="203"/>
      <c r="C1238" s="461"/>
      <c r="D1238" s="597"/>
      <c r="E1238" s="336"/>
      <c r="F1238" s="151"/>
      <c r="K1238" s="201"/>
      <c r="M1238" s="151"/>
      <c r="R1238" s="154"/>
      <c r="S1238" s="154"/>
      <c r="T1238" s="154"/>
    </row>
    <row r="1239" spans="1:20" s="149" customFormat="1" ht="18" customHeight="1" x14ac:dyDescent="0.25">
      <c r="A1239" s="335"/>
      <c r="B1239" s="203"/>
      <c r="C1239" s="461"/>
      <c r="D1239" s="597"/>
      <c r="E1239" s="336"/>
      <c r="F1239" s="151"/>
      <c r="K1239" s="201"/>
      <c r="M1239" s="151"/>
      <c r="R1239" s="154"/>
      <c r="S1239" s="154"/>
      <c r="T1239" s="154"/>
    </row>
    <row r="1240" spans="1:20" s="149" customFormat="1" ht="18" customHeight="1" x14ac:dyDescent="0.25">
      <c r="A1240" s="335"/>
      <c r="B1240" s="203"/>
      <c r="C1240" s="461"/>
      <c r="D1240" s="597"/>
      <c r="E1240" s="336"/>
      <c r="F1240" s="151"/>
      <c r="K1240" s="201"/>
      <c r="M1240" s="151"/>
      <c r="R1240" s="154"/>
      <c r="S1240" s="154"/>
      <c r="T1240" s="154"/>
    </row>
    <row r="1241" spans="1:20" s="149" customFormat="1" ht="18" customHeight="1" x14ac:dyDescent="0.25">
      <c r="A1241" s="335"/>
      <c r="B1241" s="203"/>
      <c r="C1241" s="461"/>
      <c r="D1241" s="597"/>
      <c r="E1241" s="336"/>
      <c r="F1241" s="151"/>
      <c r="K1241" s="201"/>
      <c r="M1241" s="151"/>
      <c r="R1241" s="154"/>
      <c r="S1241" s="154"/>
      <c r="T1241" s="154"/>
    </row>
    <row r="1242" spans="1:20" s="149" customFormat="1" ht="18" customHeight="1" x14ac:dyDescent="0.25">
      <c r="A1242" s="335"/>
      <c r="B1242" s="203"/>
      <c r="C1242" s="461"/>
      <c r="D1242" s="597"/>
      <c r="E1242" s="336"/>
      <c r="F1242" s="151"/>
      <c r="K1242" s="201"/>
      <c r="M1242" s="151"/>
      <c r="R1242" s="154"/>
      <c r="S1242" s="154"/>
      <c r="T1242" s="154"/>
    </row>
    <row r="1243" spans="1:20" s="149" customFormat="1" ht="18" customHeight="1" x14ac:dyDescent="0.25">
      <c r="A1243" s="335"/>
      <c r="B1243" s="203"/>
      <c r="C1243" s="461"/>
      <c r="D1243" s="597"/>
      <c r="E1243" s="336"/>
      <c r="F1243" s="151"/>
      <c r="K1243" s="201"/>
      <c r="M1243" s="151"/>
      <c r="R1243" s="154"/>
      <c r="S1243" s="154"/>
      <c r="T1243" s="154"/>
    </row>
    <row r="1244" spans="1:20" s="149" customFormat="1" ht="18" customHeight="1" x14ac:dyDescent="0.25">
      <c r="A1244" s="335"/>
      <c r="B1244" s="203"/>
      <c r="C1244" s="461"/>
      <c r="D1244" s="597"/>
      <c r="E1244" s="336"/>
      <c r="F1244" s="151"/>
      <c r="K1244" s="201"/>
      <c r="M1244" s="151"/>
      <c r="R1244" s="154"/>
      <c r="S1244" s="154"/>
      <c r="T1244" s="154"/>
    </row>
    <row r="1245" spans="1:20" s="149" customFormat="1" ht="18" customHeight="1" x14ac:dyDescent="0.25">
      <c r="A1245" s="335"/>
      <c r="B1245" s="203"/>
      <c r="C1245" s="461"/>
      <c r="D1245" s="597"/>
      <c r="E1245" s="336"/>
      <c r="F1245" s="151"/>
      <c r="K1245" s="201"/>
      <c r="M1245" s="151"/>
      <c r="R1245" s="154"/>
      <c r="S1245" s="154"/>
      <c r="T1245" s="154"/>
    </row>
    <row r="1246" spans="1:20" s="149" customFormat="1" ht="18" customHeight="1" x14ac:dyDescent="0.25">
      <c r="A1246" s="335"/>
      <c r="B1246" s="203"/>
      <c r="C1246" s="461"/>
      <c r="D1246" s="597"/>
      <c r="E1246" s="336"/>
      <c r="F1246" s="151"/>
      <c r="K1246" s="201"/>
      <c r="M1246" s="151"/>
      <c r="R1246" s="154"/>
      <c r="S1246" s="154"/>
      <c r="T1246" s="154"/>
    </row>
    <row r="1247" spans="1:20" s="149" customFormat="1" ht="18" customHeight="1" x14ac:dyDescent="0.25">
      <c r="A1247" s="335"/>
      <c r="B1247" s="203"/>
      <c r="C1247" s="461"/>
      <c r="D1247" s="597"/>
      <c r="E1247" s="336"/>
      <c r="F1247" s="151"/>
      <c r="K1247" s="201"/>
      <c r="M1247" s="151"/>
      <c r="R1247" s="154"/>
      <c r="S1247" s="154"/>
      <c r="T1247" s="154"/>
    </row>
    <row r="1248" spans="1:20" s="149" customFormat="1" ht="18" customHeight="1" x14ac:dyDescent="0.25">
      <c r="A1248" s="335"/>
      <c r="B1248" s="203"/>
      <c r="C1248" s="461"/>
      <c r="D1248" s="597"/>
      <c r="E1248" s="336"/>
      <c r="F1248" s="151"/>
      <c r="K1248" s="201"/>
      <c r="M1248" s="151"/>
      <c r="R1248" s="154"/>
      <c r="S1248" s="154"/>
      <c r="T1248" s="154"/>
    </row>
    <row r="1249" spans="1:20" s="149" customFormat="1" ht="18" customHeight="1" x14ac:dyDescent="0.25">
      <c r="A1249" s="335"/>
      <c r="B1249" s="203"/>
      <c r="C1249" s="461"/>
      <c r="D1249" s="597"/>
      <c r="E1249" s="336"/>
      <c r="F1249" s="151"/>
      <c r="K1249" s="201"/>
      <c r="M1249" s="151"/>
      <c r="R1249" s="154"/>
      <c r="S1249" s="154"/>
      <c r="T1249" s="154"/>
    </row>
    <row r="1250" spans="1:20" s="149" customFormat="1" ht="18" customHeight="1" x14ac:dyDescent="0.25">
      <c r="A1250" s="335"/>
      <c r="B1250" s="203"/>
      <c r="C1250" s="461"/>
      <c r="D1250" s="597"/>
      <c r="E1250" s="336"/>
      <c r="F1250" s="151"/>
      <c r="K1250" s="201"/>
      <c r="M1250" s="151"/>
      <c r="R1250" s="154"/>
      <c r="S1250" s="154"/>
      <c r="T1250" s="154"/>
    </row>
    <row r="1251" spans="1:20" s="149" customFormat="1" ht="18" customHeight="1" x14ac:dyDescent="0.25">
      <c r="A1251" s="335"/>
      <c r="B1251" s="203"/>
      <c r="C1251" s="461"/>
      <c r="D1251" s="597"/>
      <c r="E1251" s="336"/>
      <c r="F1251" s="151"/>
      <c r="K1251" s="201"/>
      <c r="M1251" s="151"/>
      <c r="R1251" s="154"/>
      <c r="S1251" s="154"/>
      <c r="T1251" s="154"/>
    </row>
    <row r="1252" spans="1:20" s="149" customFormat="1" ht="18" customHeight="1" x14ac:dyDescent="0.25">
      <c r="A1252" s="335"/>
      <c r="B1252" s="203"/>
      <c r="C1252" s="461"/>
      <c r="D1252" s="597"/>
      <c r="E1252" s="336"/>
      <c r="F1252" s="151"/>
      <c r="K1252" s="201"/>
      <c r="M1252" s="151"/>
      <c r="R1252" s="154"/>
      <c r="S1252" s="154"/>
      <c r="T1252" s="154"/>
    </row>
    <row r="1253" spans="1:20" s="149" customFormat="1" ht="18" customHeight="1" x14ac:dyDescent="0.25">
      <c r="A1253" s="335"/>
      <c r="B1253" s="203"/>
      <c r="C1253" s="461"/>
      <c r="D1253" s="597"/>
      <c r="E1253" s="336"/>
      <c r="F1253" s="151"/>
      <c r="K1253" s="201"/>
      <c r="M1253" s="151"/>
      <c r="R1253" s="154"/>
      <c r="S1253" s="154"/>
      <c r="T1253" s="154"/>
    </row>
    <row r="1254" spans="1:20" s="149" customFormat="1" ht="18" customHeight="1" x14ac:dyDescent="0.25">
      <c r="A1254" s="335"/>
      <c r="B1254" s="203"/>
      <c r="C1254" s="461"/>
      <c r="D1254" s="597"/>
      <c r="E1254" s="336"/>
      <c r="F1254" s="151"/>
      <c r="K1254" s="201"/>
      <c r="M1254" s="151"/>
      <c r="R1254" s="154"/>
      <c r="S1254" s="154"/>
      <c r="T1254" s="154"/>
    </row>
    <row r="1255" spans="1:20" s="149" customFormat="1" ht="18" customHeight="1" x14ac:dyDescent="0.25">
      <c r="A1255" s="335"/>
      <c r="B1255" s="203"/>
      <c r="C1255" s="461"/>
      <c r="D1255" s="597"/>
      <c r="E1255" s="336"/>
      <c r="F1255" s="151"/>
      <c r="K1255" s="201"/>
      <c r="M1255" s="151"/>
      <c r="R1255" s="154"/>
      <c r="S1255" s="154"/>
      <c r="T1255" s="154"/>
    </row>
    <row r="1256" spans="1:20" s="149" customFormat="1" ht="18" customHeight="1" x14ac:dyDescent="0.25">
      <c r="A1256" s="335"/>
      <c r="B1256" s="203"/>
      <c r="C1256" s="461"/>
      <c r="D1256" s="597"/>
      <c r="E1256" s="336"/>
      <c r="F1256" s="151"/>
      <c r="K1256" s="201"/>
      <c r="M1256" s="151"/>
      <c r="R1256" s="154"/>
      <c r="S1256" s="154"/>
      <c r="T1256" s="154"/>
    </row>
    <row r="1257" spans="1:20" s="149" customFormat="1" ht="18" customHeight="1" x14ac:dyDescent="0.25">
      <c r="A1257" s="335"/>
      <c r="B1257" s="203"/>
      <c r="C1257" s="461"/>
      <c r="D1257" s="597"/>
      <c r="E1257" s="336"/>
      <c r="F1257" s="151"/>
      <c r="K1257" s="201"/>
      <c r="M1257" s="151"/>
      <c r="R1257" s="154"/>
      <c r="S1257" s="154"/>
      <c r="T1257" s="154"/>
    </row>
    <row r="1258" spans="1:20" s="149" customFormat="1" ht="18" customHeight="1" x14ac:dyDescent="0.25">
      <c r="A1258" s="335"/>
      <c r="B1258" s="203"/>
      <c r="C1258" s="461"/>
      <c r="D1258" s="597"/>
      <c r="E1258" s="336"/>
      <c r="F1258" s="151"/>
      <c r="K1258" s="201"/>
      <c r="M1258" s="151"/>
      <c r="R1258" s="154"/>
      <c r="S1258" s="154"/>
      <c r="T1258" s="154"/>
    </row>
    <row r="1259" spans="1:20" s="149" customFormat="1" ht="18" customHeight="1" x14ac:dyDescent="0.25">
      <c r="A1259" s="335"/>
      <c r="B1259" s="203"/>
      <c r="C1259" s="461"/>
      <c r="D1259" s="597"/>
      <c r="E1259" s="336"/>
      <c r="F1259" s="151"/>
      <c r="K1259" s="201"/>
      <c r="M1259" s="151"/>
      <c r="R1259" s="154"/>
      <c r="S1259" s="154"/>
      <c r="T1259" s="154"/>
    </row>
    <row r="1260" spans="1:20" s="149" customFormat="1" ht="18" customHeight="1" x14ac:dyDescent="0.25">
      <c r="A1260" s="335"/>
      <c r="B1260" s="203"/>
      <c r="C1260" s="461"/>
      <c r="D1260" s="597"/>
      <c r="E1260" s="336"/>
      <c r="F1260" s="151"/>
      <c r="K1260" s="201"/>
      <c r="M1260" s="151"/>
      <c r="R1260" s="154"/>
      <c r="S1260" s="154"/>
      <c r="T1260" s="154"/>
    </row>
    <row r="1261" spans="1:20" s="149" customFormat="1" ht="18" customHeight="1" x14ac:dyDescent="0.25">
      <c r="A1261" s="335"/>
      <c r="B1261" s="203"/>
      <c r="C1261" s="461"/>
      <c r="D1261" s="597"/>
      <c r="E1261" s="336"/>
      <c r="F1261" s="151"/>
      <c r="K1261" s="201"/>
      <c r="M1261" s="151"/>
      <c r="R1261" s="154"/>
      <c r="S1261" s="154"/>
      <c r="T1261" s="154"/>
    </row>
    <row r="1262" spans="1:20" s="149" customFormat="1" ht="18" customHeight="1" x14ac:dyDescent="0.25">
      <c r="A1262" s="335"/>
      <c r="B1262" s="203"/>
      <c r="C1262" s="461"/>
      <c r="D1262" s="597"/>
      <c r="E1262" s="336"/>
      <c r="F1262" s="151"/>
      <c r="K1262" s="201"/>
      <c r="M1262" s="151"/>
      <c r="R1262" s="154"/>
      <c r="S1262" s="154"/>
      <c r="T1262" s="154"/>
    </row>
    <row r="1263" spans="1:20" s="149" customFormat="1" ht="18" customHeight="1" x14ac:dyDescent="0.25">
      <c r="A1263" s="335"/>
      <c r="B1263" s="203"/>
      <c r="C1263" s="461"/>
      <c r="D1263" s="597"/>
      <c r="E1263" s="336"/>
      <c r="F1263" s="151"/>
      <c r="K1263" s="201"/>
      <c r="M1263" s="151"/>
      <c r="R1263" s="154"/>
      <c r="S1263" s="154"/>
      <c r="T1263" s="154"/>
    </row>
    <row r="1264" spans="1:20" s="149" customFormat="1" ht="18" customHeight="1" x14ac:dyDescent="0.25">
      <c r="A1264" s="335"/>
      <c r="B1264" s="203"/>
      <c r="C1264" s="461"/>
      <c r="D1264" s="597"/>
      <c r="E1264" s="336"/>
      <c r="F1264" s="151"/>
      <c r="K1264" s="201"/>
      <c r="M1264" s="151"/>
      <c r="R1264" s="154"/>
      <c r="S1264" s="154"/>
      <c r="T1264" s="154"/>
    </row>
    <row r="1265" spans="1:20" s="149" customFormat="1" ht="18" customHeight="1" x14ac:dyDescent="0.25">
      <c r="A1265" s="335"/>
      <c r="B1265" s="203"/>
      <c r="C1265" s="461"/>
      <c r="D1265" s="597"/>
      <c r="E1265" s="336"/>
      <c r="F1265" s="151"/>
      <c r="K1265" s="201"/>
      <c r="M1265" s="151"/>
      <c r="R1265" s="154"/>
      <c r="S1265" s="154"/>
      <c r="T1265" s="154"/>
    </row>
    <row r="1266" spans="1:20" s="149" customFormat="1" ht="18" customHeight="1" x14ac:dyDescent="0.25">
      <c r="A1266" s="335"/>
      <c r="B1266" s="203"/>
      <c r="C1266" s="461"/>
      <c r="D1266" s="597"/>
      <c r="E1266" s="336"/>
      <c r="F1266" s="151"/>
      <c r="K1266" s="201"/>
      <c r="M1266" s="151"/>
      <c r="R1266" s="154"/>
      <c r="S1266" s="154"/>
      <c r="T1266" s="154"/>
    </row>
    <row r="1267" spans="1:20" s="149" customFormat="1" ht="18" customHeight="1" x14ac:dyDescent="0.25">
      <c r="A1267" s="335"/>
      <c r="B1267" s="203"/>
      <c r="C1267" s="461"/>
      <c r="D1267" s="597"/>
      <c r="E1267" s="336"/>
      <c r="F1267" s="151"/>
      <c r="K1267" s="201"/>
      <c r="M1267" s="151"/>
      <c r="R1267" s="154"/>
      <c r="S1267" s="154"/>
      <c r="T1267" s="154"/>
    </row>
    <row r="1268" spans="1:20" s="149" customFormat="1" ht="18" customHeight="1" x14ac:dyDescent="0.25">
      <c r="A1268" s="335"/>
      <c r="B1268" s="203"/>
      <c r="C1268" s="461"/>
      <c r="D1268" s="597"/>
      <c r="E1268" s="336"/>
      <c r="F1268" s="151"/>
      <c r="K1268" s="201"/>
      <c r="M1268" s="151"/>
      <c r="R1268" s="154"/>
      <c r="S1268" s="154"/>
      <c r="T1268" s="154"/>
    </row>
    <row r="1269" spans="1:20" s="149" customFormat="1" ht="18" customHeight="1" x14ac:dyDescent="0.25">
      <c r="A1269" s="335"/>
      <c r="B1269" s="203"/>
      <c r="C1269" s="461"/>
      <c r="D1269" s="597"/>
      <c r="E1269" s="336"/>
      <c r="F1269" s="151"/>
      <c r="K1269" s="201"/>
      <c r="M1269" s="151"/>
      <c r="R1269" s="154"/>
      <c r="S1269" s="154"/>
      <c r="T1269" s="154"/>
    </row>
    <row r="1270" spans="1:20" s="149" customFormat="1" ht="18" customHeight="1" x14ac:dyDescent="0.25">
      <c r="A1270" s="335"/>
      <c r="B1270" s="203"/>
      <c r="C1270" s="461"/>
      <c r="D1270" s="597"/>
      <c r="E1270" s="336"/>
      <c r="F1270" s="151"/>
      <c r="K1270" s="201"/>
      <c r="M1270" s="151"/>
      <c r="R1270" s="154"/>
      <c r="S1270" s="154"/>
      <c r="T1270" s="154"/>
    </row>
    <row r="1271" spans="1:20" s="149" customFormat="1" ht="18" customHeight="1" x14ac:dyDescent="0.25">
      <c r="A1271" s="335"/>
      <c r="B1271" s="203"/>
      <c r="C1271" s="461"/>
      <c r="D1271" s="597"/>
      <c r="E1271" s="336"/>
      <c r="F1271" s="151"/>
      <c r="K1271" s="201"/>
      <c r="M1271" s="151"/>
      <c r="R1271" s="154"/>
      <c r="S1271" s="154"/>
      <c r="T1271" s="154"/>
    </row>
    <row r="1272" spans="1:20" s="149" customFormat="1" ht="18" customHeight="1" x14ac:dyDescent="0.25">
      <c r="A1272" s="335"/>
      <c r="B1272" s="203"/>
      <c r="C1272" s="461"/>
      <c r="D1272" s="597"/>
      <c r="E1272" s="336"/>
      <c r="F1272" s="151"/>
      <c r="K1272" s="201"/>
      <c r="M1272" s="151"/>
      <c r="R1272" s="154"/>
      <c r="S1272" s="154"/>
      <c r="T1272" s="154"/>
    </row>
    <row r="1273" spans="1:20" s="149" customFormat="1" ht="18" customHeight="1" x14ac:dyDescent="0.25">
      <c r="A1273" s="335"/>
      <c r="B1273" s="203"/>
      <c r="C1273" s="461"/>
      <c r="D1273" s="597"/>
      <c r="E1273" s="336"/>
      <c r="F1273" s="151"/>
      <c r="K1273" s="201"/>
      <c r="M1273" s="151"/>
      <c r="R1273" s="154"/>
      <c r="S1273" s="154"/>
      <c r="T1273" s="154"/>
    </row>
    <row r="1274" spans="1:20" s="149" customFormat="1" ht="18" customHeight="1" x14ac:dyDescent="0.25">
      <c r="A1274" s="335"/>
      <c r="B1274" s="203"/>
      <c r="C1274" s="461"/>
      <c r="D1274" s="597"/>
      <c r="E1274" s="336"/>
      <c r="F1274" s="151"/>
      <c r="K1274" s="201"/>
      <c r="M1274" s="151"/>
      <c r="R1274" s="154"/>
      <c r="S1274" s="154"/>
      <c r="T1274" s="154"/>
    </row>
    <row r="1275" spans="1:20" s="149" customFormat="1" ht="18" customHeight="1" x14ac:dyDescent="0.25">
      <c r="A1275" s="335"/>
      <c r="B1275" s="203"/>
      <c r="C1275" s="461"/>
      <c r="D1275" s="597"/>
      <c r="E1275" s="336"/>
      <c r="F1275" s="151"/>
      <c r="K1275" s="201"/>
      <c r="M1275" s="151"/>
      <c r="R1275" s="154"/>
      <c r="S1275" s="154"/>
      <c r="T1275" s="154"/>
    </row>
    <row r="1276" spans="1:20" s="149" customFormat="1" ht="18" customHeight="1" x14ac:dyDescent="0.25">
      <c r="A1276" s="335"/>
      <c r="B1276" s="203"/>
      <c r="C1276" s="461"/>
      <c r="D1276" s="597"/>
      <c r="E1276" s="336"/>
      <c r="F1276" s="151"/>
      <c r="K1276" s="201"/>
      <c r="M1276" s="151"/>
      <c r="R1276" s="154"/>
      <c r="S1276" s="154"/>
      <c r="T1276" s="154"/>
    </row>
    <row r="1277" spans="1:20" s="149" customFormat="1" ht="18" customHeight="1" x14ac:dyDescent="0.25">
      <c r="A1277" s="335"/>
      <c r="B1277" s="203"/>
      <c r="C1277" s="461"/>
      <c r="D1277" s="597"/>
      <c r="E1277" s="336"/>
      <c r="F1277" s="151"/>
      <c r="K1277" s="201"/>
      <c r="M1277" s="151"/>
      <c r="R1277" s="154"/>
      <c r="S1277" s="154"/>
      <c r="T1277" s="154"/>
    </row>
    <row r="1278" spans="1:20" s="149" customFormat="1" ht="18" customHeight="1" x14ac:dyDescent="0.25">
      <c r="A1278" s="335"/>
      <c r="B1278" s="203"/>
      <c r="C1278" s="461"/>
      <c r="D1278" s="597"/>
      <c r="E1278" s="336"/>
      <c r="F1278" s="151"/>
      <c r="K1278" s="201"/>
      <c r="M1278" s="151"/>
      <c r="R1278" s="154"/>
      <c r="S1278" s="154"/>
      <c r="T1278" s="154"/>
    </row>
    <row r="1279" spans="1:20" s="149" customFormat="1" ht="18" customHeight="1" x14ac:dyDescent="0.25">
      <c r="A1279" s="335"/>
      <c r="B1279" s="203"/>
      <c r="C1279" s="461"/>
      <c r="D1279" s="597"/>
      <c r="E1279" s="336"/>
      <c r="F1279" s="151"/>
      <c r="K1279" s="201"/>
      <c r="M1279" s="151"/>
      <c r="R1279" s="154"/>
      <c r="S1279" s="154"/>
      <c r="T1279" s="154"/>
    </row>
    <row r="1280" spans="1:20" s="149" customFormat="1" ht="18" customHeight="1" x14ac:dyDescent="0.25">
      <c r="A1280" s="335"/>
      <c r="B1280" s="203"/>
      <c r="C1280" s="461"/>
      <c r="D1280" s="597"/>
      <c r="E1280" s="336"/>
      <c r="F1280" s="151"/>
      <c r="K1280" s="201"/>
      <c r="M1280" s="151"/>
      <c r="R1280" s="154"/>
      <c r="S1280" s="154"/>
      <c r="T1280" s="154"/>
    </row>
    <row r="1281" spans="1:20" s="149" customFormat="1" ht="18" customHeight="1" x14ac:dyDescent="0.25">
      <c r="A1281" s="335"/>
      <c r="B1281" s="203"/>
      <c r="C1281" s="461"/>
      <c r="D1281" s="597"/>
      <c r="E1281" s="336"/>
      <c r="F1281" s="151"/>
      <c r="K1281" s="201"/>
      <c r="M1281" s="151"/>
      <c r="R1281" s="154"/>
      <c r="S1281" s="154"/>
      <c r="T1281" s="154"/>
    </row>
    <row r="1282" spans="1:20" s="149" customFormat="1" ht="18" customHeight="1" x14ac:dyDescent="0.25">
      <c r="A1282" s="335"/>
      <c r="B1282" s="203"/>
      <c r="C1282" s="461"/>
      <c r="D1282" s="597"/>
      <c r="E1282" s="336"/>
      <c r="F1282" s="151"/>
      <c r="K1282" s="201"/>
      <c r="M1282" s="151"/>
      <c r="R1282" s="154"/>
      <c r="S1282" s="154"/>
      <c r="T1282" s="154"/>
    </row>
    <row r="1283" spans="1:20" s="149" customFormat="1" ht="18" customHeight="1" x14ac:dyDescent="0.25">
      <c r="A1283" s="335"/>
      <c r="B1283" s="203"/>
      <c r="C1283" s="461"/>
      <c r="D1283" s="597"/>
      <c r="E1283" s="336"/>
      <c r="F1283" s="151"/>
      <c r="K1283" s="201"/>
      <c r="M1283" s="151"/>
      <c r="R1283" s="154"/>
      <c r="S1283" s="154"/>
      <c r="T1283" s="154"/>
    </row>
    <row r="1284" spans="1:20" s="149" customFormat="1" ht="18" customHeight="1" x14ac:dyDescent="0.25">
      <c r="A1284" s="335"/>
      <c r="B1284" s="203"/>
      <c r="C1284" s="461"/>
      <c r="D1284" s="597"/>
      <c r="E1284" s="336"/>
      <c r="F1284" s="151"/>
      <c r="K1284" s="201"/>
      <c r="M1284" s="151"/>
      <c r="R1284" s="154"/>
      <c r="S1284" s="154"/>
      <c r="T1284" s="154"/>
    </row>
    <row r="1285" spans="1:20" s="149" customFormat="1" ht="18" customHeight="1" x14ac:dyDescent="0.25">
      <c r="A1285" s="335"/>
      <c r="B1285" s="203"/>
      <c r="C1285" s="461"/>
      <c r="D1285" s="597"/>
      <c r="E1285" s="336"/>
      <c r="F1285" s="151"/>
      <c r="K1285" s="201"/>
      <c r="M1285" s="151"/>
      <c r="R1285" s="154"/>
      <c r="S1285" s="154"/>
      <c r="T1285" s="154"/>
    </row>
    <row r="1286" spans="1:20" s="149" customFormat="1" ht="18" customHeight="1" x14ac:dyDescent="0.25">
      <c r="A1286" s="335"/>
      <c r="B1286" s="203"/>
      <c r="C1286" s="461"/>
      <c r="D1286" s="597"/>
      <c r="E1286" s="336"/>
      <c r="F1286" s="151"/>
      <c r="K1286" s="201"/>
      <c r="M1286" s="151"/>
      <c r="R1286" s="154"/>
      <c r="S1286" s="154"/>
      <c r="T1286" s="154"/>
    </row>
    <row r="1287" spans="1:20" s="149" customFormat="1" ht="18" customHeight="1" x14ac:dyDescent="0.25">
      <c r="A1287" s="335"/>
      <c r="B1287" s="203"/>
      <c r="C1287" s="461"/>
      <c r="D1287" s="597"/>
      <c r="E1287" s="336"/>
      <c r="F1287" s="151"/>
      <c r="K1287" s="201"/>
      <c r="M1287" s="151"/>
      <c r="R1287" s="154"/>
      <c r="S1287" s="154"/>
      <c r="T1287" s="154"/>
    </row>
    <row r="1288" spans="1:20" s="149" customFormat="1" ht="18" customHeight="1" x14ac:dyDescent="0.25">
      <c r="A1288" s="335"/>
      <c r="B1288" s="203"/>
      <c r="C1288" s="461"/>
      <c r="D1288" s="597"/>
      <c r="E1288" s="336"/>
      <c r="F1288" s="151"/>
      <c r="K1288" s="201"/>
      <c r="M1288" s="151"/>
      <c r="R1288" s="154"/>
      <c r="S1288" s="154"/>
      <c r="T1288" s="154"/>
    </row>
    <row r="1289" spans="1:20" s="149" customFormat="1" ht="18" customHeight="1" x14ac:dyDescent="0.25">
      <c r="A1289" s="335"/>
      <c r="B1289" s="203"/>
      <c r="C1289" s="461"/>
      <c r="D1289" s="597"/>
      <c r="E1289" s="336"/>
      <c r="F1289" s="151"/>
      <c r="K1289" s="201"/>
      <c r="M1289" s="151"/>
      <c r="R1289" s="154"/>
      <c r="S1289" s="154"/>
      <c r="T1289" s="154"/>
    </row>
    <row r="1290" spans="1:20" s="149" customFormat="1" ht="18" customHeight="1" x14ac:dyDescent="0.25">
      <c r="A1290" s="335"/>
      <c r="B1290" s="203"/>
      <c r="C1290" s="461"/>
      <c r="D1290" s="597"/>
      <c r="E1290" s="336"/>
      <c r="F1290" s="151"/>
      <c r="K1290" s="201"/>
      <c r="M1290" s="151"/>
      <c r="R1290" s="154"/>
      <c r="S1290" s="154"/>
      <c r="T1290" s="154"/>
    </row>
    <row r="1291" spans="1:20" s="149" customFormat="1" ht="18" customHeight="1" x14ac:dyDescent="0.25">
      <c r="A1291" s="335"/>
      <c r="B1291" s="203"/>
      <c r="C1291" s="461"/>
      <c r="D1291" s="597"/>
      <c r="E1291" s="336"/>
      <c r="F1291" s="151"/>
      <c r="K1291" s="201"/>
      <c r="M1291" s="151"/>
      <c r="R1291" s="154"/>
      <c r="S1291" s="154"/>
      <c r="T1291" s="154"/>
    </row>
    <row r="1292" spans="1:20" s="149" customFormat="1" ht="18" customHeight="1" x14ac:dyDescent="0.25">
      <c r="A1292" s="335"/>
      <c r="B1292" s="203"/>
      <c r="C1292" s="461"/>
      <c r="D1292" s="597"/>
      <c r="E1292" s="336"/>
      <c r="F1292" s="151"/>
      <c r="K1292" s="201"/>
      <c r="M1292" s="151"/>
      <c r="R1292" s="154"/>
      <c r="S1292" s="154"/>
      <c r="T1292" s="154"/>
    </row>
    <row r="1293" spans="1:20" s="149" customFormat="1" ht="18" customHeight="1" x14ac:dyDescent="0.25">
      <c r="A1293" s="335"/>
      <c r="B1293" s="203"/>
      <c r="C1293" s="461"/>
      <c r="D1293" s="597"/>
      <c r="E1293" s="336"/>
      <c r="F1293" s="151"/>
      <c r="K1293" s="201"/>
      <c r="M1293" s="151"/>
      <c r="R1293" s="154"/>
      <c r="S1293" s="154"/>
      <c r="T1293" s="154"/>
    </row>
    <row r="1294" spans="1:20" s="149" customFormat="1" ht="18" customHeight="1" x14ac:dyDescent="0.25">
      <c r="A1294" s="335"/>
      <c r="B1294" s="203"/>
      <c r="C1294" s="461"/>
      <c r="D1294" s="597"/>
      <c r="E1294" s="336"/>
      <c r="F1294" s="151"/>
      <c r="K1294" s="201"/>
      <c r="M1294" s="151"/>
      <c r="R1294" s="154"/>
      <c r="S1294" s="154"/>
      <c r="T1294" s="154"/>
    </row>
    <row r="1295" spans="1:20" s="149" customFormat="1" ht="18" customHeight="1" x14ac:dyDescent="0.25">
      <c r="A1295" s="335"/>
      <c r="B1295" s="203"/>
      <c r="C1295" s="461"/>
      <c r="D1295" s="597"/>
      <c r="E1295" s="336"/>
      <c r="F1295" s="151"/>
      <c r="K1295" s="201"/>
      <c r="M1295" s="151"/>
      <c r="R1295" s="154"/>
      <c r="S1295" s="154"/>
      <c r="T1295" s="154"/>
    </row>
    <row r="1296" spans="1:20" s="149" customFormat="1" ht="18" customHeight="1" x14ac:dyDescent="0.25">
      <c r="A1296" s="335"/>
      <c r="B1296" s="203"/>
      <c r="C1296" s="461"/>
      <c r="D1296" s="597"/>
      <c r="E1296" s="336"/>
      <c r="F1296" s="151"/>
      <c r="K1296" s="201"/>
      <c r="M1296" s="151"/>
      <c r="R1296" s="154"/>
      <c r="S1296" s="154"/>
      <c r="T1296" s="154"/>
    </row>
    <row r="1297" spans="1:20" s="149" customFormat="1" ht="18" customHeight="1" x14ac:dyDescent="0.25">
      <c r="A1297" s="335"/>
      <c r="B1297" s="203"/>
      <c r="C1297" s="461"/>
      <c r="D1297" s="597"/>
      <c r="E1297" s="336"/>
      <c r="F1297" s="151"/>
      <c r="K1297" s="201"/>
      <c r="M1297" s="151"/>
      <c r="R1297" s="154"/>
      <c r="S1297" s="154"/>
      <c r="T1297" s="154"/>
    </row>
    <row r="1298" spans="1:20" s="149" customFormat="1" ht="18" customHeight="1" x14ac:dyDescent="0.25">
      <c r="A1298" s="335"/>
      <c r="B1298" s="203"/>
      <c r="C1298" s="461"/>
      <c r="D1298" s="597"/>
      <c r="E1298" s="336"/>
      <c r="F1298" s="151"/>
      <c r="K1298" s="201"/>
      <c r="M1298" s="151"/>
      <c r="R1298" s="154"/>
      <c r="S1298" s="154"/>
      <c r="T1298" s="154"/>
    </row>
    <row r="1299" spans="1:20" s="149" customFormat="1" ht="18" customHeight="1" x14ac:dyDescent="0.25">
      <c r="A1299" s="335"/>
      <c r="B1299" s="203"/>
      <c r="C1299" s="461"/>
      <c r="D1299" s="597"/>
      <c r="E1299" s="336"/>
      <c r="F1299" s="151"/>
      <c r="K1299" s="201"/>
      <c r="M1299" s="151"/>
      <c r="R1299" s="154"/>
      <c r="S1299" s="154"/>
      <c r="T1299" s="154"/>
    </row>
    <row r="1300" spans="1:20" s="149" customFormat="1" ht="18" customHeight="1" x14ac:dyDescent="0.25">
      <c r="A1300" s="335"/>
      <c r="B1300" s="203"/>
      <c r="C1300" s="461"/>
      <c r="D1300" s="597"/>
      <c r="E1300" s="336"/>
      <c r="F1300" s="151"/>
      <c r="K1300" s="201"/>
      <c r="M1300" s="151"/>
      <c r="R1300" s="154"/>
      <c r="S1300" s="154"/>
      <c r="T1300" s="154"/>
    </row>
    <row r="1301" spans="1:20" s="149" customFormat="1" ht="18" customHeight="1" x14ac:dyDescent="0.25">
      <c r="A1301" s="335"/>
      <c r="B1301" s="203"/>
      <c r="C1301" s="461"/>
      <c r="D1301" s="597"/>
      <c r="E1301" s="336"/>
      <c r="F1301" s="151"/>
      <c r="K1301" s="201"/>
      <c r="M1301" s="151"/>
      <c r="R1301" s="154"/>
      <c r="S1301" s="154"/>
      <c r="T1301" s="154"/>
    </row>
    <row r="1302" spans="1:20" s="149" customFormat="1" ht="18" customHeight="1" x14ac:dyDescent="0.25">
      <c r="A1302" s="335"/>
      <c r="B1302" s="203"/>
      <c r="C1302" s="461"/>
      <c r="D1302" s="597"/>
      <c r="E1302" s="336"/>
      <c r="F1302" s="151"/>
      <c r="K1302" s="201"/>
      <c r="M1302" s="151"/>
      <c r="R1302" s="154"/>
      <c r="S1302" s="154"/>
      <c r="T1302" s="154"/>
    </row>
    <row r="1303" spans="1:20" s="149" customFormat="1" ht="18" customHeight="1" x14ac:dyDescent="0.25">
      <c r="A1303" s="335"/>
      <c r="B1303" s="203"/>
      <c r="C1303" s="461"/>
      <c r="D1303" s="597"/>
      <c r="E1303" s="336"/>
      <c r="F1303" s="151"/>
      <c r="K1303" s="201"/>
      <c r="M1303" s="151"/>
      <c r="R1303" s="154"/>
      <c r="S1303" s="154"/>
      <c r="T1303" s="154"/>
    </row>
    <row r="1304" spans="1:20" s="149" customFormat="1" ht="18" customHeight="1" x14ac:dyDescent="0.25">
      <c r="A1304" s="335"/>
      <c r="B1304" s="203"/>
      <c r="C1304" s="461"/>
      <c r="D1304" s="597"/>
      <c r="E1304" s="336"/>
      <c r="F1304" s="151"/>
      <c r="K1304" s="201"/>
      <c r="M1304" s="151"/>
      <c r="R1304" s="154"/>
      <c r="S1304" s="154"/>
      <c r="T1304" s="154"/>
    </row>
    <row r="1305" spans="1:20" s="149" customFormat="1" ht="18" customHeight="1" x14ac:dyDescent="0.25">
      <c r="A1305" s="335"/>
      <c r="B1305" s="203"/>
      <c r="C1305" s="461"/>
      <c r="D1305" s="597"/>
      <c r="E1305" s="336"/>
      <c r="F1305" s="151"/>
      <c r="K1305" s="201"/>
      <c r="M1305" s="151"/>
      <c r="R1305" s="154"/>
      <c r="S1305" s="154"/>
      <c r="T1305" s="154"/>
    </row>
    <row r="1306" spans="1:20" s="149" customFormat="1" ht="18" customHeight="1" x14ac:dyDescent="0.25">
      <c r="A1306" s="335"/>
      <c r="B1306" s="203"/>
      <c r="C1306" s="461"/>
      <c r="D1306" s="597"/>
      <c r="E1306" s="336"/>
      <c r="F1306" s="151"/>
      <c r="K1306" s="201"/>
      <c r="M1306" s="151"/>
      <c r="R1306" s="154"/>
      <c r="S1306" s="154"/>
      <c r="T1306" s="154"/>
    </row>
    <row r="1307" spans="1:20" s="149" customFormat="1" ht="18" customHeight="1" x14ac:dyDescent="0.25">
      <c r="A1307" s="335"/>
      <c r="B1307" s="203"/>
      <c r="C1307" s="461"/>
      <c r="D1307" s="597"/>
      <c r="E1307" s="336"/>
      <c r="F1307" s="151"/>
      <c r="K1307" s="201"/>
      <c r="M1307" s="151"/>
      <c r="R1307" s="154"/>
      <c r="S1307" s="154"/>
      <c r="T1307" s="154"/>
    </row>
    <row r="1308" spans="1:20" s="149" customFormat="1" ht="18" customHeight="1" x14ac:dyDescent="0.25">
      <c r="A1308" s="335"/>
      <c r="B1308" s="203"/>
      <c r="C1308" s="461"/>
      <c r="D1308" s="597"/>
      <c r="E1308" s="336"/>
      <c r="F1308" s="151"/>
      <c r="K1308" s="201"/>
      <c r="M1308" s="151"/>
      <c r="R1308" s="154"/>
      <c r="S1308" s="154"/>
      <c r="T1308" s="154"/>
    </row>
    <row r="1309" spans="1:20" s="149" customFormat="1" ht="18" customHeight="1" x14ac:dyDescent="0.25">
      <c r="A1309" s="335"/>
      <c r="B1309" s="203"/>
      <c r="C1309" s="461"/>
      <c r="D1309" s="597"/>
      <c r="E1309" s="336"/>
      <c r="F1309" s="151"/>
      <c r="K1309" s="201"/>
      <c r="M1309" s="151"/>
      <c r="R1309" s="154"/>
      <c r="S1309" s="154"/>
      <c r="T1309" s="154"/>
    </row>
    <row r="1310" spans="1:20" s="149" customFormat="1" ht="18" customHeight="1" x14ac:dyDescent="0.25">
      <c r="A1310" s="335"/>
      <c r="B1310" s="203"/>
      <c r="C1310" s="461"/>
      <c r="D1310" s="597"/>
      <c r="E1310" s="336"/>
      <c r="F1310" s="151"/>
      <c r="K1310" s="201"/>
      <c r="M1310" s="151"/>
      <c r="R1310" s="154"/>
      <c r="S1310" s="154"/>
      <c r="T1310" s="154"/>
    </row>
    <row r="1311" spans="1:20" s="149" customFormat="1" ht="18" customHeight="1" x14ac:dyDescent="0.25">
      <c r="A1311" s="335"/>
      <c r="B1311" s="203"/>
      <c r="C1311" s="461"/>
      <c r="D1311" s="597"/>
      <c r="E1311" s="336"/>
      <c r="F1311" s="151"/>
      <c r="K1311" s="201"/>
      <c r="M1311" s="151"/>
      <c r="R1311" s="154"/>
      <c r="S1311" s="154"/>
      <c r="T1311" s="154"/>
    </row>
    <row r="1312" spans="1:20" s="149" customFormat="1" ht="18" customHeight="1" x14ac:dyDescent="0.25">
      <c r="A1312" s="335"/>
      <c r="B1312" s="203"/>
      <c r="C1312" s="461"/>
      <c r="D1312" s="597"/>
      <c r="E1312" s="336"/>
      <c r="F1312" s="151"/>
      <c r="K1312" s="201"/>
      <c r="M1312" s="151"/>
      <c r="R1312" s="154"/>
      <c r="S1312" s="154"/>
      <c r="T1312" s="154"/>
    </row>
    <row r="1313" spans="1:20" s="149" customFormat="1" ht="18" customHeight="1" x14ac:dyDescent="0.25">
      <c r="A1313" s="335"/>
      <c r="B1313" s="203"/>
      <c r="C1313" s="461"/>
      <c r="D1313" s="597"/>
      <c r="E1313" s="336"/>
      <c r="F1313" s="151"/>
      <c r="K1313" s="201"/>
      <c r="M1313" s="151"/>
      <c r="R1313" s="154"/>
      <c r="S1313" s="154"/>
      <c r="T1313" s="154"/>
    </row>
    <row r="1314" spans="1:20" s="149" customFormat="1" ht="18" customHeight="1" x14ac:dyDescent="0.25">
      <c r="A1314" s="335"/>
      <c r="B1314" s="203"/>
      <c r="C1314" s="461"/>
      <c r="D1314" s="597"/>
      <c r="E1314" s="336"/>
      <c r="F1314" s="151"/>
      <c r="K1314" s="201"/>
      <c r="M1314" s="151"/>
      <c r="R1314" s="154"/>
      <c r="S1314" s="154"/>
      <c r="T1314" s="154"/>
    </row>
    <row r="1315" spans="1:20" s="149" customFormat="1" ht="18" customHeight="1" x14ac:dyDescent="0.25">
      <c r="A1315" s="335"/>
      <c r="B1315" s="203"/>
      <c r="C1315" s="461"/>
      <c r="D1315" s="597"/>
      <c r="E1315" s="336"/>
      <c r="F1315" s="151"/>
      <c r="K1315" s="201"/>
      <c r="M1315" s="151"/>
      <c r="R1315" s="154"/>
      <c r="S1315" s="154"/>
      <c r="T1315" s="154"/>
    </row>
    <row r="1316" spans="1:20" s="149" customFormat="1" ht="18" customHeight="1" x14ac:dyDescent="0.25">
      <c r="A1316" s="335"/>
      <c r="B1316" s="203"/>
      <c r="C1316" s="461"/>
      <c r="D1316" s="597"/>
      <c r="E1316" s="336"/>
      <c r="F1316" s="151"/>
      <c r="K1316" s="201"/>
      <c r="M1316" s="151"/>
      <c r="R1316" s="154"/>
      <c r="S1316" s="154"/>
      <c r="T1316" s="154"/>
    </row>
    <row r="1317" spans="1:20" s="149" customFormat="1" ht="18" customHeight="1" x14ac:dyDescent="0.25">
      <c r="A1317" s="335"/>
      <c r="B1317" s="203"/>
      <c r="C1317" s="461"/>
      <c r="D1317" s="597"/>
      <c r="E1317" s="336"/>
      <c r="F1317" s="151"/>
      <c r="K1317" s="201"/>
      <c r="M1317" s="151"/>
      <c r="R1317" s="154"/>
      <c r="S1317" s="154"/>
      <c r="T1317" s="154"/>
    </row>
    <row r="1318" spans="1:20" s="149" customFormat="1" ht="18" customHeight="1" x14ac:dyDescent="0.25">
      <c r="A1318" s="335"/>
      <c r="B1318" s="203"/>
      <c r="C1318" s="461"/>
      <c r="D1318" s="597"/>
      <c r="E1318" s="336"/>
      <c r="F1318" s="151"/>
      <c r="K1318" s="201"/>
      <c r="M1318" s="151"/>
      <c r="R1318" s="154"/>
      <c r="S1318" s="154"/>
      <c r="T1318" s="154"/>
    </row>
    <row r="1319" spans="1:20" s="149" customFormat="1" ht="18" customHeight="1" x14ac:dyDescent="0.25">
      <c r="A1319" s="335"/>
      <c r="B1319" s="203"/>
      <c r="C1319" s="461"/>
      <c r="D1319" s="597"/>
      <c r="E1319" s="336"/>
      <c r="F1319" s="151"/>
      <c r="K1319" s="201"/>
      <c r="M1319" s="151"/>
      <c r="R1319" s="154"/>
      <c r="S1319" s="154"/>
      <c r="T1319" s="154"/>
    </row>
    <row r="1320" spans="1:20" s="149" customFormat="1" ht="18" customHeight="1" x14ac:dyDescent="0.25">
      <c r="A1320" s="335"/>
      <c r="B1320" s="203"/>
      <c r="C1320" s="461"/>
      <c r="D1320" s="597"/>
      <c r="E1320" s="336"/>
      <c r="F1320" s="151"/>
      <c r="K1320" s="201"/>
      <c r="M1320" s="151"/>
      <c r="R1320" s="154"/>
      <c r="S1320" s="154"/>
      <c r="T1320" s="154"/>
    </row>
    <row r="1321" spans="1:20" s="149" customFormat="1" ht="18" customHeight="1" x14ac:dyDescent="0.25">
      <c r="A1321" s="335"/>
      <c r="B1321" s="203"/>
      <c r="C1321" s="461"/>
      <c r="D1321" s="597"/>
      <c r="E1321" s="336"/>
      <c r="F1321" s="151"/>
      <c r="K1321" s="201"/>
      <c r="M1321" s="151"/>
      <c r="R1321" s="154"/>
      <c r="S1321" s="154"/>
      <c r="T1321" s="154"/>
    </row>
    <row r="1322" spans="1:20" s="149" customFormat="1" ht="18" customHeight="1" x14ac:dyDescent="0.25">
      <c r="A1322" s="335"/>
      <c r="B1322" s="203"/>
      <c r="C1322" s="461"/>
      <c r="D1322" s="597"/>
      <c r="E1322" s="336"/>
      <c r="F1322" s="151"/>
      <c r="K1322" s="201"/>
      <c r="M1322" s="151"/>
      <c r="R1322" s="154"/>
      <c r="S1322" s="154"/>
      <c r="T1322" s="154"/>
    </row>
    <row r="1323" spans="1:20" s="149" customFormat="1" ht="18" customHeight="1" x14ac:dyDescent="0.25">
      <c r="A1323" s="335"/>
      <c r="B1323" s="203"/>
      <c r="C1323" s="461"/>
      <c r="D1323" s="597"/>
      <c r="E1323" s="336"/>
      <c r="F1323" s="151"/>
      <c r="K1323" s="201"/>
      <c r="M1323" s="151"/>
      <c r="R1323" s="154"/>
      <c r="S1323" s="154"/>
      <c r="T1323" s="154"/>
    </row>
    <row r="1324" spans="1:20" s="149" customFormat="1" ht="18" customHeight="1" x14ac:dyDescent="0.25">
      <c r="A1324" s="335"/>
      <c r="B1324" s="203"/>
      <c r="C1324" s="461"/>
      <c r="D1324" s="597"/>
      <c r="E1324" s="336"/>
      <c r="F1324" s="151"/>
      <c r="K1324" s="201"/>
      <c r="M1324" s="151"/>
      <c r="R1324" s="154"/>
      <c r="S1324" s="154"/>
      <c r="T1324" s="154"/>
    </row>
    <row r="1325" spans="1:20" s="149" customFormat="1" ht="18" customHeight="1" x14ac:dyDescent="0.25">
      <c r="A1325" s="335"/>
      <c r="B1325" s="203"/>
      <c r="C1325" s="461"/>
      <c r="D1325" s="597"/>
      <c r="E1325" s="336"/>
      <c r="F1325" s="151"/>
      <c r="K1325" s="201"/>
      <c r="M1325" s="151"/>
      <c r="R1325" s="154"/>
      <c r="S1325" s="154"/>
      <c r="T1325" s="154"/>
    </row>
    <row r="1326" spans="1:20" s="149" customFormat="1" ht="18" customHeight="1" x14ac:dyDescent="0.25">
      <c r="A1326" s="335"/>
      <c r="B1326" s="203"/>
      <c r="C1326" s="461"/>
      <c r="D1326" s="597"/>
      <c r="E1326" s="336"/>
      <c r="F1326" s="151"/>
      <c r="K1326" s="201"/>
      <c r="M1326" s="151"/>
      <c r="R1326" s="154"/>
      <c r="S1326" s="154"/>
      <c r="T1326" s="154"/>
    </row>
    <row r="1327" spans="1:20" s="149" customFormat="1" ht="18" customHeight="1" x14ac:dyDescent="0.25">
      <c r="A1327" s="335"/>
      <c r="B1327" s="203"/>
      <c r="C1327" s="461"/>
      <c r="D1327" s="597"/>
      <c r="E1327" s="336"/>
      <c r="F1327" s="151"/>
      <c r="K1327" s="201"/>
      <c r="M1327" s="151"/>
      <c r="R1327" s="154"/>
      <c r="S1327" s="154"/>
      <c r="T1327" s="154"/>
    </row>
    <row r="1328" spans="1:20" s="149" customFormat="1" ht="18" customHeight="1" x14ac:dyDescent="0.25">
      <c r="A1328" s="335"/>
      <c r="B1328" s="203"/>
      <c r="C1328" s="461"/>
      <c r="D1328" s="597"/>
      <c r="E1328" s="336"/>
      <c r="F1328" s="151"/>
      <c r="K1328" s="201"/>
      <c r="M1328" s="151"/>
      <c r="R1328" s="154"/>
      <c r="S1328" s="154"/>
      <c r="T1328" s="154"/>
    </row>
    <row r="1329" spans="1:20" s="149" customFormat="1" ht="18" customHeight="1" x14ac:dyDescent="0.25">
      <c r="A1329" s="335"/>
      <c r="B1329" s="203"/>
      <c r="C1329" s="461"/>
      <c r="D1329" s="597"/>
      <c r="E1329" s="336"/>
      <c r="F1329" s="151"/>
      <c r="K1329" s="201"/>
      <c r="M1329" s="151"/>
      <c r="R1329" s="154"/>
      <c r="S1329" s="154"/>
      <c r="T1329" s="154"/>
    </row>
    <row r="1330" spans="1:20" s="149" customFormat="1" ht="18" customHeight="1" x14ac:dyDescent="0.25">
      <c r="A1330" s="335"/>
      <c r="B1330" s="203"/>
      <c r="C1330" s="461"/>
      <c r="D1330" s="597"/>
      <c r="E1330" s="336"/>
      <c r="F1330" s="151"/>
      <c r="K1330" s="201"/>
      <c r="M1330" s="151"/>
      <c r="R1330" s="154"/>
      <c r="S1330" s="154"/>
      <c r="T1330" s="154"/>
    </row>
    <row r="1331" spans="1:20" s="149" customFormat="1" ht="18" customHeight="1" x14ac:dyDescent="0.25">
      <c r="A1331" s="335"/>
      <c r="B1331" s="203"/>
      <c r="C1331" s="461"/>
      <c r="D1331" s="597"/>
      <c r="E1331" s="336"/>
      <c r="F1331" s="151"/>
      <c r="K1331" s="201"/>
      <c r="M1331" s="151"/>
      <c r="R1331" s="154"/>
      <c r="S1331" s="154"/>
      <c r="T1331" s="154"/>
    </row>
    <row r="1332" spans="1:20" s="149" customFormat="1" ht="18" customHeight="1" x14ac:dyDescent="0.25">
      <c r="A1332" s="335"/>
      <c r="B1332" s="203"/>
      <c r="C1332" s="461"/>
      <c r="D1332" s="597"/>
      <c r="E1332" s="336"/>
      <c r="F1332" s="151"/>
      <c r="K1332" s="201"/>
      <c r="M1332" s="151"/>
      <c r="R1332" s="154"/>
      <c r="S1332" s="154"/>
      <c r="T1332" s="154"/>
    </row>
    <row r="1333" spans="1:20" s="149" customFormat="1" ht="18" customHeight="1" x14ac:dyDescent="0.25">
      <c r="A1333" s="335"/>
      <c r="B1333" s="203"/>
      <c r="C1333" s="461"/>
      <c r="D1333" s="597"/>
      <c r="E1333" s="336"/>
      <c r="F1333" s="151"/>
      <c r="K1333" s="201"/>
      <c r="M1333" s="151"/>
      <c r="R1333" s="154"/>
      <c r="S1333" s="154"/>
      <c r="T1333" s="154"/>
    </row>
    <row r="1334" spans="1:20" s="149" customFormat="1" ht="18" customHeight="1" x14ac:dyDescent="0.25">
      <c r="A1334" s="335"/>
      <c r="B1334" s="203"/>
      <c r="C1334" s="461"/>
      <c r="D1334" s="597"/>
      <c r="E1334" s="336"/>
      <c r="F1334" s="151"/>
      <c r="K1334" s="201"/>
      <c r="M1334" s="151"/>
      <c r="R1334" s="154"/>
      <c r="S1334" s="154"/>
      <c r="T1334" s="154"/>
    </row>
    <row r="1335" spans="1:20" s="149" customFormat="1" ht="18" customHeight="1" x14ac:dyDescent="0.25">
      <c r="A1335" s="335"/>
      <c r="B1335" s="203"/>
      <c r="C1335" s="461"/>
      <c r="D1335" s="597"/>
      <c r="E1335" s="336"/>
      <c r="F1335" s="151"/>
      <c r="K1335" s="201"/>
      <c r="M1335" s="151"/>
      <c r="R1335" s="154"/>
      <c r="S1335" s="154"/>
      <c r="T1335" s="154"/>
    </row>
    <row r="1336" spans="1:20" s="149" customFormat="1" ht="18" customHeight="1" x14ac:dyDescent="0.25">
      <c r="A1336" s="335"/>
      <c r="B1336" s="203"/>
      <c r="C1336" s="461"/>
      <c r="D1336" s="597"/>
      <c r="E1336" s="336"/>
      <c r="F1336" s="151"/>
      <c r="K1336" s="201"/>
      <c r="M1336" s="151"/>
      <c r="R1336" s="154"/>
      <c r="S1336" s="154"/>
      <c r="T1336" s="154"/>
    </row>
    <row r="1337" spans="1:20" s="149" customFormat="1" ht="18" customHeight="1" x14ac:dyDescent="0.25">
      <c r="A1337" s="335"/>
      <c r="B1337" s="203"/>
      <c r="C1337" s="461"/>
      <c r="D1337" s="597"/>
      <c r="E1337" s="336"/>
      <c r="F1337" s="151"/>
      <c r="K1337" s="201"/>
      <c r="M1337" s="151"/>
      <c r="R1337" s="154"/>
      <c r="S1337" s="154"/>
      <c r="T1337" s="154"/>
    </row>
    <row r="1338" spans="1:20" s="149" customFormat="1" ht="18" customHeight="1" x14ac:dyDescent="0.25">
      <c r="A1338" s="335"/>
      <c r="B1338" s="203"/>
      <c r="C1338" s="461"/>
      <c r="D1338" s="597"/>
      <c r="E1338" s="336"/>
      <c r="F1338" s="151"/>
      <c r="K1338" s="201"/>
      <c r="M1338" s="151"/>
      <c r="R1338" s="154"/>
      <c r="S1338" s="154"/>
      <c r="T1338" s="154"/>
    </row>
    <row r="1339" spans="1:20" s="149" customFormat="1" ht="18" customHeight="1" x14ac:dyDescent="0.25">
      <c r="A1339" s="335"/>
      <c r="B1339" s="203"/>
      <c r="C1339" s="461"/>
      <c r="D1339" s="597"/>
      <c r="E1339" s="336"/>
      <c r="F1339" s="151"/>
      <c r="K1339" s="201"/>
      <c r="M1339" s="151"/>
      <c r="R1339" s="154"/>
      <c r="S1339" s="154"/>
      <c r="T1339" s="154"/>
    </row>
    <row r="1340" spans="1:20" s="149" customFormat="1" ht="18" customHeight="1" x14ac:dyDescent="0.25">
      <c r="A1340" s="335"/>
      <c r="B1340" s="203"/>
      <c r="C1340" s="461"/>
      <c r="D1340" s="597"/>
      <c r="E1340" s="336"/>
      <c r="F1340" s="151"/>
      <c r="K1340" s="201"/>
      <c r="M1340" s="151"/>
      <c r="R1340" s="154"/>
      <c r="S1340" s="154"/>
      <c r="T1340" s="154"/>
    </row>
    <row r="1341" spans="1:20" s="149" customFormat="1" ht="18" customHeight="1" x14ac:dyDescent="0.25">
      <c r="A1341" s="335"/>
      <c r="B1341" s="203"/>
      <c r="C1341" s="461"/>
      <c r="D1341" s="597"/>
      <c r="E1341" s="336"/>
      <c r="F1341" s="151"/>
      <c r="K1341" s="201"/>
      <c r="M1341" s="151"/>
      <c r="R1341" s="154"/>
      <c r="S1341" s="154"/>
      <c r="T1341" s="154"/>
    </row>
    <row r="1342" spans="1:20" s="149" customFormat="1" ht="18" customHeight="1" x14ac:dyDescent="0.25">
      <c r="A1342" s="335"/>
      <c r="B1342" s="203"/>
      <c r="C1342" s="461"/>
      <c r="D1342" s="597"/>
      <c r="E1342" s="336"/>
      <c r="F1342" s="151"/>
      <c r="K1342" s="201"/>
      <c r="M1342" s="151"/>
      <c r="R1342" s="154"/>
      <c r="S1342" s="154"/>
      <c r="T1342" s="154"/>
    </row>
    <row r="1343" spans="1:20" s="149" customFormat="1" ht="18" customHeight="1" x14ac:dyDescent="0.25">
      <c r="A1343" s="335"/>
      <c r="B1343" s="203"/>
      <c r="C1343" s="461"/>
      <c r="D1343" s="597"/>
      <c r="E1343" s="336"/>
      <c r="F1343" s="151"/>
      <c r="K1343" s="201"/>
      <c r="M1343" s="151"/>
      <c r="R1343" s="154"/>
      <c r="S1343" s="154"/>
      <c r="T1343" s="154"/>
    </row>
    <row r="1344" spans="1:20" s="149" customFormat="1" ht="18" customHeight="1" x14ac:dyDescent="0.25">
      <c r="A1344" s="335"/>
      <c r="B1344" s="203"/>
      <c r="C1344" s="461"/>
      <c r="D1344" s="597"/>
      <c r="E1344" s="336"/>
      <c r="F1344" s="151"/>
      <c r="K1344" s="201"/>
      <c r="M1344" s="151"/>
      <c r="R1344" s="154"/>
      <c r="S1344" s="154"/>
      <c r="T1344" s="154"/>
    </row>
    <row r="1345" spans="1:20" s="149" customFormat="1" ht="18" customHeight="1" x14ac:dyDescent="0.25">
      <c r="A1345" s="335"/>
      <c r="B1345" s="203"/>
      <c r="C1345" s="461"/>
      <c r="D1345" s="597"/>
      <c r="E1345" s="336"/>
      <c r="F1345" s="151"/>
      <c r="K1345" s="201"/>
      <c r="M1345" s="151"/>
      <c r="R1345" s="154"/>
      <c r="S1345" s="154"/>
      <c r="T1345" s="154"/>
    </row>
    <row r="1346" spans="1:20" s="149" customFormat="1" ht="18" customHeight="1" x14ac:dyDescent="0.25">
      <c r="A1346" s="335"/>
      <c r="B1346" s="203"/>
      <c r="C1346" s="461"/>
      <c r="D1346" s="597"/>
      <c r="E1346" s="336"/>
      <c r="F1346" s="151"/>
      <c r="K1346" s="201"/>
      <c r="M1346" s="151"/>
      <c r="R1346" s="154"/>
      <c r="S1346" s="154"/>
      <c r="T1346" s="154"/>
    </row>
    <row r="1347" spans="1:20" s="149" customFormat="1" ht="18" customHeight="1" x14ac:dyDescent="0.25">
      <c r="A1347" s="335"/>
      <c r="B1347" s="203"/>
      <c r="C1347" s="461"/>
      <c r="D1347" s="597"/>
      <c r="E1347" s="336"/>
      <c r="F1347" s="151"/>
      <c r="K1347" s="201"/>
      <c r="M1347" s="151"/>
      <c r="R1347" s="154"/>
      <c r="S1347" s="154"/>
      <c r="T1347" s="154"/>
    </row>
    <row r="1348" spans="1:20" s="149" customFormat="1" ht="18" customHeight="1" x14ac:dyDescent="0.25">
      <c r="A1348" s="335"/>
      <c r="B1348" s="203"/>
      <c r="C1348" s="461"/>
      <c r="D1348" s="597"/>
      <c r="E1348" s="336"/>
      <c r="F1348" s="151"/>
      <c r="K1348" s="201"/>
      <c r="M1348" s="151"/>
      <c r="R1348" s="154"/>
      <c r="S1348" s="154"/>
      <c r="T1348" s="154"/>
    </row>
    <row r="1349" spans="1:20" s="149" customFormat="1" ht="18" customHeight="1" x14ac:dyDescent="0.25">
      <c r="A1349" s="335"/>
      <c r="B1349" s="203"/>
      <c r="C1349" s="461"/>
      <c r="D1349" s="597"/>
      <c r="E1349" s="336"/>
      <c r="F1349" s="151"/>
      <c r="K1349" s="201"/>
      <c r="M1349" s="151"/>
      <c r="R1349" s="154"/>
      <c r="S1349" s="154"/>
      <c r="T1349" s="154"/>
    </row>
    <row r="1350" spans="1:20" s="149" customFormat="1" ht="18" customHeight="1" x14ac:dyDescent="0.25">
      <c r="A1350" s="335"/>
      <c r="B1350" s="203"/>
      <c r="C1350" s="461"/>
      <c r="D1350" s="597"/>
      <c r="E1350" s="336"/>
      <c r="F1350" s="151"/>
      <c r="K1350" s="201"/>
      <c r="M1350" s="151"/>
      <c r="R1350" s="154"/>
      <c r="S1350" s="154"/>
      <c r="T1350" s="154"/>
    </row>
    <row r="1351" spans="1:20" s="149" customFormat="1" ht="18" customHeight="1" x14ac:dyDescent="0.25">
      <c r="A1351" s="335"/>
      <c r="B1351" s="203"/>
      <c r="C1351" s="461"/>
      <c r="D1351" s="597"/>
      <c r="E1351" s="336"/>
      <c r="F1351" s="151"/>
      <c r="K1351" s="201"/>
      <c r="M1351" s="151"/>
      <c r="R1351" s="154"/>
      <c r="S1351" s="154"/>
      <c r="T1351" s="154"/>
    </row>
    <row r="1352" spans="1:20" s="149" customFormat="1" ht="18" customHeight="1" x14ac:dyDescent="0.25">
      <c r="A1352" s="335"/>
      <c r="B1352" s="203"/>
      <c r="C1352" s="461"/>
      <c r="D1352" s="597"/>
      <c r="E1352" s="336"/>
      <c r="F1352" s="151"/>
      <c r="K1352" s="201"/>
      <c r="M1352" s="151"/>
      <c r="R1352" s="154"/>
      <c r="S1352" s="154"/>
      <c r="T1352" s="154"/>
    </row>
    <row r="1353" spans="1:20" s="149" customFormat="1" ht="18" customHeight="1" x14ac:dyDescent="0.25">
      <c r="A1353" s="335"/>
      <c r="B1353" s="203"/>
      <c r="C1353" s="461"/>
      <c r="D1353" s="597"/>
      <c r="E1353" s="336"/>
      <c r="F1353" s="151"/>
      <c r="K1353" s="201"/>
      <c r="M1353" s="151"/>
      <c r="R1353" s="154"/>
      <c r="S1353" s="154"/>
      <c r="T1353" s="154"/>
    </row>
    <row r="1354" spans="1:20" s="149" customFormat="1" ht="18" customHeight="1" x14ac:dyDescent="0.25">
      <c r="A1354" s="335"/>
      <c r="B1354" s="203"/>
      <c r="C1354" s="461"/>
      <c r="D1354" s="597"/>
      <c r="E1354" s="336"/>
      <c r="F1354" s="151"/>
      <c r="K1354" s="201"/>
      <c r="M1354" s="151"/>
      <c r="R1354" s="154"/>
      <c r="S1354" s="154"/>
      <c r="T1354" s="154"/>
    </row>
    <row r="1355" spans="1:20" s="149" customFormat="1" ht="18" customHeight="1" x14ac:dyDescent="0.25">
      <c r="A1355" s="335"/>
      <c r="B1355" s="203"/>
      <c r="C1355" s="461"/>
      <c r="D1355" s="597"/>
      <c r="E1355" s="336"/>
      <c r="F1355" s="151"/>
      <c r="K1355" s="201"/>
      <c r="M1355" s="151"/>
      <c r="R1355" s="154"/>
      <c r="S1355" s="154"/>
      <c r="T1355" s="154"/>
    </row>
    <row r="1356" spans="1:20" s="149" customFormat="1" ht="18" customHeight="1" x14ac:dyDescent="0.25">
      <c r="A1356" s="335"/>
      <c r="B1356" s="203"/>
      <c r="C1356" s="461"/>
      <c r="D1356" s="597"/>
      <c r="E1356" s="336"/>
      <c r="F1356" s="151"/>
      <c r="K1356" s="201"/>
      <c r="M1356" s="151"/>
      <c r="R1356" s="154"/>
      <c r="S1356" s="154"/>
      <c r="T1356" s="154"/>
    </row>
    <row r="1357" spans="1:20" s="149" customFormat="1" ht="18" customHeight="1" x14ac:dyDescent="0.25">
      <c r="A1357" s="335"/>
      <c r="B1357" s="203"/>
      <c r="C1357" s="461"/>
      <c r="D1357" s="597"/>
      <c r="E1357" s="336"/>
      <c r="F1357" s="151"/>
      <c r="K1357" s="201"/>
      <c r="M1357" s="151"/>
      <c r="R1357" s="154"/>
      <c r="S1357" s="154"/>
      <c r="T1357" s="154"/>
    </row>
    <row r="1358" spans="1:20" s="149" customFormat="1" ht="18" customHeight="1" x14ac:dyDescent="0.25">
      <c r="A1358" s="335"/>
      <c r="B1358" s="203"/>
      <c r="C1358" s="461"/>
      <c r="D1358" s="597"/>
      <c r="E1358" s="336"/>
      <c r="F1358" s="151"/>
      <c r="K1358" s="201"/>
      <c r="M1358" s="151"/>
      <c r="R1358" s="154"/>
      <c r="S1358" s="154"/>
      <c r="T1358" s="154"/>
    </row>
    <row r="1359" spans="1:20" s="149" customFormat="1" ht="18" customHeight="1" x14ac:dyDescent="0.25">
      <c r="A1359" s="335"/>
      <c r="B1359" s="203"/>
      <c r="C1359" s="461"/>
      <c r="D1359" s="597"/>
      <c r="E1359" s="336"/>
      <c r="F1359" s="151"/>
      <c r="K1359" s="201"/>
      <c r="M1359" s="151"/>
      <c r="R1359" s="154"/>
      <c r="S1359" s="154"/>
      <c r="T1359" s="154"/>
    </row>
    <row r="1360" spans="1:20" s="149" customFormat="1" ht="18" customHeight="1" x14ac:dyDescent="0.25">
      <c r="A1360" s="335"/>
      <c r="B1360" s="203"/>
      <c r="C1360" s="461"/>
      <c r="D1360" s="597"/>
      <c r="E1360" s="336"/>
      <c r="F1360" s="151"/>
      <c r="K1360" s="201"/>
      <c r="M1360" s="151"/>
      <c r="R1360" s="154"/>
      <c r="S1360" s="154"/>
      <c r="T1360" s="154"/>
    </row>
    <row r="1361" spans="1:20" s="149" customFormat="1" ht="18" customHeight="1" x14ac:dyDescent="0.25">
      <c r="A1361" s="335"/>
      <c r="B1361" s="203"/>
      <c r="C1361" s="461"/>
      <c r="D1361" s="597"/>
      <c r="E1361" s="336"/>
      <c r="F1361" s="151"/>
      <c r="K1361" s="201"/>
      <c r="M1361" s="151"/>
      <c r="R1361" s="154"/>
      <c r="S1361" s="154"/>
      <c r="T1361" s="154"/>
    </row>
    <row r="1362" spans="1:20" s="149" customFormat="1" ht="18" customHeight="1" x14ac:dyDescent="0.25">
      <c r="A1362" s="335"/>
      <c r="B1362" s="203"/>
      <c r="C1362" s="461"/>
      <c r="D1362" s="597"/>
      <c r="E1362" s="336"/>
      <c r="F1362" s="151"/>
      <c r="K1362" s="201"/>
      <c r="M1362" s="151"/>
      <c r="R1362" s="154"/>
      <c r="S1362" s="154"/>
      <c r="T1362" s="154"/>
    </row>
    <row r="1363" spans="1:20" s="149" customFormat="1" ht="18" customHeight="1" x14ac:dyDescent="0.25">
      <c r="A1363" s="335"/>
      <c r="B1363" s="203"/>
      <c r="C1363" s="461"/>
      <c r="D1363" s="597"/>
      <c r="E1363" s="336"/>
      <c r="F1363" s="151"/>
      <c r="K1363" s="201"/>
      <c r="M1363" s="151"/>
      <c r="R1363" s="154"/>
      <c r="S1363" s="154"/>
      <c r="T1363" s="154"/>
    </row>
    <row r="1364" spans="1:20" s="149" customFormat="1" ht="18" customHeight="1" x14ac:dyDescent="0.25">
      <c r="A1364" s="335"/>
      <c r="B1364" s="203"/>
      <c r="C1364" s="461"/>
      <c r="D1364" s="597"/>
      <c r="E1364" s="336"/>
      <c r="F1364" s="151"/>
      <c r="K1364" s="201"/>
      <c r="M1364" s="151"/>
      <c r="R1364" s="154"/>
      <c r="S1364" s="154"/>
      <c r="T1364" s="154"/>
    </row>
    <row r="1365" spans="1:20" s="149" customFormat="1" ht="18" customHeight="1" x14ac:dyDescent="0.25">
      <c r="A1365" s="335"/>
      <c r="B1365" s="203"/>
      <c r="C1365" s="461"/>
      <c r="D1365" s="597"/>
      <c r="E1365" s="336"/>
      <c r="F1365" s="151"/>
      <c r="K1365" s="201"/>
      <c r="M1365" s="151"/>
      <c r="R1365" s="154"/>
      <c r="S1365" s="154"/>
      <c r="T1365" s="154"/>
    </row>
    <row r="1366" spans="1:20" s="149" customFormat="1" ht="18" customHeight="1" x14ac:dyDescent="0.25">
      <c r="A1366" s="335"/>
      <c r="B1366" s="203"/>
      <c r="C1366" s="461"/>
      <c r="D1366" s="597"/>
      <c r="E1366" s="336"/>
      <c r="F1366" s="151"/>
      <c r="K1366" s="201"/>
      <c r="M1366" s="151"/>
      <c r="R1366" s="154"/>
      <c r="S1366" s="154"/>
      <c r="T1366" s="154"/>
    </row>
    <row r="1367" spans="1:20" s="149" customFormat="1" ht="18" customHeight="1" x14ac:dyDescent="0.25">
      <c r="A1367" s="335"/>
      <c r="B1367" s="203"/>
      <c r="C1367" s="461"/>
      <c r="D1367" s="597"/>
      <c r="E1367" s="336"/>
      <c r="F1367" s="151"/>
      <c r="K1367" s="201"/>
      <c r="M1367" s="151"/>
      <c r="R1367" s="154"/>
      <c r="S1367" s="154"/>
      <c r="T1367" s="154"/>
    </row>
    <row r="1368" spans="1:20" s="149" customFormat="1" ht="18" customHeight="1" x14ac:dyDescent="0.25">
      <c r="A1368" s="335"/>
      <c r="B1368" s="203"/>
      <c r="C1368" s="461"/>
      <c r="D1368" s="597"/>
      <c r="E1368" s="336"/>
      <c r="F1368" s="151"/>
      <c r="K1368" s="201"/>
      <c r="M1368" s="151"/>
      <c r="R1368" s="154"/>
      <c r="S1368" s="154"/>
      <c r="T1368" s="154"/>
    </row>
    <row r="1369" spans="1:20" s="149" customFormat="1" ht="18" customHeight="1" x14ac:dyDescent="0.25">
      <c r="A1369" s="335"/>
      <c r="B1369" s="203"/>
      <c r="C1369" s="461"/>
      <c r="D1369" s="597"/>
      <c r="E1369" s="336"/>
      <c r="F1369" s="151"/>
      <c r="K1369" s="201"/>
      <c r="M1369" s="151"/>
      <c r="R1369" s="154"/>
      <c r="S1369" s="154"/>
      <c r="T1369" s="154"/>
    </row>
    <row r="1370" spans="1:20" s="149" customFormat="1" ht="18" customHeight="1" x14ac:dyDescent="0.25">
      <c r="A1370" s="335"/>
      <c r="B1370" s="203"/>
      <c r="C1370" s="461"/>
      <c r="D1370" s="597"/>
      <c r="E1370" s="336"/>
      <c r="F1370" s="151"/>
      <c r="K1370" s="201"/>
      <c r="M1370" s="151"/>
      <c r="R1370" s="154"/>
      <c r="S1370" s="154"/>
      <c r="T1370" s="154"/>
    </row>
    <row r="1371" spans="1:20" s="149" customFormat="1" ht="18" customHeight="1" x14ac:dyDescent="0.25">
      <c r="A1371" s="335"/>
      <c r="B1371" s="203"/>
      <c r="C1371" s="461"/>
      <c r="D1371" s="597"/>
      <c r="E1371" s="336"/>
      <c r="F1371" s="151"/>
      <c r="K1371" s="201"/>
      <c r="M1371" s="151"/>
      <c r="R1371" s="154"/>
      <c r="S1371" s="154"/>
      <c r="T1371" s="154"/>
    </row>
    <row r="1372" spans="1:20" s="149" customFormat="1" ht="18" customHeight="1" x14ac:dyDescent="0.25">
      <c r="A1372" s="335"/>
      <c r="B1372" s="203"/>
      <c r="C1372" s="461"/>
      <c r="D1372" s="597"/>
      <c r="E1372" s="336"/>
      <c r="F1372" s="151"/>
      <c r="K1372" s="201"/>
      <c r="M1372" s="151"/>
      <c r="R1372" s="154"/>
      <c r="S1372" s="154"/>
      <c r="T1372" s="154"/>
    </row>
    <row r="1373" spans="1:20" s="149" customFormat="1" ht="18" customHeight="1" x14ac:dyDescent="0.25">
      <c r="A1373" s="335"/>
      <c r="B1373" s="203"/>
      <c r="C1373" s="461"/>
      <c r="D1373" s="597"/>
      <c r="E1373" s="336"/>
      <c r="F1373" s="151"/>
      <c r="K1373" s="201"/>
      <c r="M1373" s="151"/>
      <c r="R1373" s="154"/>
      <c r="S1373" s="154"/>
      <c r="T1373" s="154"/>
    </row>
    <row r="1374" spans="1:20" s="149" customFormat="1" ht="18" customHeight="1" x14ac:dyDescent="0.25">
      <c r="A1374" s="335"/>
      <c r="B1374" s="203"/>
      <c r="C1374" s="461"/>
      <c r="D1374" s="597"/>
      <c r="E1374" s="336"/>
      <c r="F1374" s="151"/>
      <c r="K1374" s="201"/>
      <c r="M1374" s="151"/>
      <c r="R1374" s="154"/>
      <c r="S1374" s="154"/>
      <c r="T1374" s="154"/>
    </row>
    <row r="1375" spans="1:20" s="149" customFormat="1" ht="18" customHeight="1" x14ac:dyDescent="0.25">
      <c r="A1375" s="335"/>
      <c r="B1375" s="203"/>
      <c r="C1375" s="461"/>
      <c r="D1375" s="597"/>
      <c r="E1375" s="336"/>
      <c r="F1375" s="151"/>
      <c r="K1375" s="201"/>
      <c r="M1375" s="151"/>
      <c r="R1375" s="154"/>
      <c r="S1375" s="154"/>
      <c r="T1375" s="154"/>
    </row>
    <row r="1376" spans="1:20" s="149" customFormat="1" ht="18" customHeight="1" x14ac:dyDescent="0.25">
      <c r="A1376" s="335"/>
      <c r="B1376" s="203"/>
      <c r="C1376" s="461"/>
      <c r="D1376" s="597"/>
      <c r="E1376" s="336"/>
      <c r="F1376" s="151"/>
      <c r="K1376" s="201"/>
      <c r="M1376" s="151"/>
      <c r="R1376" s="154"/>
      <c r="S1376" s="154"/>
      <c r="T1376" s="154"/>
    </row>
    <row r="1377" spans="1:20" s="149" customFormat="1" ht="18" customHeight="1" x14ac:dyDescent="0.25">
      <c r="A1377" s="335"/>
      <c r="B1377" s="203"/>
      <c r="C1377" s="461"/>
      <c r="D1377" s="597"/>
      <c r="E1377" s="336"/>
      <c r="F1377" s="151"/>
      <c r="K1377" s="201"/>
      <c r="M1377" s="151"/>
      <c r="R1377" s="154"/>
      <c r="S1377" s="154"/>
      <c r="T1377" s="154"/>
    </row>
    <row r="1378" spans="1:20" s="149" customFormat="1" ht="18" customHeight="1" x14ac:dyDescent="0.25">
      <c r="A1378" s="335"/>
      <c r="B1378" s="203"/>
      <c r="C1378" s="461"/>
      <c r="D1378" s="597"/>
      <c r="E1378" s="336"/>
      <c r="F1378" s="151"/>
      <c r="K1378" s="201"/>
      <c r="M1378" s="151"/>
      <c r="R1378" s="154"/>
      <c r="S1378" s="154"/>
      <c r="T1378" s="154"/>
    </row>
    <row r="1379" spans="1:20" s="149" customFormat="1" ht="18" customHeight="1" x14ac:dyDescent="0.25">
      <c r="A1379" s="335"/>
      <c r="B1379" s="203"/>
      <c r="C1379" s="461"/>
      <c r="D1379" s="597"/>
      <c r="E1379" s="336"/>
      <c r="F1379" s="151"/>
      <c r="K1379" s="201"/>
      <c r="M1379" s="151"/>
      <c r="R1379" s="154"/>
      <c r="S1379" s="154"/>
      <c r="T1379" s="154"/>
    </row>
    <row r="1380" spans="1:20" s="149" customFormat="1" ht="18" customHeight="1" x14ac:dyDescent="0.25">
      <c r="A1380" s="335"/>
      <c r="B1380" s="203"/>
      <c r="C1380" s="461"/>
      <c r="D1380" s="597"/>
      <c r="E1380" s="336"/>
      <c r="F1380" s="151"/>
      <c r="K1380" s="201"/>
      <c r="M1380" s="151"/>
      <c r="R1380" s="154"/>
      <c r="S1380" s="154"/>
      <c r="T1380" s="154"/>
    </row>
    <row r="1381" spans="1:20" s="149" customFormat="1" ht="18" customHeight="1" x14ac:dyDescent="0.25">
      <c r="A1381" s="335"/>
      <c r="B1381" s="203"/>
      <c r="C1381" s="461"/>
      <c r="D1381" s="597"/>
      <c r="E1381" s="336"/>
      <c r="F1381" s="151"/>
      <c r="K1381" s="201"/>
      <c r="M1381" s="151"/>
      <c r="R1381" s="154"/>
      <c r="S1381" s="154"/>
      <c r="T1381" s="154"/>
    </row>
    <row r="1382" spans="1:20" s="149" customFormat="1" ht="18" customHeight="1" x14ac:dyDescent="0.25">
      <c r="A1382" s="335"/>
      <c r="B1382" s="203"/>
      <c r="C1382" s="461"/>
      <c r="D1382" s="597"/>
      <c r="E1382" s="336"/>
      <c r="F1382" s="151"/>
      <c r="K1382" s="201"/>
      <c r="M1382" s="151"/>
      <c r="R1382" s="154"/>
      <c r="S1382" s="154"/>
      <c r="T1382" s="154"/>
    </row>
    <row r="1383" spans="1:20" s="149" customFormat="1" ht="18" customHeight="1" x14ac:dyDescent="0.25">
      <c r="A1383" s="335"/>
      <c r="B1383" s="203"/>
      <c r="C1383" s="461"/>
      <c r="D1383" s="597"/>
      <c r="E1383" s="336"/>
      <c r="F1383" s="151"/>
      <c r="K1383" s="201"/>
      <c r="M1383" s="151"/>
      <c r="R1383" s="154"/>
      <c r="S1383" s="154"/>
      <c r="T1383" s="154"/>
    </row>
    <row r="1384" spans="1:20" s="149" customFormat="1" ht="18" customHeight="1" x14ac:dyDescent="0.25">
      <c r="A1384" s="335"/>
      <c r="B1384" s="203"/>
      <c r="C1384" s="461"/>
      <c r="D1384" s="597"/>
      <c r="E1384" s="336"/>
      <c r="F1384" s="151"/>
      <c r="K1384" s="201"/>
      <c r="M1384" s="151"/>
      <c r="R1384" s="154"/>
      <c r="S1384" s="154"/>
      <c r="T1384" s="154"/>
    </row>
    <row r="1385" spans="1:20" s="149" customFormat="1" ht="18" customHeight="1" x14ac:dyDescent="0.25">
      <c r="A1385" s="335"/>
      <c r="B1385" s="203"/>
      <c r="C1385" s="461"/>
      <c r="D1385" s="597"/>
      <c r="E1385" s="336"/>
      <c r="F1385" s="151"/>
      <c r="K1385" s="201"/>
      <c r="M1385" s="151"/>
      <c r="R1385" s="154"/>
      <c r="S1385" s="154"/>
      <c r="T1385" s="154"/>
    </row>
    <row r="1386" spans="1:20" s="149" customFormat="1" ht="18" customHeight="1" x14ac:dyDescent="0.25">
      <c r="A1386" s="335"/>
      <c r="B1386" s="203"/>
      <c r="C1386" s="461"/>
      <c r="D1386" s="597"/>
      <c r="E1386" s="336"/>
      <c r="F1386" s="151"/>
      <c r="K1386" s="201"/>
      <c r="M1386" s="151"/>
      <c r="R1386" s="154"/>
      <c r="S1386" s="154"/>
      <c r="T1386" s="154"/>
    </row>
    <row r="1387" spans="1:20" s="149" customFormat="1" ht="18" customHeight="1" x14ac:dyDescent="0.25">
      <c r="A1387" s="335"/>
      <c r="B1387" s="203"/>
      <c r="C1387" s="461"/>
      <c r="D1387" s="597"/>
      <c r="E1387" s="336"/>
      <c r="F1387" s="151"/>
      <c r="K1387" s="201"/>
      <c r="M1387" s="151"/>
      <c r="R1387" s="154"/>
      <c r="S1387" s="154"/>
      <c r="T1387" s="154"/>
    </row>
    <row r="1388" spans="1:20" s="149" customFormat="1" ht="18" customHeight="1" x14ac:dyDescent="0.25">
      <c r="A1388" s="335"/>
      <c r="B1388" s="203"/>
      <c r="C1388" s="461"/>
      <c r="D1388" s="597"/>
      <c r="E1388" s="336"/>
      <c r="F1388" s="151"/>
      <c r="K1388" s="201"/>
      <c r="M1388" s="151"/>
      <c r="R1388" s="154"/>
      <c r="S1388" s="154"/>
      <c r="T1388" s="154"/>
    </row>
    <row r="1389" spans="1:20" s="149" customFormat="1" ht="18" customHeight="1" x14ac:dyDescent="0.25">
      <c r="A1389" s="335"/>
      <c r="B1389" s="203"/>
      <c r="C1389" s="461"/>
      <c r="D1389" s="597"/>
      <c r="E1389" s="336"/>
      <c r="F1389" s="151"/>
      <c r="K1389" s="201"/>
      <c r="M1389" s="151"/>
      <c r="R1389" s="154"/>
      <c r="S1389" s="154"/>
      <c r="T1389" s="154"/>
    </row>
    <row r="1390" spans="1:20" s="149" customFormat="1" ht="18" customHeight="1" x14ac:dyDescent="0.25">
      <c r="A1390" s="335"/>
      <c r="B1390" s="203"/>
      <c r="C1390" s="461"/>
      <c r="D1390" s="597"/>
      <c r="E1390" s="336"/>
      <c r="F1390" s="151"/>
      <c r="K1390" s="201"/>
      <c r="M1390" s="151"/>
      <c r="R1390" s="154"/>
      <c r="S1390" s="154"/>
      <c r="T1390" s="154"/>
    </row>
    <row r="1391" spans="1:20" s="149" customFormat="1" ht="18" customHeight="1" x14ac:dyDescent="0.25">
      <c r="A1391" s="335"/>
      <c r="B1391" s="203"/>
      <c r="C1391" s="461"/>
      <c r="D1391" s="597"/>
      <c r="E1391" s="336"/>
      <c r="F1391" s="151"/>
      <c r="K1391" s="201"/>
      <c r="M1391" s="151"/>
      <c r="R1391" s="154"/>
      <c r="S1391" s="154"/>
      <c r="T1391" s="154"/>
    </row>
    <row r="1392" spans="1:20" s="149" customFormat="1" ht="18" customHeight="1" x14ac:dyDescent="0.25">
      <c r="A1392" s="335"/>
      <c r="B1392" s="203"/>
      <c r="C1392" s="461"/>
      <c r="D1392" s="597"/>
      <c r="E1392" s="336"/>
      <c r="F1392" s="151"/>
      <c r="K1392" s="201"/>
      <c r="M1392" s="151"/>
      <c r="R1392" s="154"/>
      <c r="S1392" s="154"/>
      <c r="T1392" s="154"/>
    </row>
    <row r="1393" spans="1:20" s="149" customFormat="1" ht="18" customHeight="1" x14ac:dyDescent="0.25">
      <c r="A1393" s="335"/>
      <c r="B1393" s="203"/>
      <c r="C1393" s="461"/>
      <c r="D1393" s="597"/>
      <c r="E1393" s="336"/>
      <c r="F1393" s="151"/>
      <c r="K1393" s="201"/>
      <c r="M1393" s="151"/>
      <c r="R1393" s="154"/>
      <c r="S1393" s="154"/>
      <c r="T1393" s="154"/>
    </row>
    <row r="1394" spans="1:20" s="149" customFormat="1" ht="18" customHeight="1" x14ac:dyDescent="0.25">
      <c r="A1394" s="335"/>
      <c r="B1394" s="203"/>
      <c r="C1394" s="461"/>
      <c r="D1394" s="597"/>
      <c r="E1394" s="336"/>
      <c r="F1394" s="151"/>
      <c r="K1394" s="201"/>
      <c r="M1394" s="151"/>
      <c r="R1394" s="154"/>
      <c r="S1394" s="154"/>
      <c r="T1394" s="154"/>
    </row>
    <row r="1395" spans="1:20" s="149" customFormat="1" ht="18" customHeight="1" x14ac:dyDescent="0.25">
      <c r="A1395" s="335"/>
      <c r="B1395" s="203"/>
      <c r="C1395" s="461"/>
      <c r="D1395" s="597"/>
      <c r="E1395" s="336"/>
      <c r="F1395" s="151"/>
      <c r="K1395" s="201"/>
      <c r="M1395" s="151"/>
      <c r="R1395" s="154"/>
      <c r="S1395" s="154"/>
      <c r="T1395" s="154"/>
    </row>
    <row r="1396" spans="1:20" s="149" customFormat="1" ht="18" customHeight="1" x14ac:dyDescent="0.25">
      <c r="A1396" s="335"/>
      <c r="B1396" s="203"/>
      <c r="C1396" s="461"/>
      <c r="D1396" s="597"/>
      <c r="E1396" s="336"/>
      <c r="F1396" s="151"/>
      <c r="K1396" s="201"/>
      <c r="M1396" s="151"/>
      <c r="R1396" s="154"/>
      <c r="S1396" s="154"/>
      <c r="T1396" s="154"/>
    </row>
    <row r="1397" spans="1:20" s="149" customFormat="1" ht="18" customHeight="1" x14ac:dyDescent="0.25">
      <c r="A1397" s="335"/>
      <c r="B1397" s="203"/>
      <c r="C1397" s="461"/>
      <c r="D1397" s="597"/>
      <c r="E1397" s="336"/>
      <c r="F1397" s="151"/>
      <c r="K1397" s="201"/>
      <c r="M1397" s="151"/>
      <c r="R1397" s="154"/>
      <c r="S1397" s="154"/>
      <c r="T1397" s="154"/>
    </row>
    <row r="1398" spans="1:20" s="149" customFormat="1" ht="18" customHeight="1" x14ac:dyDescent="0.25">
      <c r="A1398" s="335"/>
      <c r="B1398" s="203"/>
      <c r="C1398" s="461"/>
      <c r="D1398" s="597"/>
      <c r="E1398" s="336"/>
      <c r="F1398" s="151"/>
      <c r="K1398" s="201"/>
      <c r="M1398" s="151"/>
      <c r="R1398" s="154"/>
      <c r="S1398" s="154"/>
      <c r="T1398" s="154"/>
    </row>
    <row r="1399" spans="1:20" s="149" customFormat="1" ht="18" customHeight="1" x14ac:dyDescent="0.25">
      <c r="A1399" s="335"/>
      <c r="B1399" s="203"/>
      <c r="C1399" s="461"/>
      <c r="D1399" s="597"/>
      <c r="E1399" s="336"/>
      <c r="F1399" s="151"/>
      <c r="K1399" s="201"/>
      <c r="M1399" s="151"/>
      <c r="R1399" s="154"/>
      <c r="S1399" s="154"/>
      <c r="T1399" s="154"/>
    </row>
    <row r="1400" spans="1:20" s="149" customFormat="1" ht="18" customHeight="1" x14ac:dyDescent="0.25">
      <c r="A1400" s="335"/>
      <c r="B1400" s="203"/>
      <c r="C1400" s="461"/>
      <c r="D1400" s="597"/>
      <c r="E1400" s="336"/>
      <c r="F1400" s="151"/>
      <c r="K1400" s="201"/>
      <c r="M1400" s="151"/>
      <c r="R1400" s="154"/>
      <c r="S1400" s="154"/>
      <c r="T1400" s="154"/>
    </row>
    <row r="1401" spans="1:20" s="149" customFormat="1" ht="18" customHeight="1" x14ac:dyDescent="0.25">
      <c r="A1401" s="335"/>
      <c r="B1401" s="203"/>
      <c r="C1401" s="461"/>
      <c r="D1401" s="597"/>
      <c r="E1401" s="336"/>
      <c r="F1401" s="151"/>
      <c r="K1401" s="201"/>
      <c r="M1401" s="151"/>
      <c r="R1401" s="154"/>
      <c r="S1401" s="154"/>
      <c r="T1401" s="154"/>
    </row>
    <row r="1402" spans="1:20" s="149" customFormat="1" ht="18" customHeight="1" x14ac:dyDescent="0.25">
      <c r="A1402" s="335"/>
      <c r="B1402" s="203"/>
      <c r="C1402" s="461"/>
      <c r="D1402" s="597"/>
      <c r="E1402" s="336"/>
      <c r="F1402" s="151"/>
      <c r="K1402" s="201"/>
      <c r="M1402" s="151"/>
      <c r="R1402" s="154"/>
      <c r="S1402" s="154"/>
      <c r="T1402" s="154"/>
    </row>
    <row r="1403" spans="1:20" s="149" customFormat="1" ht="18" customHeight="1" x14ac:dyDescent="0.25">
      <c r="A1403" s="335"/>
      <c r="B1403" s="203"/>
      <c r="C1403" s="461"/>
      <c r="D1403" s="597"/>
      <c r="E1403" s="336"/>
      <c r="F1403" s="151"/>
      <c r="K1403" s="201"/>
      <c r="M1403" s="151"/>
      <c r="R1403" s="154"/>
      <c r="S1403" s="154"/>
      <c r="T1403" s="154"/>
    </row>
    <row r="1404" spans="1:20" s="149" customFormat="1" ht="18" customHeight="1" x14ac:dyDescent="0.25">
      <c r="A1404" s="335"/>
      <c r="B1404" s="203"/>
      <c r="C1404" s="461"/>
      <c r="D1404" s="597"/>
      <c r="E1404" s="336"/>
      <c r="F1404" s="151"/>
      <c r="K1404" s="201"/>
      <c r="M1404" s="151"/>
      <c r="R1404" s="154"/>
      <c r="S1404" s="154"/>
      <c r="T1404" s="154"/>
    </row>
    <row r="1405" spans="1:20" s="149" customFormat="1" ht="18" customHeight="1" x14ac:dyDescent="0.25">
      <c r="A1405" s="335"/>
      <c r="B1405" s="203"/>
      <c r="C1405" s="461"/>
      <c r="D1405" s="597"/>
      <c r="E1405" s="336"/>
      <c r="F1405" s="151"/>
      <c r="K1405" s="201"/>
      <c r="M1405" s="151"/>
      <c r="R1405" s="154"/>
      <c r="S1405" s="154"/>
      <c r="T1405" s="154"/>
    </row>
    <row r="1406" spans="1:20" s="149" customFormat="1" ht="18" customHeight="1" x14ac:dyDescent="0.25">
      <c r="A1406" s="335"/>
      <c r="B1406" s="203"/>
      <c r="C1406" s="461"/>
      <c r="D1406" s="597"/>
      <c r="E1406" s="336"/>
      <c r="F1406" s="151"/>
      <c r="K1406" s="201"/>
      <c r="M1406" s="151"/>
      <c r="R1406" s="154"/>
      <c r="S1406" s="154"/>
      <c r="T1406" s="154"/>
    </row>
    <row r="1407" spans="1:20" s="149" customFormat="1" ht="18" customHeight="1" x14ac:dyDescent="0.25">
      <c r="A1407" s="335"/>
      <c r="B1407" s="203"/>
      <c r="C1407" s="461"/>
      <c r="D1407" s="597"/>
      <c r="E1407" s="336"/>
      <c r="F1407" s="151"/>
      <c r="K1407" s="201"/>
      <c r="M1407" s="151"/>
      <c r="R1407" s="154"/>
      <c r="S1407" s="154"/>
      <c r="T1407" s="154"/>
    </row>
    <row r="1408" spans="1:20" s="149" customFormat="1" ht="18" customHeight="1" x14ac:dyDescent="0.25">
      <c r="A1408" s="335"/>
      <c r="B1408" s="203"/>
      <c r="C1408" s="461"/>
      <c r="D1408" s="597"/>
      <c r="E1408" s="336"/>
      <c r="F1408" s="151"/>
      <c r="K1408" s="201"/>
      <c r="M1408" s="151"/>
      <c r="R1408" s="154"/>
      <c r="S1408" s="154"/>
      <c r="T1408" s="154"/>
    </row>
    <row r="1409" spans="1:20" s="149" customFormat="1" ht="18" customHeight="1" x14ac:dyDescent="0.25">
      <c r="A1409" s="335"/>
      <c r="B1409" s="203"/>
      <c r="C1409" s="461"/>
      <c r="D1409" s="597"/>
      <c r="E1409" s="336"/>
      <c r="F1409" s="151"/>
      <c r="K1409" s="201"/>
      <c r="M1409" s="151"/>
      <c r="R1409" s="154"/>
      <c r="S1409" s="154"/>
      <c r="T1409" s="154"/>
    </row>
    <row r="1410" spans="1:20" s="149" customFormat="1" ht="18" customHeight="1" x14ac:dyDescent="0.25">
      <c r="A1410" s="335"/>
      <c r="B1410" s="203"/>
      <c r="C1410" s="461"/>
      <c r="D1410" s="597"/>
      <c r="E1410" s="336"/>
      <c r="F1410" s="151"/>
      <c r="K1410" s="201"/>
      <c r="M1410" s="151"/>
      <c r="R1410" s="154"/>
      <c r="S1410" s="154"/>
      <c r="T1410" s="154"/>
    </row>
    <row r="1411" spans="1:20" s="149" customFormat="1" ht="18" customHeight="1" x14ac:dyDescent="0.25">
      <c r="A1411" s="335"/>
      <c r="B1411" s="203"/>
      <c r="C1411" s="461"/>
      <c r="D1411" s="597"/>
      <c r="E1411" s="336"/>
      <c r="F1411" s="151"/>
      <c r="K1411" s="201"/>
      <c r="M1411" s="151"/>
      <c r="R1411" s="154"/>
      <c r="S1411" s="154"/>
      <c r="T1411" s="154"/>
    </row>
    <row r="1412" spans="1:20" s="149" customFormat="1" ht="18" customHeight="1" x14ac:dyDescent="0.25">
      <c r="A1412" s="335"/>
      <c r="B1412" s="203"/>
      <c r="C1412" s="461"/>
      <c r="D1412" s="597"/>
      <c r="E1412" s="336"/>
      <c r="F1412" s="151"/>
      <c r="K1412" s="201"/>
      <c r="M1412" s="151"/>
      <c r="R1412" s="154"/>
      <c r="S1412" s="154"/>
      <c r="T1412" s="154"/>
    </row>
    <row r="1413" spans="1:20" s="149" customFormat="1" ht="18" customHeight="1" x14ac:dyDescent="0.25">
      <c r="A1413" s="335"/>
      <c r="B1413" s="203"/>
      <c r="C1413" s="461"/>
      <c r="D1413" s="597"/>
      <c r="E1413" s="336"/>
      <c r="F1413" s="151"/>
      <c r="K1413" s="201"/>
      <c r="M1413" s="151"/>
      <c r="R1413" s="154"/>
      <c r="S1413" s="154"/>
      <c r="T1413" s="154"/>
    </row>
    <row r="1414" spans="1:20" s="149" customFormat="1" ht="18" customHeight="1" x14ac:dyDescent="0.25">
      <c r="A1414" s="335"/>
      <c r="B1414" s="203"/>
      <c r="C1414" s="461"/>
      <c r="D1414" s="597"/>
      <c r="E1414" s="336"/>
      <c r="F1414" s="151"/>
      <c r="K1414" s="201"/>
      <c r="M1414" s="151"/>
      <c r="R1414" s="154"/>
      <c r="S1414" s="154"/>
      <c r="T1414" s="154"/>
    </row>
    <row r="1415" spans="1:20" s="149" customFormat="1" ht="18" customHeight="1" x14ac:dyDescent="0.25">
      <c r="A1415" s="335"/>
      <c r="B1415" s="203"/>
      <c r="C1415" s="461"/>
      <c r="D1415" s="597"/>
      <c r="E1415" s="336"/>
      <c r="F1415" s="151"/>
      <c r="K1415" s="201"/>
      <c r="M1415" s="151"/>
      <c r="R1415" s="154"/>
      <c r="S1415" s="154"/>
      <c r="T1415" s="154"/>
    </row>
    <row r="1416" spans="1:20" s="149" customFormat="1" ht="18" customHeight="1" x14ac:dyDescent="0.25">
      <c r="A1416" s="335"/>
      <c r="B1416" s="203"/>
      <c r="C1416" s="461"/>
      <c r="D1416" s="597"/>
      <c r="E1416" s="336"/>
      <c r="F1416" s="151"/>
      <c r="K1416" s="201"/>
      <c r="M1416" s="151"/>
      <c r="R1416" s="154"/>
      <c r="S1416" s="154"/>
      <c r="T1416" s="154"/>
    </row>
    <row r="1417" spans="1:20" s="149" customFormat="1" ht="18" customHeight="1" x14ac:dyDescent="0.25">
      <c r="A1417" s="335"/>
      <c r="B1417" s="203"/>
      <c r="C1417" s="461"/>
      <c r="D1417" s="597"/>
      <c r="E1417" s="336"/>
      <c r="F1417" s="151"/>
      <c r="K1417" s="201"/>
      <c r="M1417" s="151"/>
      <c r="R1417" s="154"/>
      <c r="S1417" s="154"/>
      <c r="T1417" s="154"/>
    </row>
    <row r="1418" spans="1:20" s="149" customFormat="1" ht="18" customHeight="1" x14ac:dyDescent="0.25">
      <c r="A1418" s="335"/>
      <c r="B1418" s="203"/>
      <c r="C1418" s="461"/>
      <c r="D1418" s="597"/>
      <c r="E1418" s="336"/>
      <c r="F1418" s="151"/>
      <c r="K1418" s="201"/>
      <c r="M1418" s="151"/>
      <c r="R1418" s="154"/>
      <c r="S1418" s="154"/>
      <c r="T1418" s="154"/>
    </row>
    <row r="1419" spans="1:20" s="149" customFormat="1" ht="18" customHeight="1" x14ac:dyDescent="0.25">
      <c r="A1419" s="335"/>
      <c r="B1419" s="203"/>
      <c r="C1419" s="461"/>
      <c r="D1419" s="597"/>
      <c r="E1419" s="336"/>
      <c r="F1419" s="151"/>
      <c r="K1419" s="201"/>
      <c r="M1419" s="151"/>
      <c r="R1419" s="154"/>
      <c r="S1419" s="154"/>
      <c r="T1419" s="154"/>
    </row>
    <row r="1420" spans="1:20" s="149" customFormat="1" ht="18" customHeight="1" x14ac:dyDescent="0.25">
      <c r="A1420" s="335"/>
      <c r="B1420" s="203"/>
      <c r="C1420" s="461"/>
      <c r="D1420" s="597"/>
      <c r="E1420" s="336"/>
      <c r="F1420" s="151"/>
      <c r="K1420" s="201"/>
      <c r="M1420" s="151"/>
      <c r="R1420" s="154"/>
      <c r="S1420" s="154"/>
      <c r="T1420" s="154"/>
    </row>
    <row r="1421" spans="1:20" s="149" customFormat="1" ht="18" customHeight="1" x14ac:dyDescent="0.25">
      <c r="A1421" s="335"/>
      <c r="B1421" s="203"/>
      <c r="C1421" s="461"/>
      <c r="D1421" s="597"/>
      <c r="E1421" s="336"/>
      <c r="F1421" s="151"/>
      <c r="K1421" s="201"/>
      <c r="M1421" s="151"/>
      <c r="R1421" s="154"/>
      <c r="S1421" s="154"/>
      <c r="T1421" s="154"/>
    </row>
    <row r="1422" spans="1:20" s="149" customFormat="1" ht="18" customHeight="1" x14ac:dyDescent="0.25">
      <c r="A1422" s="335"/>
      <c r="B1422" s="203"/>
      <c r="C1422" s="461"/>
      <c r="D1422" s="597"/>
      <c r="E1422" s="336"/>
      <c r="F1422" s="151"/>
      <c r="K1422" s="201"/>
      <c r="M1422" s="151"/>
      <c r="R1422" s="154"/>
      <c r="S1422" s="154"/>
      <c r="T1422" s="154"/>
    </row>
    <row r="1423" spans="1:20" s="149" customFormat="1" ht="18" customHeight="1" x14ac:dyDescent="0.25">
      <c r="A1423" s="335"/>
      <c r="B1423" s="203"/>
      <c r="C1423" s="461"/>
      <c r="D1423" s="597"/>
      <c r="E1423" s="336"/>
      <c r="F1423" s="151"/>
      <c r="K1423" s="201"/>
      <c r="M1423" s="151"/>
      <c r="R1423" s="154"/>
      <c r="S1423" s="154"/>
      <c r="T1423" s="154"/>
    </row>
    <row r="1424" spans="1:20" s="149" customFormat="1" ht="18" customHeight="1" x14ac:dyDescent="0.25">
      <c r="A1424" s="335"/>
      <c r="B1424" s="203"/>
      <c r="C1424" s="461"/>
      <c r="D1424" s="597"/>
      <c r="E1424" s="336"/>
      <c r="F1424" s="151"/>
      <c r="K1424" s="201"/>
      <c r="M1424" s="151"/>
      <c r="R1424" s="154"/>
      <c r="S1424" s="154"/>
      <c r="T1424" s="154"/>
    </row>
    <row r="1425" spans="1:20" s="149" customFormat="1" ht="18" customHeight="1" x14ac:dyDescent="0.25">
      <c r="A1425" s="335"/>
      <c r="B1425" s="203"/>
      <c r="C1425" s="461"/>
      <c r="D1425" s="597"/>
      <c r="E1425" s="336"/>
      <c r="F1425" s="151"/>
      <c r="K1425" s="201"/>
      <c r="M1425" s="151"/>
      <c r="R1425" s="154"/>
      <c r="S1425" s="154"/>
      <c r="T1425" s="154"/>
    </row>
    <row r="1426" spans="1:20" s="149" customFormat="1" ht="18" customHeight="1" x14ac:dyDescent="0.25">
      <c r="A1426" s="335"/>
      <c r="B1426" s="203"/>
      <c r="C1426" s="461"/>
      <c r="D1426" s="597"/>
      <c r="E1426" s="336"/>
      <c r="F1426" s="151"/>
      <c r="K1426" s="201"/>
      <c r="M1426" s="151"/>
      <c r="R1426" s="154"/>
      <c r="S1426" s="154"/>
      <c r="T1426" s="154"/>
    </row>
    <row r="1427" spans="1:20" s="149" customFormat="1" ht="18" customHeight="1" x14ac:dyDescent="0.25">
      <c r="A1427" s="335"/>
      <c r="B1427" s="203"/>
      <c r="C1427" s="461"/>
      <c r="D1427" s="597"/>
      <c r="E1427" s="336"/>
      <c r="F1427" s="151"/>
      <c r="K1427" s="201"/>
      <c r="M1427" s="151"/>
      <c r="R1427" s="154"/>
      <c r="S1427" s="154"/>
      <c r="T1427" s="154"/>
    </row>
    <row r="1428" spans="1:20" s="149" customFormat="1" ht="18" customHeight="1" x14ac:dyDescent="0.25">
      <c r="A1428" s="335"/>
      <c r="B1428" s="203"/>
      <c r="C1428" s="461"/>
      <c r="D1428" s="597"/>
      <c r="E1428" s="336"/>
      <c r="F1428" s="151"/>
      <c r="K1428" s="201"/>
      <c r="M1428" s="151"/>
      <c r="R1428" s="154"/>
      <c r="S1428" s="154"/>
      <c r="T1428" s="154"/>
    </row>
    <row r="1429" spans="1:20" s="149" customFormat="1" ht="18" customHeight="1" x14ac:dyDescent="0.25">
      <c r="A1429" s="335"/>
      <c r="B1429" s="203"/>
      <c r="C1429" s="461"/>
      <c r="D1429" s="597"/>
      <c r="E1429" s="336"/>
      <c r="F1429" s="151"/>
      <c r="K1429" s="201"/>
      <c r="M1429" s="151"/>
      <c r="R1429" s="154"/>
      <c r="S1429" s="154"/>
      <c r="T1429" s="154"/>
    </row>
    <row r="1430" spans="1:20" s="149" customFormat="1" ht="18" customHeight="1" x14ac:dyDescent="0.25">
      <c r="A1430" s="335"/>
      <c r="B1430" s="203"/>
      <c r="C1430" s="461"/>
      <c r="D1430" s="597"/>
      <c r="E1430" s="336"/>
      <c r="F1430" s="151"/>
      <c r="K1430" s="201"/>
      <c r="M1430" s="151"/>
      <c r="R1430" s="154"/>
      <c r="S1430" s="154"/>
      <c r="T1430" s="154"/>
    </row>
    <row r="1431" spans="1:20" s="149" customFormat="1" ht="18" customHeight="1" x14ac:dyDescent="0.25">
      <c r="A1431" s="335"/>
      <c r="B1431" s="203"/>
      <c r="C1431" s="461"/>
      <c r="D1431" s="597"/>
      <c r="E1431" s="336"/>
      <c r="F1431" s="151"/>
      <c r="K1431" s="201"/>
      <c r="M1431" s="151"/>
      <c r="R1431" s="154"/>
      <c r="S1431" s="154"/>
      <c r="T1431" s="154"/>
    </row>
    <row r="1432" spans="1:20" s="149" customFormat="1" ht="18" customHeight="1" x14ac:dyDescent="0.25">
      <c r="A1432" s="335"/>
      <c r="B1432" s="203"/>
      <c r="C1432" s="461"/>
      <c r="D1432" s="597"/>
      <c r="E1432" s="336"/>
      <c r="F1432" s="151"/>
      <c r="K1432" s="201"/>
      <c r="M1432" s="151"/>
      <c r="R1432" s="154"/>
      <c r="S1432" s="154"/>
      <c r="T1432" s="154"/>
    </row>
    <row r="1433" spans="1:20" s="149" customFormat="1" ht="18" customHeight="1" x14ac:dyDescent="0.25">
      <c r="A1433" s="335"/>
      <c r="B1433" s="203"/>
      <c r="C1433" s="461"/>
      <c r="D1433" s="597"/>
      <c r="E1433" s="336"/>
      <c r="F1433" s="151"/>
      <c r="K1433" s="201"/>
      <c r="M1433" s="151"/>
      <c r="R1433" s="154"/>
      <c r="S1433" s="154"/>
      <c r="T1433" s="154"/>
    </row>
    <row r="1434" spans="1:20" s="149" customFormat="1" ht="18" customHeight="1" x14ac:dyDescent="0.25">
      <c r="A1434" s="335"/>
      <c r="B1434" s="203"/>
      <c r="C1434" s="461"/>
      <c r="D1434" s="597"/>
      <c r="E1434" s="336"/>
      <c r="F1434" s="151"/>
      <c r="K1434" s="201"/>
      <c r="M1434" s="151"/>
      <c r="R1434" s="154"/>
      <c r="S1434" s="154"/>
      <c r="T1434" s="154"/>
    </row>
    <row r="1435" spans="1:20" s="149" customFormat="1" ht="18" customHeight="1" x14ac:dyDescent="0.25">
      <c r="A1435" s="335"/>
      <c r="B1435" s="203"/>
      <c r="C1435" s="461"/>
      <c r="D1435" s="597"/>
      <c r="E1435" s="336"/>
      <c r="F1435" s="151"/>
      <c r="K1435" s="201"/>
      <c r="M1435" s="151"/>
      <c r="R1435" s="154"/>
      <c r="S1435" s="154"/>
      <c r="T1435" s="154"/>
    </row>
    <row r="1436" spans="1:20" s="149" customFormat="1" ht="18" customHeight="1" x14ac:dyDescent="0.25">
      <c r="A1436" s="335"/>
      <c r="B1436" s="203"/>
      <c r="C1436" s="461"/>
      <c r="D1436" s="597"/>
      <c r="E1436" s="336"/>
      <c r="F1436" s="151"/>
      <c r="K1436" s="201"/>
      <c r="M1436" s="151"/>
      <c r="R1436" s="154"/>
      <c r="S1436" s="154"/>
      <c r="T1436" s="154"/>
    </row>
    <row r="1437" spans="1:20" s="149" customFormat="1" ht="18" customHeight="1" x14ac:dyDescent="0.25">
      <c r="A1437" s="335"/>
      <c r="B1437" s="203"/>
      <c r="C1437" s="461"/>
      <c r="D1437" s="597"/>
      <c r="E1437" s="336"/>
      <c r="F1437" s="151"/>
      <c r="K1437" s="201"/>
      <c r="M1437" s="151"/>
      <c r="R1437" s="154"/>
      <c r="S1437" s="154"/>
      <c r="T1437" s="154"/>
    </row>
    <row r="1438" spans="1:20" s="149" customFormat="1" ht="18" customHeight="1" x14ac:dyDescent="0.25">
      <c r="A1438" s="335"/>
      <c r="B1438" s="203"/>
      <c r="C1438" s="461"/>
      <c r="D1438" s="597"/>
      <c r="E1438" s="336"/>
      <c r="F1438" s="151"/>
      <c r="K1438" s="201"/>
      <c r="M1438" s="151"/>
      <c r="R1438" s="154"/>
      <c r="S1438" s="154"/>
      <c r="T1438" s="154"/>
    </row>
    <row r="1439" spans="1:20" s="149" customFormat="1" ht="18" customHeight="1" x14ac:dyDescent="0.25">
      <c r="A1439" s="335"/>
      <c r="B1439" s="203"/>
      <c r="C1439" s="461"/>
      <c r="D1439" s="597"/>
      <c r="E1439" s="336"/>
      <c r="F1439" s="151"/>
      <c r="K1439" s="201"/>
      <c r="M1439" s="151"/>
      <c r="R1439" s="154"/>
      <c r="S1439" s="154"/>
      <c r="T1439" s="154"/>
    </row>
    <row r="1440" spans="1:20" s="149" customFormat="1" ht="18" customHeight="1" x14ac:dyDescent="0.25">
      <c r="A1440" s="335"/>
      <c r="B1440" s="203"/>
      <c r="C1440" s="461"/>
      <c r="D1440" s="597"/>
      <c r="E1440" s="336"/>
      <c r="F1440" s="151"/>
      <c r="K1440" s="201"/>
      <c r="M1440" s="151"/>
      <c r="R1440" s="154"/>
      <c r="S1440" s="154"/>
      <c r="T1440" s="154"/>
    </row>
    <row r="1441" spans="1:20" s="149" customFormat="1" ht="18" customHeight="1" x14ac:dyDescent="0.25">
      <c r="A1441" s="335"/>
      <c r="B1441" s="203"/>
      <c r="C1441" s="461"/>
      <c r="D1441" s="597"/>
      <c r="E1441" s="336"/>
      <c r="F1441" s="151"/>
      <c r="K1441" s="201"/>
      <c r="M1441" s="151"/>
      <c r="R1441" s="154"/>
      <c r="S1441" s="154"/>
      <c r="T1441" s="154"/>
    </row>
    <row r="1442" spans="1:20" s="149" customFormat="1" ht="18" customHeight="1" x14ac:dyDescent="0.25">
      <c r="A1442" s="335"/>
      <c r="B1442" s="203"/>
      <c r="C1442" s="461"/>
      <c r="D1442" s="597"/>
      <c r="E1442" s="336"/>
      <c r="F1442" s="151"/>
      <c r="K1442" s="201"/>
      <c r="M1442" s="151"/>
      <c r="R1442" s="154"/>
      <c r="S1442" s="154"/>
      <c r="T1442" s="154"/>
    </row>
    <row r="1443" spans="1:20" s="149" customFormat="1" ht="18" customHeight="1" x14ac:dyDescent="0.25">
      <c r="A1443" s="335"/>
      <c r="B1443" s="203"/>
      <c r="C1443" s="461"/>
      <c r="D1443" s="597"/>
      <c r="E1443" s="336"/>
      <c r="F1443" s="151"/>
      <c r="K1443" s="201"/>
      <c r="M1443" s="151"/>
      <c r="R1443" s="154"/>
      <c r="S1443" s="154"/>
      <c r="T1443" s="154"/>
    </row>
    <row r="1444" spans="1:20" s="149" customFormat="1" ht="18" customHeight="1" x14ac:dyDescent="0.25">
      <c r="A1444" s="335"/>
      <c r="B1444" s="203"/>
      <c r="C1444" s="461"/>
      <c r="D1444" s="597"/>
      <c r="E1444" s="336"/>
      <c r="F1444" s="151"/>
      <c r="K1444" s="201"/>
      <c r="M1444" s="151"/>
      <c r="R1444" s="154"/>
      <c r="S1444" s="154"/>
      <c r="T1444" s="154"/>
    </row>
    <row r="1445" spans="1:20" s="149" customFormat="1" ht="18" customHeight="1" x14ac:dyDescent="0.25">
      <c r="A1445" s="335"/>
      <c r="B1445" s="203"/>
      <c r="C1445" s="461"/>
      <c r="D1445" s="597"/>
      <c r="E1445" s="336"/>
      <c r="F1445" s="151"/>
      <c r="K1445" s="201"/>
      <c r="M1445" s="151"/>
      <c r="R1445" s="154"/>
      <c r="S1445" s="154"/>
      <c r="T1445" s="154"/>
    </row>
    <row r="1446" spans="1:20" s="149" customFormat="1" ht="18" customHeight="1" x14ac:dyDescent="0.25">
      <c r="A1446" s="335"/>
      <c r="B1446" s="203"/>
      <c r="C1446" s="461"/>
      <c r="D1446" s="597"/>
      <c r="E1446" s="336"/>
      <c r="F1446" s="151"/>
      <c r="K1446" s="201"/>
      <c r="M1446" s="151"/>
      <c r="R1446" s="154"/>
      <c r="S1446" s="154"/>
      <c r="T1446" s="154"/>
    </row>
    <row r="1447" spans="1:20" s="149" customFormat="1" ht="18" customHeight="1" x14ac:dyDescent="0.25">
      <c r="A1447" s="335"/>
      <c r="B1447" s="203"/>
      <c r="C1447" s="461"/>
      <c r="D1447" s="597"/>
      <c r="E1447" s="336"/>
      <c r="F1447" s="151"/>
      <c r="K1447" s="201"/>
      <c r="M1447" s="151"/>
      <c r="R1447" s="154"/>
      <c r="S1447" s="154"/>
      <c r="T1447" s="154"/>
    </row>
    <row r="1448" spans="1:20" s="149" customFormat="1" ht="18" customHeight="1" x14ac:dyDescent="0.25">
      <c r="A1448" s="335"/>
      <c r="B1448" s="203"/>
      <c r="C1448" s="461"/>
      <c r="D1448" s="597"/>
      <c r="E1448" s="336"/>
      <c r="F1448" s="151"/>
      <c r="K1448" s="201"/>
      <c r="M1448" s="151"/>
      <c r="R1448" s="154"/>
      <c r="S1448" s="154"/>
      <c r="T1448" s="154"/>
    </row>
    <row r="1449" spans="1:20" s="149" customFormat="1" ht="18" customHeight="1" x14ac:dyDescent="0.25">
      <c r="A1449" s="335"/>
      <c r="B1449" s="203"/>
      <c r="C1449" s="461"/>
      <c r="D1449" s="597"/>
      <c r="E1449" s="336"/>
      <c r="F1449" s="151"/>
      <c r="K1449" s="201"/>
      <c r="M1449" s="151"/>
      <c r="R1449" s="154"/>
      <c r="S1449" s="154"/>
      <c r="T1449" s="154"/>
    </row>
    <row r="1450" spans="1:20" s="149" customFormat="1" ht="18" customHeight="1" x14ac:dyDescent="0.25">
      <c r="A1450" s="335"/>
      <c r="B1450" s="203"/>
      <c r="C1450" s="461"/>
      <c r="D1450" s="597"/>
      <c r="E1450" s="336"/>
      <c r="F1450" s="151"/>
      <c r="K1450" s="201"/>
      <c r="M1450" s="151"/>
      <c r="R1450" s="154"/>
      <c r="S1450" s="154"/>
      <c r="T1450" s="154"/>
    </row>
    <row r="1451" spans="1:20" s="149" customFormat="1" ht="18" customHeight="1" x14ac:dyDescent="0.25">
      <c r="A1451" s="335"/>
      <c r="B1451" s="203"/>
      <c r="C1451" s="461"/>
      <c r="D1451" s="597"/>
      <c r="E1451" s="336"/>
      <c r="F1451" s="151"/>
      <c r="K1451" s="201"/>
      <c r="M1451" s="151"/>
      <c r="R1451" s="154"/>
      <c r="S1451" s="154"/>
      <c r="T1451" s="154"/>
    </row>
    <row r="1452" spans="1:20" s="149" customFormat="1" ht="18" customHeight="1" x14ac:dyDescent="0.25">
      <c r="A1452" s="335"/>
      <c r="B1452" s="203"/>
      <c r="C1452" s="461"/>
      <c r="D1452" s="597"/>
      <c r="E1452" s="336"/>
      <c r="F1452" s="151"/>
      <c r="K1452" s="201"/>
      <c r="M1452" s="151"/>
      <c r="R1452" s="154"/>
      <c r="S1452" s="154"/>
      <c r="T1452" s="154"/>
    </row>
    <row r="1453" spans="1:20" s="149" customFormat="1" ht="18" customHeight="1" x14ac:dyDescent="0.25">
      <c r="A1453" s="335"/>
      <c r="B1453" s="203"/>
      <c r="C1453" s="461"/>
      <c r="D1453" s="597"/>
      <c r="E1453" s="336"/>
      <c r="F1453" s="151"/>
      <c r="K1453" s="201"/>
      <c r="M1453" s="151"/>
      <c r="R1453" s="154"/>
      <c r="S1453" s="154"/>
      <c r="T1453" s="154"/>
    </row>
    <row r="1454" spans="1:20" s="149" customFormat="1" ht="18" customHeight="1" x14ac:dyDescent="0.25">
      <c r="A1454" s="335"/>
      <c r="B1454" s="203"/>
      <c r="C1454" s="461"/>
      <c r="D1454" s="597"/>
      <c r="E1454" s="336"/>
      <c r="F1454" s="151"/>
      <c r="K1454" s="201"/>
      <c r="M1454" s="151"/>
      <c r="R1454" s="154"/>
      <c r="S1454" s="154"/>
      <c r="T1454" s="154"/>
    </row>
    <row r="1455" spans="1:20" s="149" customFormat="1" ht="18" customHeight="1" x14ac:dyDescent="0.25">
      <c r="A1455" s="335"/>
      <c r="B1455" s="203"/>
      <c r="C1455" s="461"/>
      <c r="D1455" s="597"/>
      <c r="E1455" s="336"/>
      <c r="F1455" s="151"/>
      <c r="K1455" s="201"/>
      <c r="M1455" s="151"/>
      <c r="R1455" s="154"/>
      <c r="S1455" s="154"/>
      <c r="T1455" s="154"/>
    </row>
    <row r="1456" spans="1:20" s="149" customFormat="1" ht="18" customHeight="1" x14ac:dyDescent="0.25">
      <c r="A1456" s="335"/>
      <c r="B1456" s="203"/>
      <c r="C1456" s="461"/>
      <c r="D1456" s="597"/>
      <c r="E1456" s="336"/>
      <c r="F1456" s="151"/>
      <c r="K1456" s="201"/>
      <c r="M1456" s="151"/>
      <c r="R1456" s="154"/>
      <c r="S1456" s="154"/>
      <c r="T1456" s="154"/>
    </row>
    <row r="1457" spans="1:20" s="149" customFormat="1" ht="18" customHeight="1" x14ac:dyDescent="0.25">
      <c r="A1457" s="335"/>
      <c r="B1457" s="203"/>
      <c r="C1457" s="461"/>
      <c r="D1457" s="597"/>
      <c r="E1457" s="336"/>
      <c r="F1457" s="151"/>
      <c r="K1457" s="201"/>
      <c r="M1457" s="151"/>
      <c r="R1457" s="154"/>
      <c r="S1457" s="154"/>
      <c r="T1457" s="154"/>
    </row>
    <row r="1458" spans="1:20" s="149" customFormat="1" ht="18" customHeight="1" x14ac:dyDescent="0.25">
      <c r="A1458" s="335"/>
      <c r="B1458" s="203"/>
      <c r="C1458" s="461"/>
      <c r="D1458" s="597"/>
      <c r="E1458" s="336"/>
      <c r="F1458" s="151"/>
      <c r="K1458" s="201"/>
      <c r="M1458" s="151"/>
      <c r="R1458" s="154"/>
      <c r="S1458" s="154"/>
      <c r="T1458" s="154"/>
    </row>
    <row r="1459" spans="1:20" s="149" customFormat="1" ht="18" customHeight="1" x14ac:dyDescent="0.25">
      <c r="A1459" s="335"/>
      <c r="B1459" s="203"/>
      <c r="C1459" s="461"/>
      <c r="D1459" s="597"/>
      <c r="E1459" s="336"/>
      <c r="F1459" s="151"/>
      <c r="K1459" s="201"/>
      <c r="M1459" s="151"/>
      <c r="R1459" s="154"/>
      <c r="S1459" s="154"/>
      <c r="T1459" s="154"/>
    </row>
    <row r="1460" spans="1:20" s="149" customFormat="1" ht="18" customHeight="1" x14ac:dyDescent="0.25">
      <c r="A1460" s="335"/>
      <c r="B1460" s="203"/>
      <c r="C1460" s="461"/>
      <c r="D1460" s="597"/>
      <c r="E1460" s="336"/>
      <c r="F1460" s="151"/>
      <c r="K1460" s="201"/>
      <c r="M1460" s="151"/>
      <c r="R1460" s="154"/>
      <c r="S1460" s="154"/>
      <c r="T1460" s="154"/>
    </row>
    <row r="1461" spans="1:20" s="149" customFormat="1" ht="18" customHeight="1" x14ac:dyDescent="0.25">
      <c r="A1461" s="335"/>
      <c r="B1461" s="203"/>
      <c r="C1461" s="461"/>
      <c r="D1461" s="597"/>
      <c r="E1461" s="336"/>
      <c r="F1461" s="151"/>
      <c r="K1461" s="201"/>
      <c r="M1461" s="151"/>
      <c r="R1461" s="154"/>
      <c r="S1461" s="154"/>
      <c r="T1461" s="154"/>
    </row>
    <row r="1462" spans="1:20" s="149" customFormat="1" ht="18" customHeight="1" x14ac:dyDescent="0.25">
      <c r="A1462" s="335"/>
      <c r="B1462" s="203"/>
      <c r="C1462" s="461"/>
      <c r="D1462" s="597"/>
      <c r="E1462" s="336"/>
      <c r="F1462" s="151"/>
      <c r="K1462" s="201"/>
      <c r="M1462" s="151"/>
      <c r="R1462" s="154"/>
      <c r="S1462" s="154"/>
      <c r="T1462" s="154"/>
    </row>
    <row r="1463" spans="1:20" s="149" customFormat="1" ht="18" customHeight="1" x14ac:dyDescent="0.25">
      <c r="A1463" s="335"/>
      <c r="B1463" s="203"/>
      <c r="C1463" s="461"/>
      <c r="D1463" s="597"/>
      <c r="E1463" s="336"/>
      <c r="F1463" s="151"/>
      <c r="K1463" s="201"/>
      <c r="M1463" s="151"/>
      <c r="R1463" s="154"/>
      <c r="S1463" s="154"/>
      <c r="T1463" s="154"/>
    </row>
    <row r="1464" spans="1:20" s="149" customFormat="1" ht="18" customHeight="1" x14ac:dyDescent="0.25">
      <c r="A1464" s="335"/>
      <c r="B1464" s="203"/>
      <c r="C1464" s="461"/>
      <c r="D1464" s="597"/>
      <c r="E1464" s="336"/>
      <c r="F1464" s="151"/>
      <c r="K1464" s="201"/>
      <c r="M1464" s="151"/>
      <c r="R1464" s="154"/>
      <c r="S1464" s="154"/>
      <c r="T1464" s="154"/>
    </row>
    <row r="1465" spans="1:20" s="149" customFormat="1" ht="18" customHeight="1" x14ac:dyDescent="0.25">
      <c r="A1465" s="335"/>
      <c r="B1465" s="203"/>
      <c r="C1465" s="461"/>
      <c r="D1465" s="597"/>
      <c r="E1465" s="336"/>
      <c r="F1465" s="151"/>
      <c r="K1465" s="201"/>
      <c r="M1465" s="151"/>
      <c r="R1465" s="154"/>
      <c r="S1465" s="154"/>
      <c r="T1465" s="154"/>
    </row>
    <row r="1466" spans="1:20" s="149" customFormat="1" ht="18" customHeight="1" x14ac:dyDescent="0.25">
      <c r="A1466" s="335"/>
      <c r="B1466" s="203"/>
      <c r="C1466" s="461"/>
      <c r="D1466" s="597"/>
      <c r="E1466" s="336"/>
      <c r="F1466" s="151"/>
      <c r="K1466" s="201"/>
      <c r="M1466" s="151"/>
      <c r="R1466" s="154"/>
      <c r="S1466" s="154"/>
      <c r="T1466" s="154"/>
    </row>
    <row r="1467" spans="1:20" s="149" customFormat="1" ht="18" customHeight="1" x14ac:dyDescent="0.25">
      <c r="A1467" s="335"/>
      <c r="B1467" s="203"/>
      <c r="C1467" s="461"/>
      <c r="D1467" s="597"/>
      <c r="E1467" s="336"/>
      <c r="F1467" s="151"/>
      <c r="K1467" s="201"/>
      <c r="M1467" s="151"/>
      <c r="R1467" s="154"/>
      <c r="S1467" s="154"/>
      <c r="T1467" s="154"/>
    </row>
    <row r="1468" spans="1:20" s="149" customFormat="1" ht="18" customHeight="1" x14ac:dyDescent="0.25">
      <c r="A1468" s="335"/>
      <c r="B1468" s="203"/>
      <c r="C1468" s="461"/>
      <c r="D1468" s="597"/>
      <c r="E1468" s="336"/>
      <c r="F1468" s="151"/>
      <c r="K1468" s="201"/>
      <c r="M1468" s="151"/>
      <c r="R1468" s="154"/>
      <c r="S1468" s="154"/>
      <c r="T1468" s="154"/>
    </row>
    <row r="1469" spans="1:20" s="149" customFormat="1" ht="18" customHeight="1" x14ac:dyDescent="0.25">
      <c r="A1469" s="335"/>
      <c r="B1469" s="203"/>
      <c r="C1469" s="461"/>
      <c r="D1469" s="597"/>
      <c r="E1469" s="336"/>
      <c r="F1469" s="151"/>
      <c r="K1469" s="201"/>
      <c r="M1469" s="151"/>
      <c r="R1469" s="154"/>
      <c r="S1469" s="154"/>
      <c r="T1469" s="154"/>
    </row>
    <row r="1470" spans="1:20" s="149" customFormat="1" ht="18" customHeight="1" x14ac:dyDescent="0.25">
      <c r="A1470" s="335"/>
      <c r="B1470" s="203"/>
      <c r="C1470" s="461"/>
      <c r="D1470" s="597"/>
      <c r="E1470" s="336"/>
      <c r="F1470" s="151"/>
      <c r="K1470" s="201"/>
      <c r="M1470" s="151"/>
      <c r="R1470" s="154"/>
      <c r="S1470" s="154"/>
      <c r="T1470" s="154"/>
    </row>
    <row r="1471" spans="1:20" s="149" customFormat="1" ht="18" customHeight="1" x14ac:dyDescent="0.25">
      <c r="A1471" s="335"/>
      <c r="B1471" s="203"/>
      <c r="C1471" s="461"/>
      <c r="D1471" s="597"/>
      <c r="E1471" s="336"/>
      <c r="F1471" s="151"/>
      <c r="K1471" s="201"/>
      <c r="M1471" s="151"/>
      <c r="R1471" s="154"/>
      <c r="S1471" s="154"/>
      <c r="T1471" s="154"/>
    </row>
    <row r="1472" spans="1:20" s="149" customFormat="1" ht="18" customHeight="1" x14ac:dyDescent="0.25">
      <c r="A1472" s="335"/>
      <c r="B1472" s="203"/>
      <c r="C1472" s="461"/>
      <c r="D1472" s="597"/>
      <c r="E1472" s="336"/>
      <c r="F1472" s="151"/>
      <c r="K1472" s="201"/>
      <c r="M1472" s="151"/>
      <c r="R1472" s="154"/>
      <c r="S1472" s="154"/>
      <c r="T1472" s="154"/>
    </row>
    <row r="1473" spans="1:20" s="149" customFormat="1" ht="18" customHeight="1" x14ac:dyDescent="0.25">
      <c r="A1473" s="335"/>
      <c r="B1473" s="203"/>
      <c r="C1473" s="461"/>
      <c r="D1473" s="597"/>
      <c r="E1473" s="336"/>
      <c r="F1473" s="151"/>
      <c r="K1473" s="201"/>
      <c r="M1473" s="151"/>
      <c r="R1473" s="154"/>
      <c r="S1473" s="154"/>
      <c r="T1473" s="154"/>
    </row>
    <row r="1474" spans="1:20" s="149" customFormat="1" ht="18" customHeight="1" x14ac:dyDescent="0.25">
      <c r="A1474" s="335"/>
      <c r="B1474" s="203"/>
      <c r="C1474" s="461"/>
      <c r="D1474" s="597"/>
      <c r="E1474" s="336"/>
      <c r="F1474" s="151"/>
      <c r="K1474" s="201"/>
      <c r="M1474" s="151"/>
      <c r="R1474" s="154"/>
      <c r="S1474" s="154"/>
      <c r="T1474" s="154"/>
    </row>
    <row r="1475" spans="1:20" s="149" customFormat="1" ht="18" customHeight="1" x14ac:dyDescent="0.25">
      <c r="A1475" s="335"/>
      <c r="B1475" s="203"/>
      <c r="C1475" s="461"/>
      <c r="D1475" s="597"/>
      <c r="E1475" s="336"/>
      <c r="F1475" s="151"/>
      <c r="K1475" s="201"/>
      <c r="M1475" s="151"/>
      <c r="R1475" s="154"/>
      <c r="S1475" s="154"/>
      <c r="T1475" s="154"/>
    </row>
    <row r="1476" spans="1:20" s="149" customFormat="1" ht="18" customHeight="1" x14ac:dyDescent="0.25">
      <c r="A1476" s="335"/>
      <c r="B1476" s="203"/>
      <c r="C1476" s="461"/>
      <c r="D1476" s="597"/>
      <c r="E1476" s="336"/>
      <c r="F1476" s="151"/>
      <c r="K1476" s="201"/>
      <c r="M1476" s="151"/>
      <c r="R1476" s="154"/>
      <c r="S1476" s="154"/>
      <c r="T1476" s="154"/>
    </row>
    <row r="1477" spans="1:20" s="149" customFormat="1" ht="18" customHeight="1" x14ac:dyDescent="0.25">
      <c r="A1477" s="335"/>
      <c r="B1477" s="203"/>
      <c r="C1477" s="461"/>
      <c r="D1477" s="597"/>
      <c r="E1477" s="336"/>
      <c r="F1477" s="151"/>
      <c r="K1477" s="201"/>
      <c r="M1477" s="151"/>
      <c r="R1477" s="154"/>
      <c r="S1477" s="154"/>
      <c r="T1477" s="154"/>
    </row>
    <row r="1478" spans="1:20" s="149" customFormat="1" ht="18" customHeight="1" x14ac:dyDescent="0.25">
      <c r="A1478" s="335"/>
      <c r="B1478" s="203"/>
      <c r="C1478" s="461"/>
      <c r="D1478" s="597"/>
      <c r="E1478" s="336"/>
      <c r="F1478" s="151"/>
      <c r="K1478" s="201"/>
      <c r="M1478" s="151"/>
      <c r="R1478" s="154"/>
      <c r="S1478" s="154"/>
      <c r="T1478" s="154"/>
    </row>
    <row r="1479" spans="1:20" s="149" customFormat="1" ht="18" customHeight="1" x14ac:dyDescent="0.25">
      <c r="A1479" s="335"/>
      <c r="B1479" s="203"/>
      <c r="C1479" s="461"/>
      <c r="D1479" s="597"/>
      <c r="E1479" s="336"/>
      <c r="F1479" s="151"/>
      <c r="K1479" s="201"/>
      <c r="M1479" s="151"/>
      <c r="R1479" s="154"/>
      <c r="S1479" s="154"/>
      <c r="T1479" s="154"/>
    </row>
    <row r="1480" spans="1:20" s="149" customFormat="1" ht="18" customHeight="1" x14ac:dyDescent="0.25">
      <c r="A1480" s="335"/>
      <c r="B1480" s="203"/>
      <c r="C1480" s="461"/>
      <c r="D1480" s="597"/>
      <c r="E1480" s="336"/>
      <c r="F1480" s="151"/>
      <c r="K1480" s="201"/>
      <c r="M1480" s="151"/>
      <c r="R1480" s="154"/>
      <c r="S1480" s="154"/>
      <c r="T1480" s="154"/>
    </row>
    <row r="1481" spans="1:20" s="149" customFormat="1" ht="18" customHeight="1" x14ac:dyDescent="0.25">
      <c r="A1481" s="335"/>
      <c r="B1481" s="203"/>
      <c r="C1481" s="461"/>
      <c r="D1481" s="597"/>
      <c r="E1481" s="336"/>
      <c r="F1481" s="151"/>
      <c r="K1481" s="201"/>
      <c r="M1481" s="151"/>
      <c r="R1481" s="154"/>
      <c r="S1481" s="154"/>
      <c r="T1481" s="154"/>
    </row>
    <row r="1482" spans="1:20" s="149" customFormat="1" ht="18" customHeight="1" x14ac:dyDescent="0.25">
      <c r="A1482" s="335"/>
      <c r="B1482" s="203"/>
      <c r="C1482" s="461"/>
      <c r="D1482" s="597"/>
      <c r="E1482" s="336"/>
      <c r="F1482" s="151"/>
      <c r="K1482" s="201"/>
      <c r="M1482" s="151"/>
      <c r="R1482" s="154"/>
      <c r="S1482" s="154"/>
      <c r="T1482" s="154"/>
    </row>
    <row r="1483" spans="1:20" s="149" customFormat="1" ht="18" customHeight="1" x14ac:dyDescent="0.25">
      <c r="A1483" s="335"/>
      <c r="B1483" s="203"/>
      <c r="C1483" s="461"/>
      <c r="D1483" s="597"/>
      <c r="E1483" s="336"/>
      <c r="F1483" s="151"/>
      <c r="K1483" s="201"/>
      <c r="M1483" s="151"/>
      <c r="R1483" s="154"/>
      <c r="S1483" s="154"/>
      <c r="T1483" s="154"/>
    </row>
    <row r="1484" spans="1:20" s="149" customFormat="1" ht="18" customHeight="1" x14ac:dyDescent="0.25">
      <c r="A1484" s="335"/>
      <c r="B1484" s="203"/>
      <c r="C1484" s="461"/>
      <c r="D1484" s="597"/>
      <c r="E1484" s="336"/>
      <c r="F1484" s="151"/>
      <c r="K1484" s="201"/>
      <c r="M1484" s="151"/>
      <c r="R1484" s="154"/>
      <c r="S1484" s="154"/>
      <c r="T1484" s="154"/>
    </row>
    <row r="1485" spans="1:20" s="149" customFormat="1" ht="18" customHeight="1" x14ac:dyDescent="0.25">
      <c r="A1485" s="335"/>
      <c r="B1485" s="203"/>
      <c r="C1485" s="461"/>
      <c r="D1485" s="597"/>
      <c r="E1485" s="336"/>
      <c r="F1485" s="151"/>
      <c r="K1485" s="201"/>
      <c r="M1485" s="151"/>
      <c r="R1485" s="154"/>
      <c r="S1485" s="154"/>
      <c r="T1485" s="154"/>
    </row>
    <row r="1486" spans="1:20" s="149" customFormat="1" ht="18" customHeight="1" x14ac:dyDescent="0.25">
      <c r="A1486" s="335"/>
      <c r="B1486" s="203"/>
      <c r="C1486" s="461"/>
      <c r="D1486" s="597"/>
      <c r="E1486" s="336"/>
      <c r="F1486" s="151"/>
      <c r="K1486" s="201"/>
      <c r="M1486" s="151"/>
      <c r="R1486" s="154"/>
      <c r="S1486" s="154"/>
      <c r="T1486" s="154"/>
    </row>
    <row r="1487" spans="1:20" s="149" customFormat="1" ht="18" customHeight="1" x14ac:dyDescent="0.25">
      <c r="A1487" s="335"/>
      <c r="B1487" s="203"/>
      <c r="C1487" s="461"/>
      <c r="D1487" s="597"/>
      <c r="E1487" s="336"/>
      <c r="F1487" s="151"/>
      <c r="K1487" s="201"/>
      <c r="M1487" s="151"/>
      <c r="R1487" s="154"/>
      <c r="S1487" s="154"/>
      <c r="T1487" s="154"/>
    </row>
    <row r="1488" spans="1:20" s="149" customFormat="1" ht="18" customHeight="1" x14ac:dyDescent="0.25">
      <c r="A1488" s="335"/>
      <c r="B1488" s="203"/>
      <c r="C1488" s="461"/>
      <c r="D1488" s="597"/>
      <c r="E1488" s="336"/>
      <c r="F1488" s="151"/>
      <c r="K1488" s="201"/>
      <c r="M1488" s="151"/>
      <c r="R1488" s="154"/>
      <c r="S1488" s="154"/>
      <c r="T1488" s="154"/>
    </row>
    <row r="1489" spans="1:20" s="149" customFormat="1" ht="18" customHeight="1" x14ac:dyDescent="0.25">
      <c r="A1489" s="335"/>
      <c r="B1489" s="203"/>
      <c r="C1489" s="461"/>
      <c r="D1489" s="597"/>
      <c r="E1489" s="336"/>
      <c r="F1489" s="151"/>
      <c r="K1489" s="201"/>
      <c r="M1489" s="151"/>
      <c r="R1489" s="154"/>
      <c r="S1489" s="154"/>
      <c r="T1489" s="154"/>
    </row>
    <row r="1490" spans="1:20" s="149" customFormat="1" ht="18" customHeight="1" x14ac:dyDescent="0.25">
      <c r="A1490" s="335"/>
      <c r="B1490" s="203"/>
      <c r="C1490" s="461"/>
      <c r="D1490" s="597"/>
      <c r="E1490" s="336"/>
      <c r="F1490" s="151"/>
      <c r="K1490" s="201"/>
      <c r="M1490" s="151"/>
      <c r="R1490" s="154"/>
      <c r="S1490" s="154"/>
      <c r="T1490" s="154"/>
    </row>
    <row r="1491" spans="1:20" s="149" customFormat="1" ht="18" customHeight="1" x14ac:dyDescent="0.25">
      <c r="A1491" s="335"/>
      <c r="B1491" s="203"/>
      <c r="C1491" s="461"/>
      <c r="D1491" s="597"/>
      <c r="E1491" s="336"/>
      <c r="F1491" s="151"/>
      <c r="K1491" s="201"/>
      <c r="M1491" s="151"/>
      <c r="R1491" s="154"/>
      <c r="S1491" s="154"/>
      <c r="T1491" s="154"/>
    </row>
    <row r="1492" spans="1:20" s="149" customFormat="1" ht="18" customHeight="1" x14ac:dyDescent="0.25">
      <c r="A1492" s="335"/>
      <c r="B1492" s="203"/>
      <c r="C1492" s="461"/>
      <c r="D1492" s="597"/>
      <c r="E1492" s="336"/>
      <c r="F1492" s="151"/>
      <c r="K1492" s="201"/>
      <c r="M1492" s="151"/>
      <c r="R1492" s="154"/>
      <c r="S1492" s="154"/>
      <c r="T1492" s="154"/>
    </row>
    <row r="1493" spans="1:20" s="149" customFormat="1" ht="18" customHeight="1" x14ac:dyDescent="0.25">
      <c r="A1493" s="335"/>
      <c r="B1493" s="203"/>
      <c r="C1493" s="461"/>
      <c r="D1493" s="597"/>
      <c r="E1493" s="336"/>
      <c r="F1493" s="151"/>
      <c r="K1493" s="201"/>
      <c r="M1493" s="151"/>
      <c r="R1493" s="154"/>
      <c r="S1493" s="154"/>
      <c r="T1493" s="154"/>
    </row>
    <row r="1494" spans="1:20" s="149" customFormat="1" ht="18" customHeight="1" x14ac:dyDescent="0.25">
      <c r="A1494" s="335"/>
      <c r="B1494" s="203"/>
      <c r="C1494" s="461"/>
      <c r="D1494" s="597"/>
      <c r="E1494" s="336"/>
      <c r="F1494" s="151"/>
      <c r="K1494" s="201"/>
      <c r="M1494" s="151"/>
      <c r="R1494" s="154"/>
      <c r="S1494" s="154"/>
      <c r="T1494" s="154"/>
    </row>
    <row r="1495" spans="1:20" s="149" customFormat="1" ht="18" customHeight="1" x14ac:dyDescent="0.25">
      <c r="A1495" s="335"/>
      <c r="B1495" s="203"/>
      <c r="C1495" s="461"/>
      <c r="D1495" s="597"/>
      <c r="E1495" s="336"/>
      <c r="F1495" s="151"/>
      <c r="K1495" s="201"/>
      <c r="M1495" s="151"/>
      <c r="R1495" s="154"/>
      <c r="S1495" s="154"/>
      <c r="T1495" s="154"/>
    </row>
    <row r="1496" spans="1:20" s="149" customFormat="1" ht="18" customHeight="1" x14ac:dyDescent="0.25">
      <c r="A1496" s="335"/>
      <c r="B1496" s="203"/>
      <c r="C1496" s="461"/>
      <c r="D1496" s="597"/>
      <c r="E1496" s="336"/>
      <c r="F1496" s="151"/>
      <c r="K1496" s="201"/>
      <c r="M1496" s="151"/>
      <c r="R1496" s="154"/>
      <c r="S1496" s="154"/>
      <c r="T1496" s="154"/>
    </row>
    <row r="1497" spans="1:20" s="149" customFormat="1" ht="18" customHeight="1" x14ac:dyDescent="0.25">
      <c r="A1497" s="335"/>
      <c r="B1497" s="203"/>
      <c r="C1497" s="461"/>
      <c r="D1497" s="597"/>
      <c r="E1497" s="336"/>
      <c r="F1497" s="151"/>
      <c r="K1497" s="201"/>
      <c r="M1497" s="151"/>
      <c r="R1497" s="154"/>
      <c r="S1497" s="154"/>
      <c r="T1497" s="154"/>
    </row>
    <row r="1498" spans="1:20" s="149" customFormat="1" ht="18" customHeight="1" x14ac:dyDescent="0.25">
      <c r="A1498" s="335"/>
      <c r="B1498" s="203"/>
      <c r="C1498" s="461"/>
      <c r="D1498" s="597"/>
      <c r="E1498" s="336"/>
      <c r="F1498" s="151"/>
      <c r="K1498" s="201"/>
      <c r="M1498" s="151"/>
      <c r="R1498" s="154"/>
      <c r="S1498" s="154"/>
      <c r="T1498" s="154"/>
    </row>
    <row r="1499" spans="1:20" s="149" customFormat="1" ht="18" customHeight="1" x14ac:dyDescent="0.25">
      <c r="A1499" s="335"/>
      <c r="B1499" s="203"/>
      <c r="C1499" s="461"/>
      <c r="D1499" s="597"/>
      <c r="E1499" s="336"/>
      <c r="F1499" s="151"/>
      <c r="K1499" s="201"/>
      <c r="M1499" s="151"/>
      <c r="R1499" s="154"/>
      <c r="S1499" s="154"/>
      <c r="T1499" s="154"/>
    </row>
    <row r="1500" spans="1:20" s="149" customFormat="1" ht="18" customHeight="1" x14ac:dyDescent="0.25">
      <c r="A1500" s="335"/>
      <c r="B1500" s="203"/>
      <c r="C1500" s="461"/>
      <c r="D1500" s="597"/>
      <c r="E1500" s="336"/>
      <c r="F1500" s="151"/>
      <c r="K1500" s="201"/>
      <c r="M1500" s="151"/>
      <c r="R1500" s="154"/>
      <c r="S1500" s="154"/>
      <c r="T1500" s="154"/>
    </row>
    <row r="1501" spans="1:20" s="149" customFormat="1" ht="18" customHeight="1" x14ac:dyDescent="0.25">
      <c r="A1501" s="335"/>
      <c r="B1501" s="203"/>
      <c r="C1501" s="461"/>
      <c r="D1501" s="597"/>
      <c r="E1501" s="336"/>
      <c r="F1501" s="151"/>
      <c r="K1501" s="201"/>
      <c r="M1501" s="151"/>
      <c r="R1501" s="154"/>
      <c r="S1501" s="154"/>
      <c r="T1501" s="154"/>
    </row>
    <row r="1502" spans="1:20" s="149" customFormat="1" ht="18" customHeight="1" x14ac:dyDescent="0.25">
      <c r="A1502" s="335"/>
      <c r="B1502" s="203"/>
      <c r="C1502" s="461"/>
      <c r="D1502" s="597"/>
      <c r="E1502" s="336"/>
      <c r="F1502" s="151"/>
      <c r="K1502" s="201"/>
      <c r="M1502" s="151"/>
      <c r="R1502" s="154"/>
      <c r="S1502" s="154"/>
      <c r="T1502" s="154"/>
    </row>
    <row r="1503" spans="1:20" s="149" customFormat="1" ht="18" customHeight="1" x14ac:dyDescent="0.25">
      <c r="A1503" s="335"/>
      <c r="B1503" s="203"/>
      <c r="C1503" s="461"/>
      <c r="D1503" s="597"/>
      <c r="E1503" s="336"/>
      <c r="F1503" s="151"/>
      <c r="K1503" s="201"/>
      <c r="M1503" s="151"/>
      <c r="R1503" s="154"/>
      <c r="S1503" s="154"/>
      <c r="T1503" s="154"/>
    </row>
    <row r="1504" spans="1:20" s="149" customFormat="1" ht="18" customHeight="1" x14ac:dyDescent="0.25">
      <c r="A1504" s="335"/>
      <c r="B1504" s="203"/>
      <c r="C1504" s="461"/>
      <c r="D1504" s="597"/>
      <c r="E1504" s="336"/>
      <c r="F1504" s="151"/>
      <c r="K1504" s="201"/>
      <c r="M1504" s="151"/>
      <c r="R1504" s="154"/>
      <c r="S1504" s="154"/>
      <c r="T1504" s="154"/>
    </row>
    <row r="1505" spans="1:20" s="149" customFormat="1" ht="18" customHeight="1" x14ac:dyDescent="0.25">
      <c r="A1505" s="335"/>
      <c r="B1505" s="203"/>
      <c r="C1505" s="461"/>
      <c r="D1505" s="597"/>
      <c r="E1505" s="336"/>
      <c r="F1505" s="151"/>
      <c r="K1505" s="201"/>
      <c r="M1505" s="151"/>
      <c r="R1505" s="154"/>
      <c r="S1505" s="154"/>
      <c r="T1505" s="154"/>
    </row>
    <row r="1506" spans="1:20" s="149" customFormat="1" ht="18" customHeight="1" x14ac:dyDescent="0.25">
      <c r="A1506" s="335"/>
      <c r="B1506" s="203"/>
      <c r="C1506" s="461"/>
      <c r="D1506" s="597"/>
      <c r="E1506" s="336"/>
      <c r="F1506" s="151"/>
      <c r="K1506" s="201"/>
      <c r="M1506" s="151"/>
      <c r="R1506" s="154"/>
      <c r="S1506" s="154"/>
      <c r="T1506" s="154"/>
    </row>
    <row r="1507" spans="1:20" s="149" customFormat="1" ht="18" customHeight="1" x14ac:dyDescent="0.25">
      <c r="A1507" s="335"/>
      <c r="B1507" s="203"/>
      <c r="C1507" s="461"/>
      <c r="D1507" s="597"/>
      <c r="E1507" s="336"/>
      <c r="F1507" s="151"/>
      <c r="K1507" s="201"/>
      <c r="M1507" s="151"/>
      <c r="R1507" s="154"/>
      <c r="S1507" s="154"/>
      <c r="T1507" s="154"/>
    </row>
    <row r="1508" spans="1:20" s="149" customFormat="1" ht="18" customHeight="1" x14ac:dyDescent="0.25">
      <c r="A1508" s="335"/>
      <c r="B1508" s="203"/>
      <c r="C1508" s="461"/>
      <c r="D1508" s="597"/>
      <c r="E1508" s="336"/>
      <c r="F1508" s="151"/>
      <c r="K1508" s="201"/>
      <c r="M1508" s="151"/>
      <c r="R1508" s="154"/>
      <c r="S1508" s="154"/>
      <c r="T1508" s="154"/>
    </row>
    <row r="1509" spans="1:20" s="149" customFormat="1" ht="18" customHeight="1" x14ac:dyDescent="0.25">
      <c r="A1509" s="335"/>
      <c r="B1509" s="203"/>
      <c r="C1509" s="461"/>
      <c r="D1509" s="597"/>
      <c r="E1509" s="336"/>
      <c r="F1509" s="151"/>
      <c r="K1509" s="201"/>
      <c r="M1509" s="151"/>
      <c r="R1509" s="154"/>
      <c r="S1509" s="154"/>
      <c r="T1509" s="154"/>
    </row>
    <row r="1510" spans="1:20" s="149" customFormat="1" ht="18" customHeight="1" x14ac:dyDescent="0.25">
      <c r="A1510" s="335"/>
      <c r="B1510" s="203"/>
      <c r="C1510" s="461"/>
      <c r="D1510" s="597"/>
      <c r="E1510" s="336"/>
      <c r="F1510" s="151"/>
      <c r="K1510" s="201"/>
      <c r="M1510" s="151"/>
      <c r="R1510" s="154"/>
      <c r="S1510" s="154"/>
      <c r="T1510" s="154"/>
    </row>
    <row r="1511" spans="1:20" s="149" customFormat="1" ht="18" customHeight="1" x14ac:dyDescent="0.25">
      <c r="A1511" s="335"/>
      <c r="B1511" s="203"/>
      <c r="C1511" s="461"/>
      <c r="D1511" s="597"/>
      <c r="E1511" s="336"/>
      <c r="F1511" s="151"/>
      <c r="K1511" s="201"/>
      <c r="M1511" s="151"/>
      <c r="R1511" s="154"/>
      <c r="S1511" s="154"/>
      <c r="T1511" s="154"/>
    </row>
    <row r="1512" spans="1:20" s="149" customFormat="1" ht="18" customHeight="1" x14ac:dyDescent="0.25">
      <c r="A1512" s="335"/>
      <c r="B1512" s="203"/>
      <c r="C1512" s="461"/>
      <c r="D1512" s="597"/>
      <c r="E1512" s="336"/>
      <c r="F1512" s="151"/>
      <c r="K1512" s="201"/>
      <c r="M1512" s="151"/>
      <c r="R1512" s="154"/>
      <c r="S1512" s="154"/>
      <c r="T1512" s="154"/>
    </row>
    <row r="1513" spans="1:20" s="149" customFormat="1" ht="18" customHeight="1" x14ac:dyDescent="0.25">
      <c r="A1513" s="335"/>
      <c r="B1513" s="203"/>
      <c r="C1513" s="461"/>
      <c r="D1513" s="597"/>
      <c r="E1513" s="336"/>
      <c r="F1513" s="151"/>
      <c r="K1513" s="201"/>
      <c r="M1513" s="151"/>
      <c r="R1513" s="154"/>
      <c r="S1513" s="154"/>
      <c r="T1513" s="154"/>
    </row>
    <row r="1514" spans="1:20" s="149" customFormat="1" ht="18" customHeight="1" x14ac:dyDescent="0.25">
      <c r="A1514" s="335"/>
      <c r="B1514" s="203"/>
      <c r="C1514" s="461"/>
      <c r="D1514" s="597"/>
      <c r="E1514" s="336"/>
      <c r="F1514" s="151"/>
      <c r="K1514" s="201"/>
      <c r="M1514" s="151"/>
      <c r="R1514" s="154"/>
      <c r="S1514" s="154"/>
      <c r="T1514" s="154"/>
    </row>
    <row r="1515" spans="1:20" s="149" customFormat="1" ht="18" customHeight="1" x14ac:dyDescent="0.25">
      <c r="A1515" s="335"/>
      <c r="B1515" s="203"/>
      <c r="C1515" s="461"/>
      <c r="D1515" s="597"/>
      <c r="E1515" s="336"/>
      <c r="F1515" s="151"/>
      <c r="K1515" s="201"/>
      <c r="M1515" s="151"/>
      <c r="R1515" s="154"/>
      <c r="S1515" s="154"/>
      <c r="T1515" s="154"/>
    </row>
    <row r="1516" spans="1:20" s="149" customFormat="1" ht="18" customHeight="1" x14ac:dyDescent="0.25">
      <c r="A1516" s="335"/>
      <c r="B1516" s="203"/>
      <c r="C1516" s="461"/>
      <c r="D1516" s="597"/>
      <c r="E1516" s="336"/>
      <c r="F1516" s="151"/>
      <c r="K1516" s="201"/>
      <c r="M1516" s="151"/>
      <c r="R1516" s="154"/>
      <c r="S1516" s="154"/>
      <c r="T1516" s="154"/>
    </row>
    <row r="1517" spans="1:20" s="149" customFormat="1" ht="18" customHeight="1" x14ac:dyDescent="0.25">
      <c r="A1517" s="335"/>
      <c r="B1517" s="203"/>
      <c r="C1517" s="461"/>
      <c r="D1517" s="597"/>
      <c r="E1517" s="336"/>
      <c r="F1517" s="151"/>
      <c r="K1517" s="201"/>
      <c r="M1517" s="151"/>
      <c r="R1517" s="154"/>
      <c r="S1517" s="154"/>
      <c r="T1517" s="154"/>
    </row>
    <row r="1518" spans="1:20" s="149" customFormat="1" ht="18" customHeight="1" x14ac:dyDescent="0.25">
      <c r="A1518" s="335"/>
      <c r="B1518" s="203"/>
      <c r="C1518" s="461"/>
      <c r="D1518" s="597"/>
      <c r="E1518" s="336"/>
      <c r="F1518" s="151"/>
      <c r="K1518" s="201"/>
      <c r="M1518" s="151"/>
      <c r="R1518" s="154"/>
      <c r="S1518" s="154"/>
      <c r="T1518" s="154"/>
    </row>
    <row r="1519" spans="1:20" s="149" customFormat="1" ht="18" customHeight="1" x14ac:dyDescent="0.25">
      <c r="A1519" s="335"/>
      <c r="B1519" s="203"/>
      <c r="C1519" s="461"/>
      <c r="D1519" s="597"/>
      <c r="E1519" s="336"/>
      <c r="F1519" s="151"/>
      <c r="K1519" s="201"/>
      <c r="M1519" s="151"/>
      <c r="R1519" s="154"/>
      <c r="S1519" s="154"/>
      <c r="T1519" s="154"/>
    </row>
    <row r="1520" spans="1:20" s="149" customFormat="1" ht="18" customHeight="1" x14ac:dyDescent="0.25">
      <c r="A1520" s="335"/>
      <c r="B1520" s="203"/>
      <c r="C1520" s="461"/>
      <c r="D1520" s="597"/>
      <c r="E1520" s="336"/>
      <c r="F1520" s="151"/>
      <c r="K1520" s="201"/>
      <c r="M1520" s="151"/>
      <c r="R1520" s="154"/>
      <c r="S1520" s="154"/>
      <c r="T1520" s="154"/>
    </row>
    <row r="1521" spans="1:20" s="149" customFormat="1" ht="18" customHeight="1" x14ac:dyDescent="0.25">
      <c r="A1521" s="335"/>
      <c r="B1521" s="203"/>
      <c r="C1521" s="461"/>
      <c r="D1521" s="597"/>
      <c r="E1521" s="336"/>
      <c r="F1521" s="151"/>
      <c r="K1521" s="201"/>
      <c r="M1521" s="151"/>
      <c r="R1521" s="154"/>
      <c r="S1521" s="154"/>
      <c r="T1521" s="154"/>
    </row>
    <row r="1522" spans="1:20" s="149" customFormat="1" ht="18" customHeight="1" x14ac:dyDescent="0.25">
      <c r="A1522" s="335"/>
      <c r="B1522" s="203"/>
      <c r="C1522" s="461"/>
      <c r="D1522" s="597"/>
      <c r="E1522" s="336"/>
      <c r="F1522" s="151"/>
      <c r="K1522" s="201"/>
      <c r="M1522" s="151"/>
      <c r="R1522" s="154"/>
      <c r="S1522" s="154"/>
      <c r="T1522" s="154"/>
    </row>
    <row r="1523" spans="1:20" s="149" customFormat="1" ht="18" customHeight="1" x14ac:dyDescent="0.25">
      <c r="A1523" s="335"/>
      <c r="B1523" s="203"/>
      <c r="C1523" s="461"/>
      <c r="D1523" s="597"/>
      <c r="E1523" s="336"/>
      <c r="F1523" s="151"/>
      <c r="K1523" s="201"/>
      <c r="M1523" s="151"/>
      <c r="R1523" s="154"/>
      <c r="S1523" s="154"/>
      <c r="T1523" s="154"/>
    </row>
    <row r="1524" spans="1:20" s="149" customFormat="1" ht="18" customHeight="1" x14ac:dyDescent="0.25">
      <c r="A1524" s="335"/>
      <c r="B1524" s="203"/>
      <c r="C1524" s="461"/>
      <c r="D1524" s="597"/>
      <c r="E1524" s="336"/>
      <c r="F1524" s="151"/>
      <c r="K1524" s="201"/>
      <c r="M1524" s="151"/>
      <c r="R1524" s="154"/>
      <c r="S1524" s="154"/>
      <c r="T1524" s="154"/>
    </row>
    <row r="1525" spans="1:20" s="149" customFormat="1" ht="18" customHeight="1" x14ac:dyDescent="0.25">
      <c r="A1525" s="335"/>
      <c r="B1525" s="203"/>
      <c r="C1525" s="461"/>
      <c r="D1525" s="597"/>
      <c r="E1525" s="336"/>
      <c r="F1525" s="151"/>
      <c r="K1525" s="201"/>
      <c r="M1525" s="151"/>
      <c r="R1525" s="154"/>
      <c r="S1525" s="154"/>
      <c r="T1525" s="154"/>
    </row>
    <row r="1526" spans="1:20" s="149" customFormat="1" ht="18" customHeight="1" x14ac:dyDescent="0.25">
      <c r="A1526" s="335"/>
      <c r="B1526" s="203"/>
      <c r="C1526" s="461"/>
      <c r="D1526" s="597"/>
      <c r="E1526" s="336"/>
      <c r="F1526" s="151"/>
      <c r="K1526" s="201"/>
      <c r="M1526" s="151"/>
      <c r="R1526" s="154"/>
      <c r="S1526" s="154"/>
      <c r="T1526" s="154"/>
    </row>
    <row r="1527" spans="1:20" s="149" customFormat="1" ht="18" customHeight="1" x14ac:dyDescent="0.25">
      <c r="A1527" s="335"/>
      <c r="B1527" s="203"/>
      <c r="C1527" s="461"/>
      <c r="D1527" s="597"/>
      <c r="E1527" s="336"/>
      <c r="F1527" s="151"/>
      <c r="K1527" s="201"/>
      <c r="M1527" s="151"/>
      <c r="R1527" s="154"/>
      <c r="S1527" s="154"/>
      <c r="T1527" s="154"/>
    </row>
    <row r="1528" spans="1:20" s="149" customFormat="1" ht="18" customHeight="1" x14ac:dyDescent="0.25">
      <c r="A1528" s="335"/>
      <c r="B1528" s="203"/>
      <c r="C1528" s="461"/>
      <c r="D1528" s="597"/>
      <c r="E1528" s="336"/>
      <c r="F1528" s="151"/>
      <c r="K1528" s="201"/>
      <c r="M1528" s="151"/>
      <c r="R1528" s="154"/>
      <c r="S1528" s="154"/>
      <c r="T1528" s="154"/>
    </row>
    <row r="1529" spans="1:20" s="149" customFormat="1" ht="18" customHeight="1" x14ac:dyDescent="0.25">
      <c r="A1529" s="335"/>
      <c r="B1529" s="203"/>
      <c r="C1529" s="461"/>
      <c r="D1529" s="597"/>
      <c r="E1529" s="336"/>
      <c r="F1529" s="151"/>
      <c r="K1529" s="201"/>
      <c r="M1529" s="151"/>
      <c r="R1529" s="154"/>
      <c r="S1529" s="154"/>
      <c r="T1529" s="154"/>
    </row>
    <row r="1530" spans="1:20" s="149" customFormat="1" ht="18" customHeight="1" x14ac:dyDescent="0.25">
      <c r="A1530" s="335"/>
      <c r="B1530" s="203"/>
      <c r="C1530" s="461"/>
      <c r="D1530" s="597"/>
      <c r="E1530" s="336"/>
      <c r="F1530" s="151"/>
      <c r="K1530" s="201"/>
      <c r="M1530" s="151"/>
      <c r="R1530" s="154"/>
      <c r="S1530" s="154"/>
      <c r="T1530" s="154"/>
    </row>
    <row r="1531" spans="1:20" s="149" customFormat="1" ht="18" customHeight="1" x14ac:dyDescent="0.25">
      <c r="A1531" s="335"/>
      <c r="B1531" s="203"/>
      <c r="C1531" s="461"/>
      <c r="D1531" s="597"/>
      <c r="E1531" s="336"/>
      <c r="F1531" s="151"/>
      <c r="K1531" s="201"/>
      <c r="M1531" s="151"/>
      <c r="R1531" s="154"/>
      <c r="S1531" s="154"/>
      <c r="T1531" s="154"/>
    </row>
    <row r="1532" spans="1:20" s="149" customFormat="1" ht="18" customHeight="1" x14ac:dyDescent="0.25">
      <c r="A1532" s="335"/>
      <c r="B1532" s="203"/>
      <c r="C1532" s="461"/>
      <c r="D1532" s="597"/>
      <c r="E1532" s="336"/>
      <c r="F1532" s="151"/>
      <c r="K1532" s="201"/>
      <c r="M1532" s="151"/>
      <c r="R1532" s="154"/>
      <c r="S1532" s="154"/>
      <c r="T1532" s="154"/>
    </row>
    <row r="1533" spans="1:20" s="149" customFormat="1" ht="18" customHeight="1" x14ac:dyDescent="0.25">
      <c r="A1533" s="335"/>
      <c r="B1533" s="203"/>
      <c r="C1533" s="461"/>
      <c r="D1533" s="597"/>
      <c r="E1533" s="336"/>
      <c r="F1533" s="151"/>
      <c r="K1533" s="201"/>
      <c r="M1533" s="151"/>
      <c r="R1533" s="154"/>
      <c r="S1533" s="154"/>
      <c r="T1533" s="154"/>
    </row>
    <row r="1534" spans="1:20" s="149" customFormat="1" ht="18" customHeight="1" x14ac:dyDescent="0.25">
      <c r="A1534" s="335"/>
      <c r="B1534" s="203"/>
      <c r="C1534" s="461"/>
      <c r="D1534" s="597"/>
      <c r="E1534" s="336"/>
      <c r="F1534" s="151"/>
      <c r="K1534" s="201"/>
      <c r="M1534" s="151"/>
      <c r="R1534" s="154"/>
      <c r="S1534" s="154"/>
      <c r="T1534" s="154"/>
    </row>
    <row r="1535" spans="1:20" s="149" customFormat="1" ht="18" customHeight="1" x14ac:dyDescent="0.25">
      <c r="A1535" s="335"/>
      <c r="B1535" s="203"/>
      <c r="C1535" s="461"/>
      <c r="D1535" s="597"/>
      <c r="E1535" s="336"/>
      <c r="F1535" s="151"/>
      <c r="K1535" s="201"/>
      <c r="M1535" s="151"/>
      <c r="R1535" s="154"/>
      <c r="S1535" s="154"/>
      <c r="T1535" s="154"/>
    </row>
    <row r="1536" spans="1:20" s="149" customFormat="1" ht="18" customHeight="1" x14ac:dyDescent="0.25">
      <c r="A1536" s="335"/>
      <c r="B1536" s="203"/>
      <c r="C1536" s="461"/>
      <c r="D1536" s="597"/>
      <c r="E1536" s="336"/>
      <c r="F1536" s="151"/>
      <c r="K1536" s="201"/>
      <c r="M1536" s="151"/>
      <c r="R1536" s="154"/>
      <c r="S1536" s="154"/>
      <c r="T1536" s="154"/>
    </row>
    <row r="1537" spans="1:20" s="149" customFormat="1" ht="18" customHeight="1" x14ac:dyDescent="0.25">
      <c r="A1537" s="335"/>
      <c r="B1537" s="203"/>
      <c r="C1537" s="461"/>
      <c r="D1537" s="597"/>
      <c r="E1537" s="336"/>
      <c r="F1537" s="151"/>
      <c r="K1537" s="201"/>
      <c r="M1537" s="151"/>
      <c r="R1537" s="154"/>
      <c r="S1537" s="154"/>
      <c r="T1537" s="154"/>
    </row>
    <row r="1538" spans="1:20" s="149" customFormat="1" ht="18" customHeight="1" x14ac:dyDescent="0.25">
      <c r="A1538" s="335"/>
      <c r="B1538" s="203"/>
      <c r="C1538" s="461"/>
      <c r="D1538" s="597"/>
      <c r="E1538" s="336"/>
      <c r="F1538" s="151"/>
      <c r="K1538" s="201"/>
      <c r="M1538" s="151"/>
      <c r="R1538" s="154"/>
      <c r="S1538" s="154"/>
      <c r="T1538" s="154"/>
    </row>
    <row r="1539" spans="1:20" s="149" customFormat="1" ht="18" customHeight="1" x14ac:dyDescent="0.25">
      <c r="A1539" s="335"/>
      <c r="B1539" s="203"/>
      <c r="C1539" s="461"/>
      <c r="D1539" s="597"/>
      <c r="E1539" s="336"/>
      <c r="F1539" s="151"/>
      <c r="K1539" s="201"/>
      <c r="M1539" s="151"/>
      <c r="R1539" s="154"/>
      <c r="S1539" s="154"/>
      <c r="T1539" s="154"/>
    </row>
    <row r="1540" spans="1:20" s="149" customFormat="1" ht="18" customHeight="1" x14ac:dyDescent="0.25">
      <c r="A1540" s="335"/>
      <c r="B1540" s="203"/>
      <c r="C1540" s="461"/>
      <c r="D1540" s="597"/>
      <c r="E1540" s="336"/>
      <c r="F1540" s="151"/>
      <c r="K1540" s="201"/>
      <c r="M1540" s="151"/>
      <c r="R1540" s="154"/>
      <c r="S1540" s="154"/>
      <c r="T1540" s="154"/>
    </row>
    <row r="1541" spans="1:20" s="149" customFormat="1" ht="18" customHeight="1" x14ac:dyDescent="0.25">
      <c r="A1541" s="335"/>
      <c r="B1541" s="203"/>
      <c r="C1541" s="461"/>
      <c r="D1541" s="597"/>
      <c r="E1541" s="336"/>
      <c r="F1541" s="151"/>
      <c r="K1541" s="201"/>
      <c r="M1541" s="151"/>
      <c r="R1541" s="154"/>
      <c r="S1541" s="154"/>
      <c r="T1541" s="154"/>
    </row>
    <row r="1542" spans="1:20" s="149" customFormat="1" ht="18" customHeight="1" x14ac:dyDescent="0.25">
      <c r="A1542" s="335"/>
      <c r="B1542" s="203"/>
      <c r="C1542" s="461"/>
      <c r="D1542" s="597"/>
      <c r="E1542" s="336"/>
      <c r="F1542" s="151"/>
      <c r="K1542" s="201"/>
      <c r="M1542" s="151"/>
      <c r="R1542" s="154"/>
      <c r="S1542" s="154"/>
      <c r="T1542" s="154"/>
    </row>
    <row r="1543" spans="1:20" s="149" customFormat="1" ht="18" customHeight="1" x14ac:dyDescent="0.25">
      <c r="A1543" s="335"/>
      <c r="B1543" s="203"/>
      <c r="C1543" s="461"/>
      <c r="D1543" s="597"/>
      <c r="E1543" s="336"/>
      <c r="F1543" s="151"/>
      <c r="K1543" s="201"/>
      <c r="M1543" s="151"/>
      <c r="R1543" s="154"/>
      <c r="S1543" s="154"/>
      <c r="T1543" s="154"/>
    </row>
    <row r="1544" spans="1:20" s="149" customFormat="1" ht="18" customHeight="1" x14ac:dyDescent="0.25">
      <c r="A1544" s="335"/>
      <c r="B1544" s="203"/>
      <c r="C1544" s="461"/>
      <c r="D1544" s="597"/>
      <c r="E1544" s="336"/>
      <c r="F1544" s="151"/>
      <c r="K1544" s="201"/>
      <c r="M1544" s="151"/>
      <c r="R1544" s="154"/>
      <c r="S1544" s="154"/>
      <c r="T1544" s="154"/>
    </row>
    <row r="1545" spans="1:20" s="149" customFormat="1" ht="18" customHeight="1" x14ac:dyDescent="0.25">
      <c r="A1545" s="335"/>
      <c r="B1545" s="203"/>
      <c r="C1545" s="461"/>
      <c r="D1545" s="597"/>
      <c r="E1545" s="336"/>
      <c r="F1545" s="151"/>
      <c r="K1545" s="201"/>
      <c r="M1545" s="151"/>
      <c r="R1545" s="154"/>
      <c r="S1545" s="154"/>
      <c r="T1545" s="154"/>
    </row>
    <row r="1546" spans="1:20" s="149" customFormat="1" ht="18" customHeight="1" x14ac:dyDescent="0.25">
      <c r="A1546" s="335"/>
      <c r="B1546" s="203"/>
      <c r="C1546" s="461"/>
      <c r="D1546" s="597"/>
      <c r="E1546" s="336"/>
      <c r="F1546" s="151"/>
      <c r="K1546" s="201"/>
      <c r="M1546" s="151"/>
      <c r="R1546" s="154"/>
      <c r="S1546" s="154"/>
      <c r="T1546" s="154"/>
    </row>
    <row r="1547" spans="1:20" s="149" customFormat="1" ht="18" customHeight="1" x14ac:dyDescent="0.25">
      <c r="A1547" s="335"/>
      <c r="B1547" s="203"/>
      <c r="C1547" s="461"/>
      <c r="D1547" s="597"/>
      <c r="E1547" s="336"/>
      <c r="F1547" s="151"/>
      <c r="K1547" s="201"/>
      <c r="M1547" s="151"/>
      <c r="R1547" s="154"/>
      <c r="S1547" s="154"/>
      <c r="T1547" s="154"/>
    </row>
    <row r="1548" spans="1:20" s="149" customFormat="1" ht="18" customHeight="1" x14ac:dyDescent="0.25">
      <c r="A1548" s="335"/>
      <c r="B1548" s="203"/>
      <c r="C1548" s="461"/>
      <c r="D1548" s="597"/>
      <c r="E1548" s="336"/>
      <c r="F1548" s="151"/>
      <c r="K1548" s="201"/>
      <c r="M1548" s="151"/>
      <c r="R1548" s="154"/>
      <c r="S1548" s="154"/>
      <c r="T1548" s="154"/>
    </row>
    <row r="1549" spans="1:20" s="149" customFormat="1" ht="18" customHeight="1" x14ac:dyDescent="0.25">
      <c r="A1549" s="335"/>
      <c r="B1549" s="203"/>
      <c r="C1549" s="461"/>
      <c r="D1549" s="597"/>
      <c r="E1549" s="336"/>
      <c r="F1549" s="151"/>
      <c r="K1549" s="201"/>
      <c r="M1549" s="151"/>
      <c r="R1549" s="154"/>
      <c r="S1549" s="154"/>
      <c r="T1549" s="154"/>
    </row>
    <row r="1550" spans="1:20" s="149" customFormat="1" ht="18" customHeight="1" x14ac:dyDescent="0.25">
      <c r="A1550" s="335"/>
      <c r="B1550" s="203"/>
      <c r="C1550" s="461"/>
      <c r="D1550" s="597"/>
      <c r="E1550" s="336"/>
      <c r="F1550" s="151"/>
      <c r="K1550" s="201"/>
      <c r="M1550" s="151"/>
      <c r="R1550" s="154"/>
      <c r="S1550" s="154"/>
      <c r="T1550" s="154"/>
    </row>
    <row r="1551" spans="1:20" s="149" customFormat="1" ht="18" customHeight="1" x14ac:dyDescent="0.25">
      <c r="A1551" s="335"/>
      <c r="B1551" s="203"/>
      <c r="C1551" s="461"/>
      <c r="D1551" s="597"/>
      <c r="E1551" s="336"/>
      <c r="F1551" s="151"/>
      <c r="K1551" s="201"/>
      <c r="M1551" s="151"/>
      <c r="R1551" s="154"/>
      <c r="S1551" s="154"/>
      <c r="T1551" s="154"/>
    </row>
    <row r="1552" spans="1:20" s="149" customFormat="1" ht="18" customHeight="1" x14ac:dyDescent="0.25">
      <c r="A1552" s="335"/>
      <c r="B1552" s="203"/>
      <c r="C1552" s="461"/>
      <c r="D1552" s="597"/>
      <c r="E1552" s="336"/>
      <c r="F1552" s="151"/>
      <c r="K1552" s="201"/>
      <c r="M1552" s="151"/>
      <c r="R1552" s="154"/>
      <c r="S1552" s="154"/>
      <c r="T1552" s="154"/>
    </row>
    <row r="1553" spans="1:20" s="149" customFormat="1" ht="18" customHeight="1" x14ac:dyDescent="0.25">
      <c r="A1553" s="335"/>
      <c r="B1553" s="203"/>
      <c r="C1553" s="461"/>
      <c r="D1553" s="597"/>
      <c r="E1553" s="336"/>
      <c r="F1553" s="151"/>
      <c r="K1553" s="201"/>
      <c r="M1553" s="151"/>
      <c r="R1553" s="154"/>
      <c r="S1553" s="154"/>
      <c r="T1553" s="154"/>
    </row>
    <row r="1554" spans="1:20" s="149" customFormat="1" ht="18" customHeight="1" x14ac:dyDescent="0.25">
      <c r="A1554" s="335"/>
      <c r="B1554" s="203"/>
      <c r="C1554" s="461"/>
      <c r="D1554" s="597"/>
      <c r="E1554" s="336"/>
      <c r="F1554" s="151"/>
      <c r="K1554" s="201"/>
      <c r="M1554" s="151"/>
      <c r="R1554" s="154"/>
      <c r="S1554" s="154"/>
      <c r="T1554" s="154"/>
    </row>
    <row r="1555" spans="1:20" s="149" customFormat="1" ht="18" customHeight="1" x14ac:dyDescent="0.25">
      <c r="A1555" s="335"/>
      <c r="B1555" s="203"/>
      <c r="C1555" s="461"/>
      <c r="D1555" s="597"/>
      <c r="E1555" s="336"/>
      <c r="F1555" s="151"/>
      <c r="K1555" s="201"/>
      <c r="M1555" s="151"/>
      <c r="R1555" s="154"/>
      <c r="S1555" s="154"/>
      <c r="T1555" s="154"/>
    </row>
    <row r="1556" spans="1:20" s="149" customFormat="1" ht="18" customHeight="1" x14ac:dyDescent="0.25">
      <c r="A1556" s="335"/>
      <c r="B1556" s="203"/>
      <c r="C1556" s="461"/>
      <c r="D1556" s="597"/>
      <c r="E1556" s="336"/>
      <c r="F1556" s="151"/>
      <c r="K1556" s="201"/>
      <c r="M1556" s="151"/>
      <c r="R1556" s="154"/>
      <c r="S1556" s="154"/>
      <c r="T1556" s="154"/>
    </row>
    <row r="1557" spans="1:20" s="149" customFormat="1" ht="18" customHeight="1" x14ac:dyDescent="0.25">
      <c r="A1557" s="335"/>
      <c r="B1557" s="203"/>
      <c r="C1557" s="461"/>
      <c r="D1557" s="597"/>
      <c r="E1557" s="336"/>
      <c r="F1557" s="151"/>
      <c r="K1557" s="201"/>
      <c r="M1557" s="151"/>
      <c r="R1557" s="154"/>
      <c r="S1557" s="154"/>
      <c r="T1557" s="154"/>
    </row>
    <row r="1558" spans="1:20" s="149" customFormat="1" ht="18" customHeight="1" x14ac:dyDescent="0.25">
      <c r="A1558" s="335"/>
      <c r="B1558" s="203"/>
      <c r="C1558" s="461"/>
      <c r="D1558" s="597"/>
      <c r="E1558" s="336"/>
      <c r="F1558" s="151"/>
      <c r="K1558" s="201"/>
      <c r="M1558" s="151"/>
      <c r="R1558" s="154"/>
      <c r="S1558" s="154"/>
      <c r="T1558" s="154"/>
    </row>
    <row r="1559" spans="1:20" s="149" customFormat="1" ht="18" customHeight="1" x14ac:dyDescent="0.25">
      <c r="A1559" s="335"/>
      <c r="B1559" s="203"/>
      <c r="C1559" s="461"/>
      <c r="D1559" s="597"/>
      <c r="E1559" s="336"/>
      <c r="F1559" s="151"/>
      <c r="K1559" s="201"/>
      <c r="M1559" s="151"/>
      <c r="R1559" s="154"/>
      <c r="S1559" s="154"/>
      <c r="T1559" s="154"/>
    </row>
    <row r="1560" spans="1:20" s="149" customFormat="1" ht="18" customHeight="1" x14ac:dyDescent="0.25">
      <c r="A1560" s="335"/>
      <c r="B1560" s="203"/>
      <c r="C1560" s="461"/>
      <c r="D1560" s="597"/>
      <c r="E1560" s="336"/>
      <c r="F1560" s="151"/>
      <c r="K1560" s="201"/>
      <c r="M1560" s="151"/>
      <c r="R1560" s="154"/>
      <c r="S1560" s="154"/>
      <c r="T1560" s="154"/>
    </row>
    <row r="1561" spans="1:20" s="149" customFormat="1" ht="18" customHeight="1" x14ac:dyDescent="0.25">
      <c r="A1561" s="335"/>
      <c r="B1561" s="203"/>
      <c r="C1561" s="461"/>
      <c r="D1561" s="597"/>
      <c r="E1561" s="336"/>
      <c r="F1561" s="151"/>
      <c r="K1561" s="201"/>
      <c r="M1561" s="151"/>
      <c r="R1561" s="154"/>
      <c r="S1561" s="154"/>
      <c r="T1561" s="154"/>
    </row>
    <row r="1562" spans="1:20" s="149" customFormat="1" ht="18" customHeight="1" x14ac:dyDescent="0.25">
      <c r="A1562" s="335"/>
      <c r="B1562" s="203"/>
      <c r="C1562" s="461"/>
      <c r="D1562" s="597"/>
      <c r="E1562" s="336"/>
      <c r="F1562" s="151"/>
      <c r="K1562" s="201"/>
      <c r="M1562" s="151"/>
      <c r="R1562" s="154"/>
      <c r="S1562" s="154"/>
      <c r="T1562" s="154"/>
    </row>
    <row r="1563" spans="1:20" s="149" customFormat="1" ht="18" customHeight="1" x14ac:dyDescent="0.25">
      <c r="A1563" s="335"/>
      <c r="B1563" s="203"/>
      <c r="C1563" s="461"/>
      <c r="D1563" s="597"/>
      <c r="E1563" s="336"/>
      <c r="F1563" s="151"/>
      <c r="K1563" s="201"/>
      <c r="M1563" s="151"/>
      <c r="R1563" s="154"/>
      <c r="S1563" s="154"/>
      <c r="T1563" s="154"/>
    </row>
    <row r="1564" spans="1:20" s="149" customFormat="1" ht="18" customHeight="1" x14ac:dyDescent="0.25">
      <c r="A1564" s="335"/>
      <c r="B1564" s="203"/>
      <c r="C1564" s="461"/>
      <c r="D1564" s="597"/>
      <c r="E1564" s="336"/>
      <c r="F1564" s="151"/>
      <c r="K1564" s="201"/>
      <c r="M1564" s="151"/>
      <c r="R1564" s="154"/>
      <c r="S1564" s="154"/>
      <c r="T1564" s="154"/>
    </row>
    <row r="1565" spans="1:20" s="149" customFormat="1" ht="18" customHeight="1" x14ac:dyDescent="0.25">
      <c r="A1565" s="335"/>
      <c r="B1565" s="203"/>
      <c r="C1565" s="461"/>
      <c r="D1565" s="597"/>
      <c r="E1565" s="336"/>
      <c r="F1565" s="151"/>
      <c r="K1565" s="201"/>
      <c r="M1565" s="151"/>
      <c r="R1565" s="154"/>
      <c r="S1565" s="154"/>
      <c r="T1565" s="154"/>
    </row>
    <row r="1566" spans="1:20" s="149" customFormat="1" ht="18" customHeight="1" x14ac:dyDescent="0.25">
      <c r="A1566" s="335"/>
      <c r="B1566" s="203"/>
      <c r="C1566" s="461"/>
      <c r="D1566" s="597"/>
      <c r="E1566" s="336"/>
      <c r="F1566" s="151"/>
      <c r="K1566" s="201"/>
      <c r="M1566" s="151"/>
      <c r="R1566" s="154"/>
      <c r="S1566" s="154"/>
      <c r="T1566" s="154"/>
    </row>
    <row r="1567" spans="1:20" s="149" customFormat="1" ht="18" customHeight="1" x14ac:dyDescent="0.25">
      <c r="A1567" s="335"/>
      <c r="B1567" s="203"/>
      <c r="C1567" s="461"/>
      <c r="D1567" s="597"/>
      <c r="E1567" s="336"/>
      <c r="F1567" s="151"/>
      <c r="K1567" s="201"/>
      <c r="M1567" s="151"/>
      <c r="R1567" s="154"/>
      <c r="S1567" s="154"/>
      <c r="T1567" s="154"/>
    </row>
    <row r="1568" spans="1:20" s="149" customFormat="1" ht="18" customHeight="1" x14ac:dyDescent="0.25">
      <c r="A1568" s="335"/>
      <c r="B1568" s="203"/>
      <c r="C1568" s="461"/>
      <c r="D1568" s="597"/>
      <c r="E1568" s="336"/>
      <c r="F1568" s="151"/>
      <c r="K1568" s="201"/>
      <c r="M1568" s="151"/>
      <c r="R1568" s="154"/>
      <c r="S1568" s="154"/>
      <c r="T1568" s="154"/>
    </row>
    <row r="1569" spans="1:20" s="149" customFormat="1" ht="18" customHeight="1" x14ac:dyDescent="0.25">
      <c r="A1569" s="335"/>
      <c r="B1569" s="203"/>
      <c r="C1569" s="461"/>
      <c r="D1569" s="597"/>
      <c r="E1569" s="336"/>
      <c r="F1569" s="151"/>
      <c r="K1569" s="201"/>
      <c r="M1569" s="151"/>
      <c r="R1569" s="154"/>
      <c r="S1569" s="154"/>
      <c r="T1569" s="154"/>
    </row>
    <row r="1570" spans="1:20" s="149" customFormat="1" ht="18" customHeight="1" x14ac:dyDescent="0.25">
      <c r="A1570" s="335"/>
      <c r="B1570" s="203"/>
      <c r="C1570" s="461"/>
      <c r="D1570" s="597"/>
      <c r="E1570" s="336"/>
      <c r="F1570" s="151"/>
      <c r="K1570" s="201"/>
      <c r="M1570" s="151"/>
      <c r="R1570" s="154"/>
      <c r="S1570" s="154"/>
      <c r="T1570" s="154"/>
    </row>
    <row r="1571" spans="1:20" s="149" customFormat="1" ht="18" customHeight="1" x14ac:dyDescent="0.25">
      <c r="A1571" s="335"/>
      <c r="B1571" s="203"/>
      <c r="C1571" s="461"/>
      <c r="D1571" s="597"/>
      <c r="E1571" s="336"/>
      <c r="F1571" s="151"/>
      <c r="K1571" s="201"/>
      <c r="M1571" s="151"/>
      <c r="R1571" s="154"/>
      <c r="S1571" s="154"/>
      <c r="T1571" s="154"/>
    </row>
    <row r="1572" spans="1:20" s="149" customFormat="1" ht="18" customHeight="1" x14ac:dyDescent="0.25">
      <c r="A1572" s="335"/>
      <c r="B1572" s="203"/>
      <c r="C1572" s="461"/>
      <c r="D1572" s="597"/>
      <c r="E1572" s="336"/>
      <c r="F1572" s="151"/>
      <c r="K1572" s="201"/>
      <c r="M1572" s="151"/>
      <c r="R1572" s="154"/>
      <c r="S1572" s="154"/>
      <c r="T1572" s="154"/>
    </row>
    <row r="1573" spans="1:20" s="149" customFormat="1" ht="18" customHeight="1" x14ac:dyDescent="0.25">
      <c r="A1573" s="335"/>
      <c r="B1573" s="203"/>
      <c r="C1573" s="461"/>
      <c r="D1573" s="597"/>
      <c r="E1573" s="336"/>
      <c r="F1573" s="151"/>
      <c r="K1573" s="201"/>
      <c r="M1573" s="151"/>
      <c r="R1573" s="154"/>
      <c r="S1573" s="154"/>
      <c r="T1573" s="154"/>
    </row>
    <row r="1574" spans="1:20" s="149" customFormat="1" ht="18" customHeight="1" x14ac:dyDescent="0.25">
      <c r="A1574" s="335"/>
      <c r="B1574" s="203"/>
      <c r="C1574" s="461"/>
      <c r="D1574" s="597"/>
      <c r="E1574" s="336"/>
      <c r="F1574" s="151"/>
      <c r="K1574" s="201"/>
      <c r="M1574" s="151"/>
      <c r="R1574" s="154"/>
      <c r="S1574" s="154"/>
      <c r="T1574" s="154"/>
    </row>
    <row r="1575" spans="1:20" s="149" customFormat="1" ht="18" customHeight="1" x14ac:dyDescent="0.25">
      <c r="A1575" s="335"/>
      <c r="B1575" s="203"/>
      <c r="C1575" s="461"/>
      <c r="D1575" s="597"/>
      <c r="E1575" s="336"/>
      <c r="F1575" s="151"/>
      <c r="K1575" s="201"/>
      <c r="M1575" s="151"/>
      <c r="R1575" s="154"/>
      <c r="S1575" s="154"/>
      <c r="T1575" s="154"/>
    </row>
    <row r="1576" spans="1:20" s="149" customFormat="1" ht="18" customHeight="1" x14ac:dyDescent="0.25">
      <c r="A1576" s="335"/>
      <c r="B1576" s="203"/>
      <c r="C1576" s="461"/>
      <c r="D1576" s="597"/>
      <c r="E1576" s="336"/>
      <c r="F1576" s="151"/>
      <c r="K1576" s="201"/>
      <c r="M1576" s="151"/>
      <c r="R1576" s="154"/>
      <c r="S1576" s="154"/>
      <c r="T1576" s="154"/>
    </row>
    <row r="1577" spans="1:20" s="149" customFormat="1" ht="18" customHeight="1" x14ac:dyDescent="0.25">
      <c r="A1577" s="335"/>
      <c r="B1577" s="203"/>
      <c r="C1577" s="461"/>
      <c r="D1577" s="597"/>
      <c r="E1577" s="336"/>
      <c r="F1577" s="151"/>
      <c r="K1577" s="201"/>
      <c r="M1577" s="151"/>
      <c r="R1577" s="154"/>
      <c r="S1577" s="154"/>
      <c r="T1577" s="154"/>
    </row>
    <row r="1578" spans="1:20" s="149" customFormat="1" ht="18" customHeight="1" x14ac:dyDescent="0.25">
      <c r="A1578" s="335"/>
      <c r="B1578" s="203"/>
      <c r="C1578" s="461"/>
      <c r="D1578" s="597"/>
      <c r="E1578" s="336"/>
      <c r="F1578" s="151"/>
      <c r="K1578" s="201"/>
      <c r="M1578" s="151"/>
      <c r="R1578" s="154"/>
      <c r="S1578" s="154"/>
      <c r="T1578" s="154"/>
    </row>
    <row r="1579" spans="1:20" s="149" customFormat="1" ht="18" customHeight="1" x14ac:dyDescent="0.25">
      <c r="A1579" s="335"/>
      <c r="B1579" s="203"/>
      <c r="C1579" s="461"/>
      <c r="D1579" s="597"/>
      <c r="E1579" s="336"/>
      <c r="F1579" s="151"/>
      <c r="K1579" s="201"/>
      <c r="M1579" s="151"/>
      <c r="R1579" s="154"/>
      <c r="S1579" s="154"/>
      <c r="T1579" s="154"/>
    </row>
    <row r="1580" spans="1:20" s="149" customFormat="1" ht="18" customHeight="1" x14ac:dyDescent="0.25">
      <c r="A1580" s="335"/>
      <c r="B1580" s="203"/>
      <c r="C1580" s="461"/>
      <c r="D1580" s="597"/>
      <c r="E1580" s="336"/>
      <c r="F1580" s="151"/>
      <c r="K1580" s="201"/>
      <c r="M1580" s="151"/>
      <c r="R1580" s="154"/>
      <c r="S1580" s="154"/>
      <c r="T1580" s="154"/>
    </row>
    <row r="1581" spans="1:20" s="149" customFormat="1" ht="18" customHeight="1" x14ac:dyDescent="0.25">
      <c r="A1581" s="335"/>
      <c r="B1581" s="203"/>
      <c r="C1581" s="461"/>
      <c r="D1581" s="597"/>
      <c r="E1581" s="336"/>
      <c r="F1581" s="151"/>
      <c r="K1581" s="201"/>
      <c r="M1581" s="151"/>
      <c r="R1581" s="154"/>
      <c r="S1581" s="154"/>
      <c r="T1581" s="154"/>
    </row>
    <row r="1582" spans="1:20" s="149" customFormat="1" ht="18" customHeight="1" x14ac:dyDescent="0.25">
      <c r="A1582" s="335"/>
      <c r="B1582" s="203"/>
      <c r="C1582" s="461"/>
      <c r="D1582" s="597"/>
      <c r="E1582" s="336"/>
      <c r="F1582" s="151"/>
      <c r="K1582" s="201"/>
      <c r="M1582" s="151"/>
      <c r="R1582" s="154"/>
      <c r="S1582" s="154"/>
      <c r="T1582" s="154"/>
    </row>
    <row r="1583" spans="1:20" s="149" customFormat="1" ht="18" customHeight="1" x14ac:dyDescent="0.25">
      <c r="A1583" s="335"/>
      <c r="B1583" s="203"/>
      <c r="C1583" s="461"/>
      <c r="D1583" s="597"/>
      <c r="E1583" s="336"/>
      <c r="F1583" s="151"/>
      <c r="K1583" s="201"/>
      <c r="M1583" s="151"/>
      <c r="R1583" s="154"/>
      <c r="S1583" s="154"/>
      <c r="T1583" s="154"/>
    </row>
    <row r="1584" spans="1:20" s="149" customFormat="1" ht="18" customHeight="1" x14ac:dyDescent="0.25">
      <c r="A1584" s="335"/>
      <c r="B1584" s="203"/>
      <c r="C1584" s="461"/>
      <c r="D1584" s="597"/>
      <c r="E1584" s="336"/>
      <c r="F1584" s="151"/>
      <c r="K1584" s="201"/>
      <c r="M1584" s="151"/>
      <c r="R1584" s="154"/>
      <c r="S1584" s="154"/>
      <c r="T1584" s="154"/>
    </row>
    <row r="1585" spans="1:20" s="149" customFormat="1" ht="18" customHeight="1" x14ac:dyDescent="0.25">
      <c r="A1585" s="335"/>
      <c r="B1585" s="203"/>
      <c r="C1585" s="461"/>
      <c r="D1585" s="597"/>
      <c r="E1585" s="336"/>
      <c r="F1585" s="151"/>
      <c r="K1585" s="201"/>
      <c r="M1585" s="151"/>
      <c r="R1585" s="154"/>
      <c r="S1585" s="154"/>
      <c r="T1585" s="154"/>
    </row>
    <row r="1586" spans="1:20" s="149" customFormat="1" ht="18" customHeight="1" x14ac:dyDescent="0.25">
      <c r="A1586" s="335"/>
      <c r="B1586" s="203"/>
      <c r="C1586" s="461"/>
      <c r="D1586" s="597"/>
      <c r="E1586" s="336"/>
      <c r="F1586" s="151"/>
      <c r="K1586" s="201"/>
      <c r="M1586" s="151"/>
      <c r="R1586" s="154"/>
      <c r="S1586" s="154"/>
      <c r="T1586" s="154"/>
    </row>
    <row r="1587" spans="1:20" s="149" customFormat="1" ht="18" customHeight="1" x14ac:dyDescent="0.25">
      <c r="A1587" s="335"/>
      <c r="B1587" s="203"/>
      <c r="C1587" s="461"/>
      <c r="D1587" s="597"/>
      <c r="E1587" s="336"/>
      <c r="F1587" s="151"/>
      <c r="K1587" s="201"/>
      <c r="M1587" s="151"/>
      <c r="R1587" s="154"/>
      <c r="S1587" s="154"/>
      <c r="T1587" s="154"/>
    </row>
    <row r="1588" spans="1:20" s="149" customFormat="1" ht="18" customHeight="1" x14ac:dyDescent="0.25">
      <c r="A1588" s="335"/>
      <c r="B1588" s="203"/>
      <c r="C1588" s="461"/>
      <c r="D1588" s="597"/>
      <c r="E1588" s="336"/>
      <c r="F1588" s="151"/>
      <c r="K1588" s="201"/>
      <c r="M1588" s="151"/>
      <c r="R1588" s="154"/>
      <c r="S1588" s="154"/>
      <c r="T1588" s="154"/>
    </row>
    <row r="1589" spans="1:20" s="149" customFormat="1" ht="18" customHeight="1" x14ac:dyDescent="0.25">
      <c r="A1589" s="335"/>
      <c r="B1589" s="203"/>
      <c r="C1589" s="461"/>
      <c r="D1589" s="597"/>
      <c r="E1589" s="336"/>
      <c r="F1589" s="151"/>
      <c r="K1589" s="201"/>
      <c r="M1589" s="151"/>
      <c r="R1589" s="154"/>
      <c r="S1589" s="154"/>
      <c r="T1589" s="154"/>
    </row>
    <row r="1590" spans="1:20" s="149" customFormat="1" ht="18" customHeight="1" x14ac:dyDescent="0.25">
      <c r="A1590" s="335"/>
      <c r="B1590" s="203"/>
      <c r="C1590" s="461"/>
      <c r="D1590" s="597"/>
      <c r="E1590" s="336"/>
      <c r="F1590" s="151"/>
      <c r="K1590" s="201"/>
      <c r="M1590" s="151"/>
      <c r="R1590" s="154"/>
      <c r="S1590" s="154"/>
      <c r="T1590" s="154"/>
    </row>
    <row r="1591" spans="1:20" s="149" customFormat="1" ht="18" customHeight="1" x14ac:dyDescent="0.25">
      <c r="A1591" s="335"/>
      <c r="B1591" s="203"/>
      <c r="C1591" s="461"/>
      <c r="D1591" s="597"/>
      <c r="E1591" s="336"/>
      <c r="F1591" s="151"/>
      <c r="K1591" s="201"/>
      <c r="M1591" s="151"/>
      <c r="R1591" s="154"/>
      <c r="S1591" s="154"/>
      <c r="T1591" s="154"/>
    </row>
    <row r="1592" spans="1:20" s="149" customFormat="1" ht="18" customHeight="1" x14ac:dyDescent="0.25">
      <c r="A1592" s="335"/>
      <c r="B1592" s="203"/>
      <c r="C1592" s="461"/>
      <c r="D1592" s="597"/>
      <c r="E1592" s="336"/>
      <c r="F1592" s="151"/>
      <c r="K1592" s="201"/>
      <c r="M1592" s="151"/>
      <c r="R1592" s="154"/>
      <c r="S1592" s="154"/>
      <c r="T1592" s="154"/>
    </row>
    <row r="1593" spans="1:20" s="149" customFormat="1" ht="18" customHeight="1" x14ac:dyDescent="0.25">
      <c r="A1593" s="335"/>
      <c r="B1593" s="203"/>
      <c r="C1593" s="461"/>
      <c r="D1593" s="597"/>
      <c r="E1593" s="336"/>
      <c r="F1593" s="151"/>
      <c r="K1593" s="201"/>
      <c r="M1593" s="151"/>
      <c r="R1593" s="154"/>
      <c r="S1593" s="154"/>
      <c r="T1593" s="154"/>
    </row>
    <row r="1594" spans="1:20" s="149" customFormat="1" ht="18" customHeight="1" x14ac:dyDescent="0.25">
      <c r="A1594" s="335"/>
      <c r="B1594" s="203"/>
      <c r="C1594" s="461"/>
      <c r="D1594" s="597"/>
      <c r="E1594" s="336"/>
      <c r="F1594" s="151"/>
      <c r="K1594" s="201"/>
      <c r="M1594" s="151"/>
      <c r="R1594" s="154"/>
      <c r="S1594" s="154"/>
      <c r="T1594" s="154"/>
    </row>
    <row r="1595" spans="1:20" s="149" customFormat="1" ht="18" customHeight="1" x14ac:dyDescent="0.25">
      <c r="A1595" s="335"/>
      <c r="B1595" s="203"/>
      <c r="C1595" s="461"/>
      <c r="D1595" s="597"/>
      <c r="E1595" s="336"/>
      <c r="F1595" s="151"/>
      <c r="K1595" s="201"/>
      <c r="M1595" s="151"/>
      <c r="R1595" s="154"/>
      <c r="S1595" s="154"/>
      <c r="T1595" s="154"/>
    </row>
    <row r="1596" spans="1:20" s="149" customFormat="1" ht="18" customHeight="1" x14ac:dyDescent="0.25">
      <c r="A1596" s="335"/>
      <c r="B1596" s="203"/>
      <c r="C1596" s="461"/>
      <c r="D1596" s="597"/>
      <c r="E1596" s="336"/>
      <c r="F1596" s="151"/>
      <c r="K1596" s="201"/>
      <c r="M1596" s="151"/>
      <c r="R1596" s="154"/>
      <c r="S1596" s="154"/>
      <c r="T1596" s="154"/>
    </row>
    <row r="1597" spans="1:20" s="149" customFormat="1" ht="18" customHeight="1" x14ac:dyDescent="0.25">
      <c r="A1597" s="335"/>
      <c r="B1597" s="203"/>
      <c r="C1597" s="461"/>
      <c r="D1597" s="597"/>
      <c r="E1597" s="336"/>
      <c r="F1597" s="151"/>
      <c r="K1597" s="201"/>
      <c r="M1597" s="151"/>
      <c r="R1597" s="154"/>
      <c r="S1597" s="154"/>
      <c r="T1597" s="154"/>
    </row>
    <row r="1598" spans="1:20" s="149" customFormat="1" ht="18" customHeight="1" x14ac:dyDescent="0.25">
      <c r="A1598" s="335"/>
      <c r="B1598" s="203"/>
      <c r="C1598" s="461"/>
      <c r="D1598" s="597"/>
      <c r="E1598" s="336"/>
      <c r="F1598" s="151"/>
      <c r="K1598" s="201"/>
      <c r="M1598" s="151"/>
      <c r="R1598" s="154"/>
      <c r="S1598" s="154"/>
      <c r="T1598" s="154"/>
    </row>
    <row r="1599" spans="1:20" s="149" customFormat="1" ht="18" customHeight="1" x14ac:dyDescent="0.25">
      <c r="A1599" s="335"/>
      <c r="B1599" s="203"/>
      <c r="C1599" s="461"/>
      <c r="D1599" s="597"/>
      <c r="E1599" s="336"/>
      <c r="F1599" s="151"/>
      <c r="K1599" s="201"/>
      <c r="M1599" s="151"/>
      <c r="R1599" s="154"/>
      <c r="S1599" s="154"/>
      <c r="T1599" s="154"/>
    </row>
    <row r="1600" spans="1:20" s="149" customFormat="1" ht="18" customHeight="1" x14ac:dyDescent="0.25">
      <c r="A1600" s="335"/>
      <c r="B1600" s="203"/>
      <c r="C1600" s="461"/>
      <c r="D1600" s="597"/>
      <c r="E1600" s="336"/>
      <c r="F1600" s="151"/>
      <c r="K1600" s="201"/>
      <c r="M1600" s="151"/>
      <c r="R1600" s="154"/>
      <c r="S1600" s="154"/>
      <c r="T1600" s="154"/>
    </row>
    <row r="1601" spans="1:20" s="149" customFormat="1" ht="18" customHeight="1" x14ac:dyDescent="0.25">
      <c r="A1601" s="335"/>
      <c r="B1601" s="203"/>
      <c r="C1601" s="461"/>
      <c r="D1601" s="597"/>
      <c r="E1601" s="336"/>
      <c r="F1601" s="151"/>
      <c r="K1601" s="201"/>
      <c r="M1601" s="151"/>
      <c r="R1601" s="154"/>
      <c r="S1601" s="154"/>
      <c r="T1601" s="154"/>
    </row>
    <row r="1602" spans="1:20" s="149" customFormat="1" ht="18" customHeight="1" x14ac:dyDescent="0.25">
      <c r="A1602" s="335"/>
      <c r="B1602" s="203"/>
      <c r="C1602" s="461"/>
      <c r="D1602" s="597"/>
      <c r="E1602" s="336"/>
      <c r="F1602" s="151"/>
      <c r="K1602" s="201"/>
      <c r="M1602" s="151"/>
      <c r="R1602" s="154"/>
      <c r="S1602" s="154"/>
      <c r="T1602" s="154"/>
    </row>
    <row r="1603" spans="1:20" s="149" customFormat="1" ht="18" customHeight="1" x14ac:dyDescent="0.25">
      <c r="A1603" s="335"/>
      <c r="B1603" s="203"/>
      <c r="C1603" s="461"/>
      <c r="D1603" s="597"/>
      <c r="E1603" s="336"/>
      <c r="F1603" s="151"/>
      <c r="K1603" s="201"/>
      <c r="M1603" s="151"/>
      <c r="R1603" s="154"/>
      <c r="S1603" s="154"/>
      <c r="T1603" s="154"/>
    </row>
    <row r="1604" spans="1:20" s="149" customFormat="1" ht="18" customHeight="1" x14ac:dyDescent="0.25">
      <c r="A1604" s="335"/>
      <c r="B1604" s="203"/>
      <c r="C1604" s="461"/>
      <c r="D1604" s="597"/>
      <c r="E1604" s="336"/>
      <c r="F1604" s="151"/>
      <c r="K1604" s="201"/>
      <c r="M1604" s="151"/>
      <c r="R1604" s="154"/>
      <c r="S1604" s="154"/>
      <c r="T1604" s="154"/>
    </row>
    <row r="1605" spans="1:20" s="149" customFormat="1" ht="18" customHeight="1" x14ac:dyDescent="0.25">
      <c r="A1605" s="335"/>
      <c r="B1605" s="203"/>
      <c r="C1605" s="461"/>
      <c r="D1605" s="597"/>
      <c r="E1605" s="336"/>
      <c r="F1605" s="151"/>
      <c r="K1605" s="201"/>
      <c r="M1605" s="151"/>
      <c r="R1605" s="154"/>
      <c r="S1605" s="154"/>
      <c r="T1605" s="154"/>
    </row>
    <row r="1606" spans="1:20" s="149" customFormat="1" ht="18" customHeight="1" x14ac:dyDescent="0.25">
      <c r="A1606" s="335"/>
      <c r="B1606" s="203"/>
      <c r="C1606" s="461"/>
      <c r="D1606" s="597"/>
      <c r="E1606" s="336"/>
      <c r="F1606" s="151"/>
      <c r="K1606" s="201"/>
      <c r="M1606" s="151"/>
      <c r="R1606" s="154"/>
      <c r="S1606" s="154"/>
      <c r="T1606" s="154"/>
    </row>
    <row r="1607" spans="1:20" s="149" customFormat="1" ht="18" customHeight="1" x14ac:dyDescent="0.25">
      <c r="A1607" s="335"/>
      <c r="B1607" s="203"/>
      <c r="C1607" s="461"/>
      <c r="D1607" s="597"/>
      <c r="E1607" s="336"/>
      <c r="F1607" s="151"/>
      <c r="K1607" s="201"/>
      <c r="M1607" s="151"/>
      <c r="R1607" s="154"/>
      <c r="S1607" s="154"/>
      <c r="T1607" s="154"/>
    </row>
    <row r="1608" spans="1:20" s="149" customFormat="1" ht="18" customHeight="1" x14ac:dyDescent="0.25">
      <c r="A1608" s="335"/>
      <c r="B1608" s="203"/>
      <c r="C1608" s="461"/>
      <c r="D1608" s="597"/>
      <c r="E1608" s="336"/>
      <c r="F1608" s="151"/>
      <c r="K1608" s="201"/>
      <c r="M1608" s="151"/>
      <c r="R1608" s="154"/>
      <c r="S1608" s="154"/>
      <c r="T1608" s="154"/>
    </row>
    <row r="1609" spans="1:20" s="149" customFormat="1" ht="18" customHeight="1" x14ac:dyDescent="0.25">
      <c r="A1609" s="335"/>
      <c r="B1609" s="203"/>
      <c r="C1609" s="461"/>
      <c r="D1609" s="597"/>
      <c r="E1609" s="336"/>
      <c r="F1609" s="151"/>
      <c r="K1609" s="201"/>
      <c r="M1609" s="151"/>
      <c r="R1609" s="154"/>
      <c r="S1609" s="154"/>
      <c r="T1609" s="154"/>
    </row>
    <row r="1610" spans="1:20" s="149" customFormat="1" ht="18" customHeight="1" x14ac:dyDescent="0.25">
      <c r="A1610" s="335"/>
      <c r="B1610" s="203"/>
      <c r="C1610" s="461"/>
      <c r="D1610" s="597"/>
      <c r="E1610" s="336"/>
      <c r="F1610" s="151"/>
      <c r="K1610" s="201"/>
      <c r="M1610" s="151"/>
      <c r="R1610" s="154"/>
      <c r="S1610" s="154"/>
      <c r="T1610" s="154"/>
    </row>
    <row r="1611" spans="1:20" s="149" customFormat="1" ht="18" customHeight="1" x14ac:dyDescent="0.25">
      <c r="A1611" s="335"/>
      <c r="B1611" s="203"/>
      <c r="C1611" s="461"/>
      <c r="D1611" s="597"/>
      <c r="E1611" s="336"/>
      <c r="F1611" s="151"/>
      <c r="K1611" s="201"/>
      <c r="M1611" s="151"/>
      <c r="R1611" s="154"/>
      <c r="S1611" s="154"/>
      <c r="T1611" s="154"/>
    </row>
    <row r="1612" spans="1:20" ht="18" customHeight="1" x14ac:dyDescent="0.25">
      <c r="A1612" s="335"/>
      <c r="B1612" s="20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opLeftCell="C1" zoomScale="120" zoomScaleNormal="120" workbookViewId="0">
      <selection activeCell="J28" sqref="J28:K28"/>
    </sheetView>
  </sheetViews>
  <sheetFormatPr defaultRowHeight="15" x14ac:dyDescent="0.25"/>
  <cols>
    <col min="2" max="2" width="9.140625" style="3"/>
    <col min="3" max="3" width="20.42578125" customWidth="1"/>
    <col min="4" max="4" width="13.42578125" customWidth="1"/>
    <col min="5" max="5" width="14" customWidth="1"/>
    <col min="6" max="6" width="20.42578125" customWidth="1"/>
    <col min="7" max="7" width="15" customWidth="1"/>
    <col min="8" max="8" width="10.5703125" bestFit="1" customWidth="1"/>
    <col min="9" max="9" width="12.7109375" bestFit="1" customWidth="1"/>
    <col min="10" max="10" width="11.7109375" style="2" customWidth="1"/>
    <col min="11" max="11" width="11" customWidth="1"/>
  </cols>
  <sheetData>
    <row r="1" spans="1:12" ht="15.75" thickBot="1" x14ac:dyDescent="0.3">
      <c r="A1" t="s">
        <v>703</v>
      </c>
    </row>
    <row r="2" spans="1:12" ht="15.75" thickBot="1" x14ac:dyDescent="0.3">
      <c r="B2" s="569"/>
      <c r="C2" s="775" t="s">
        <v>1962</v>
      </c>
      <c r="D2" s="775" t="s">
        <v>1961</v>
      </c>
      <c r="E2" s="775" t="s">
        <v>1960</v>
      </c>
      <c r="F2" s="775" t="s">
        <v>1960</v>
      </c>
      <c r="G2" s="776" t="s">
        <v>1957</v>
      </c>
      <c r="H2" s="776" t="s">
        <v>1958</v>
      </c>
      <c r="I2" s="776" t="s">
        <v>1957</v>
      </c>
      <c r="J2" s="777" t="s">
        <v>1959</v>
      </c>
      <c r="K2" s="775" t="s">
        <v>1963</v>
      </c>
      <c r="L2" s="578" t="s">
        <v>2397</v>
      </c>
    </row>
    <row r="3" spans="1:12" s="3" customFormat="1" ht="15.75" thickBot="1" x14ac:dyDescent="0.3">
      <c r="B3" s="769" t="s">
        <v>82</v>
      </c>
      <c r="C3" s="770" t="s">
        <v>185</v>
      </c>
      <c r="D3" s="771" t="s">
        <v>188</v>
      </c>
      <c r="E3" s="771" t="s">
        <v>187</v>
      </c>
      <c r="F3" s="772" t="s">
        <v>186</v>
      </c>
      <c r="G3" s="771" t="s">
        <v>345</v>
      </c>
      <c r="H3" s="771" t="s">
        <v>464</v>
      </c>
      <c r="I3" s="772" t="s">
        <v>754</v>
      </c>
      <c r="J3" s="773" t="s">
        <v>755</v>
      </c>
      <c r="K3" s="774" t="s">
        <v>1101</v>
      </c>
      <c r="L3" s="769" t="s">
        <v>1827</v>
      </c>
    </row>
    <row r="4" spans="1:12" x14ac:dyDescent="0.25">
      <c r="B4" s="721" t="s">
        <v>117</v>
      </c>
      <c r="C4" s="722"/>
      <c r="D4" s="723">
        <v>3811</v>
      </c>
      <c r="E4" s="723">
        <v>5584</v>
      </c>
      <c r="F4" s="724">
        <v>8183</v>
      </c>
      <c r="G4" s="725">
        <v>2814</v>
      </c>
      <c r="H4" s="725">
        <v>4180</v>
      </c>
      <c r="I4" s="726">
        <v>1485</v>
      </c>
      <c r="J4" s="724">
        <v>6068</v>
      </c>
      <c r="K4" s="716">
        <v>4140</v>
      </c>
      <c r="L4" s="535">
        <f>+'daily sales'!B139</f>
        <v>3230</v>
      </c>
    </row>
    <row r="5" spans="1:12" x14ac:dyDescent="0.25">
      <c r="B5" s="719" t="s">
        <v>118</v>
      </c>
      <c r="C5" s="718"/>
      <c r="D5" s="116">
        <v>4126</v>
      </c>
      <c r="E5" s="116">
        <v>5317</v>
      </c>
      <c r="F5" s="321">
        <v>5000</v>
      </c>
      <c r="G5" s="45">
        <v>2883</v>
      </c>
      <c r="H5" s="45">
        <v>3413</v>
      </c>
      <c r="I5" s="374">
        <v>1570</v>
      </c>
      <c r="J5" s="320">
        <v>5403</v>
      </c>
      <c r="K5" s="716">
        <v>6376</v>
      </c>
      <c r="L5" s="535">
        <f>+'daily sales'!B264</f>
        <v>3380</v>
      </c>
    </row>
    <row r="6" spans="1:12" x14ac:dyDescent="0.25">
      <c r="B6" s="719" t="s">
        <v>119</v>
      </c>
      <c r="C6" s="718"/>
      <c r="D6" s="116">
        <v>5742</v>
      </c>
      <c r="E6" s="116">
        <v>6635</v>
      </c>
      <c r="F6" s="321">
        <v>6500</v>
      </c>
      <c r="G6" s="45">
        <v>6262</v>
      </c>
      <c r="H6" s="45">
        <v>6532</v>
      </c>
      <c r="I6" s="374">
        <v>6010</v>
      </c>
      <c r="J6" s="320">
        <v>6778</v>
      </c>
      <c r="K6" s="716">
        <v>8031</v>
      </c>
      <c r="L6" s="535">
        <f>+'daily sales'!B415</f>
        <v>5258</v>
      </c>
    </row>
    <row r="7" spans="1:12" x14ac:dyDescent="0.25">
      <c r="B7" s="719" t="s">
        <v>120</v>
      </c>
      <c r="C7" s="718"/>
      <c r="D7" s="116">
        <v>12651</v>
      </c>
      <c r="E7" s="116">
        <v>7539</v>
      </c>
      <c r="F7" s="321">
        <v>7200</v>
      </c>
      <c r="G7" s="45">
        <v>2162</v>
      </c>
      <c r="H7" s="45">
        <v>128</v>
      </c>
      <c r="I7" s="374">
        <v>4066</v>
      </c>
      <c r="J7" s="320">
        <v>8490</v>
      </c>
      <c r="K7" s="716">
        <v>11232</v>
      </c>
      <c r="L7" s="535">
        <f>+'daily sales'!B610</f>
        <v>7090</v>
      </c>
    </row>
    <row r="8" spans="1:12" x14ac:dyDescent="0.25">
      <c r="B8" s="719" t="s">
        <v>121</v>
      </c>
      <c r="C8" s="718"/>
      <c r="D8" s="116">
        <v>5651</v>
      </c>
      <c r="E8" s="116">
        <v>6359</v>
      </c>
      <c r="F8" s="321">
        <v>9000</v>
      </c>
      <c r="G8" s="45">
        <v>6517</v>
      </c>
      <c r="H8" s="45">
        <v>3594</v>
      </c>
      <c r="I8" s="374">
        <v>6722</v>
      </c>
      <c r="J8" s="320">
        <v>8879</v>
      </c>
      <c r="K8" s="716">
        <v>10926</v>
      </c>
      <c r="L8" s="535">
        <f>+'daily sales'!B801</f>
        <v>7471</v>
      </c>
    </row>
    <row r="9" spans="1:12" x14ac:dyDescent="0.25">
      <c r="B9" s="719" t="s">
        <v>122</v>
      </c>
      <c r="C9" s="718"/>
      <c r="D9" s="116">
        <v>8161</v>
      </c>
      <c r="E9" s="116">
        <v>11905</v>
      </c>
      <c r="F9" s="321">
        <v>10000</v>
      </c>
      <c r="G9" s="45">
        <v>1498</v>
      </c>
      <c r="H9" s="45">
        <v>3961</v>
      </c>
      <c r="I9" s="374">
        <v>7798</v>
      </c>
      <c r="J9" s="320">
        <v>9362</v>
      </c>
      <c r="K9" s="717">
        <v>7742</v>
      </c>
      <c r="L9" s="535">
        <f>+'daily sales'!B1022</f>
        <v>8907</v>
      </c>
    </row>
    <row r="10" spans="1:12" x14ac:dyDescent="0.25">
      <c r="B10" s="719" t="s">
        <v>123</v>
      </c>
      <c r="C10" s="718"/>
      <c r="D10" s="116">
        <v>6484</v>
      </c>
      <c r="E10" s="116">
        <v>6736</v>
      </c>
      <c r="F10" s="321">
        <v>8000</v>
      </c>
      <c r="G10" s="45">
        <v>6873</v>
      </c>
      <c r="H10" s="45">
        <v>5060</v>
      </c>
      <c r="I10" s="374">
        <v>4364</v>
      </c>
      <c r="J10" s="320">
        <v>6653</v>
      </c>
      <c r="K10" s="716">
        <v>9525</v>
      </c>
      <c r="L10" s="535">
        <f>+'daily sales'!B1164</f>
        <v>6286</v>
      </c>
    </row>
    <row r="11" spans="1:12" x14ac:dyDescent="0.25">
      <c r="B11" s="719" t="s">
        <v>124</v>
      </c>
      <c r="C11" s="718"/>
      <c r="D11" s="116">
        <v>8230</v>
      </c>
      <c r="E11" s="116">
        <v>10761</v>
      </c>
      <c r="F11" s="321">
        <v>7000</v>
      </c>
      <c r="G11" s="45">
        <v>5505</v>
      </c>
      <c r="H11" s="45">
        <v>3150</v>
      </c>
      <c r="I11" s="374">
        <v>6270</v>
      </c>
      <c r="J11" s="320">
        <v>8335</v>
      </c>
      <c r="K11" s="716">
        <v>10015</v>
      </c>
      <c r="L11" s="49"/>
    </row>
    <row r="12" spans="1:12" x14ac:dyDescent="0.25">
      <c r="B12" s="719" t="s">
        <v>84</v>
      </c>
      <c r="C12" s="718">
        <v>6540</v>
      </c>
      <c r="D12" s="116">
        <v>11580</v>
      </c>
      <c r="E12" s="116">
        <v>6736</v>
      </c>
      <c r="F12" s="321">
        <v>12000</v>
      </c>
      <c r="G12" s="45">
        <v>6114</v>
      </c>
      <c r="H12" s="45">
        <v>5083</v>
      </c>
      <c r="I12" s="374">
        <v>8932</v>
      </c>
      <c r="J12" s="320">
        <v>6658</v>
      </c>
      <c r="K12" s="716">
        <v>8403</v>
      </c>
      <c r="L12" s="49"/>
    </row>
    <row r="13" spans="1:12" x14ac:dyDescent="0.25">
      <c r="B13" s="719" t="s">
        <v>85</v>
      </c>
      <c r="C13" s="718">
        <v>11157</v>
      </c>
      <c r="D13" s="116">
        <v>10088</v>
      </c>
      <c r="E13" s="116">
        <v>18642.599999999999</v>
      </c>
      <c r="F13" s="321">
        <v>15000</v>
      </c>
      <c r="G13" s="45">
        <v>6691</v>
      </c>
      <c r="H13" s="45">
        <v>3875</v>
      </c>
      <c r="I13" s="374">
        <v>6199</v>
      </c>
      <c r="J13" s="320">
        <v>9675</v>
      </c>
      <c r="K13" s="716">
        <v>7623</v>
      </c>
      <c r="L13" s="49"/>
    </row>
    <row r="14" spans="1:12" x14ac:dyDescent="0.25">
      <c r="B14" s="719" t="s">
        <v>86</v>
      </c>
      <c r="C14" s="718">
        <v>6993</v>
      </c>
      <c r="D14" s="116">
        <v>6191</v>
      </c>
      <c r="E14" s="116">
        <v>9327</v>
      </c>
      <c r="F14" s="321">
        <v>10000</v>
      </c>
      <c r="G14" s="45">
        <v>6841</v>
      </c>
      <c r="H14" s="45">
        <v>4706</v>
      </c>
      <c r="I14" s="374">
        <v>7739</v>
      </c>
      <c r="J14" s="320">
        <v>6915</v>
      </c>
      <c r="K14" s="716">
        <v>8747</v>
      </c>
      <c r="L14" s="49"/>
    </row>
    <row r="15" spans="1:12" ht="15.75" thickBot="1" x14ac:dyDescent="0.3">
      <c r="B15" s="720" t="s">
        <v>87</v>
      </c>
      <c r="C15" s="718">
        <v>9405</v>
      </c>
      <c r="D15" s="322">
        <v>8897</v>
      </c>
      <c r="E15" s="322">
        <v>8279</v>
      </c>
      <c r="F15" s="323">
        <v>8000</v>
      </c>
      <c r="G15" s="324">
        <v>7148</v>
      </c>
      <c r="H15" s="324">
        <v>6947</v>
      </c>
      <c r="I15" s="375">
        <v>11255</v>
      </c>
      <c r="J15" s="534">
        <v>8645</v>
      </c>
      <c r="K15" s="716">
        <v>13002</v>
      </c>
      <c r="L15" s="49"/>
    </row>
    <row r="16" spans="1:12" ht="15.75" thickBot="1" x14ac:dyDescent="0.3">
      <c r="B16" s="114" t="s">
        <v>30</v>
      </c>
      <c r="C16" s="52">
        <f t="shared" ref="C16:J16" si="0">SUM(C4:C15)</f>
        <v>34095</v>
      </c>
      <c r="D16" s="52">
        <f t="shared" si="0"/>
        <v>91612</v>
      </c>
      <c r="E16" s="52">
        <f t="shared" si="0"/>
        <v>103820.6</v>
      </c>
      <c r="F16" s="52">
        <f t="shared" si="0"/>
        <v>105883</v>
      </c>
      <c r="G16" s="52">
        <f t="shared" si="0"/>
        <v>61308</v>
      </c>
      <c r="H16" s="52">
        <f t="shared" si="0"/>
        <v>50629</v>
      </c>
      <c r="I16" s="52">
        <f t="shared" si="0"/>
        <v>72410</v>
      </c>
      <c r="J16" s="52">
        <f t="shared" si="0"/>
        <v>91861</v>
      </c>
      <c r="K16" s="52">
        <f>SUM(K4:K15)</f>
        <v>105762</v>
      </c>
      <c r="L16" s="52">
        <f>SUM(L4:L15)</f>
        <v>41622</v>
      </c>
    </row>
    <row r="17" spans="2:13" x14ac:dyDescent="0.25">
      <c r="L17" s="385"/>
    </row>
    <row r="18" spans="2:13" x14ac:dyDescent="0.25">
      <c r="B18" s="3" t="s">
        <v>686</v>
      </c>
      <c r="C18" s="2">
        <f>+C16/4</f>
        <v>8523.75</v>
      </c>
      <c r="D18" s="2">
        <f t="shared" ref="D18:L18" si="1">+D16/12</f>
        <v>7634.333333333333</v>
      </c>
      <c r="E18" s="2">
        <f t="shared" si="1"/>
        <v>8651.7166666666672</v>
      </c>
      <c r="F18" s="2">
        <f t="shared" si="1"/>
        <v>8823.5833333333339</v>
      </c>
      <c r="G18" s="2">
        <f t="shared" si="1"/>
        <v>5109</v>
      </c>
      <c r="H18" s="2">
        <f t="shared" si="1"/>
        <v>4219.083333333333</v>
      </c>
      <c r="I18" s="2">
        <f t="shared" si="1"/>
        <v>6034.166666666667</v>
      </c>
      <c r="J18" s="2">
        <f t="shared" si="1"/>
        <v>7655.083333333333</v>
      </c>
      <c r="K18" s="2">
        <f t="shared" si="1"/>
        <v>8813.5</v>
      </c>
      <c r="L18" s="2">
        <f t="shared" si="1"/>
        <v>3468.5</v>
      </c>
    </row>
    <row r="20" spans="2:13" x14ac:dyDescent="0.25">
      <c r="B20" s="3" t="s">
        <v>815</v>
      </c>
    </row>
    <row r="21" spans="2:13" x14ac:dyDescent="0.25">
      <c r="B21" s="3" t="s">
        <v>816</v>
      </c>
      <c r="D21" s="4">
        <f>+D4+D5+D6</f>
        <v>13679</v>
      </c>
      <c r="E21" s="4">
        <f t="shared" ref="E21:J21" si="2">+E4+E5+E6</f>
        <v>17536</v>
      </c>
      <c r="F21" s="4">
        <f t="shared" si="2"/>
        <v>19683</v>
      </c>
      <c r="G21" s="4">
        <f t="shared" si="2"/>
        <v>11959</v>
      </c>
      <c r="H21" s="4">
        <f t="shared" si="2"/>
        <v>14125</v>
      </c>
      <c r="I21" s="4">
        <f t="shared" si="2"/>
        <v>9065</v>
      </c>
      <c r="J21" s="2">
        <f t="shared" si="2"/>
        <v>18249</v>
      </c>
      <c r="K21" s="2">
        <f>+K4+K5+K6</f>
        <v>18547</v>
      </c>
      <c r="L21" s="2">
        <f>+L4+L5+L6</f>
        <v>11868</v>
      </c>
    </row>
    <row r="22" spans="2:13" x14ac:dyDescent="0.25">
      <c r="B22" s="3" t="s">
        <v>817</v>
      </c>
      <c r="D22" s="4">
        <f>+D7+D8+D9</f>
        <v>26463</v>
      </c>
      <c r="E22" s="4">
        <f t="shared" ref="E22:J22" si="3">+E7+E8+E9</f>
        <v>25803</v>
      </c>
      <c r="F22" s="4">
        <f t="shared" si="3"/>
        <v>26200</v>
      </c>
      <c r="G22" s="4">
        <f t="shared" si="3"/>
        <v>10177</v>
      </c>
      <c r="H22" s="4">
        <f t="shared" si="3"/>
        <v>7683</v>
      </c>
      <c r="I22" s="4">
        <f t="shared" si="3"/>
        <v>18586</v>
      </c>
      <c r="J22" s="2">
        <f t="shared" si="3"/>
        <v>26731</v>
      </c>
      <c r="K22" s="2">
        <f>+K7+K8+K9</f>
        <v>29900</v>
      </c>
      <c r="L22" s="2">
        <f>+L7+L8+L9</f>
        <v>23468</v>
      </c>
    </row>
    <row r="23" spans="2:13" x14ac:dyDescent="0.25">
      <c r="B23" s="3" t="s">
        <v>818</v>
      </c>
      <c r="D23" s="4">
        <f>+D10+D11+D12</f>
        <v>26294</v>
      </c>
      <c r="E23" s="4">
        <f t="shared" ref="E23:J23" si="4">+E10+E11+E12</f>
        <v>24233</v>
      </c>
      <c r="F23" s="4">
        <f t="shared" si="4"/>
        <v>27000</v>
      </c>
      <c r="G23" s="4">
        <f t="shared" si="4"/>
        <v>18492</v>
      </c>
      <c r="H23" s="4">
        <f t="shared" si="4"/>
        <v>13293</v>
      </c>
      <c r="I23" s="4">
        <f t="shared" si="4"/>
        <v>19566</v>
      </c>
      <c r="J23" s="2">
        <f t="shared" si="4"/>
        <v>21646</v>
      </c>
      <c r="K23" s="2">
        <f>+K10+K11+K12</f>
        <v>27943</v>
      </c>
      <c r="L23" s="2">
        <f>+L10+L11+L12</f>
        <v>6286</v>
      </c>
    </row>
    <row r="24" spans="2:13" x14ac:dyDescent="0.25">
      <c r="B24" s="3" t="s">
        <v>819</v>
      </c>
      <c r="D24" s="4">
        <f>+D13+D14+D15</f>
        <v>25176</v>
      </c>
      <c r="E24" s="4">
        <f t="shared" ref="E24:J24" si="5">+E13+E14+E15</f>
        <v>36248.6</v>
      </c>
      <c r="F24" s="4">
        <f t="shared" si="5"/>
        <v>33000</v>
      </c>
      <c r="G24" s="4">
        <f t="shared" si="5"/>
        <v>20680</v>
      </c>
      <c r="H24" s="4">
        <f t="shared" si="5"/>
        <v>15528</v>
      </c>
      <c r="I24" s="4">
        <f t="shared" si="5"/>
        <v>25193</v>
      </c>
      <c r="J24" s="2">
        <f t="shared" si="5"/>
        <v>25235</v>
      </c>
      <c r="K24" s="2">
        <f>+K13+K14+K15</f>
        <v>29372</v>
      </c>
      <c r="L24" s="2">
        <f>+L13+L14+L15</f>
        <v>0</v>
      </c>
    </row>
    <row r="25" spans="2:13" ht="15.75" thickBot="1" x14ac:dyDescent="0.3"/>
    <row r="26" spans="2:13" ht="15.75" thickBot="1" x14ac:dyDescent="0.3">
      <c r="D26" s="382">
        <f>SUM(D21:D25)</f>
        <v>91612</v>
      </c>
      <c r="E26" s="383">
        <f t="shared" ref="E26:L26" si="6">SUM(E21:E25)</f>
        <v>103820.6</v>
      </c>
      <c r="F26" s="383">
        <f t="shared" si="6"/>
        <v>105883</v>
      </c>
      <c r="G26" s="383">
        <f t="shared" si="6"/>
        <v>61308</v>
      </c>
      <c r="H26" s="383">
        <f t="shared" si="6"/>
        <v>50629</v>
      </c>
      <c r="I26" s="383">
        <f t="shared" si="6"/>
        <v>72410</v>
      </c>
      <c r="J26" s="384">
        <f t="shared" si="6"/>
        <v>91861</v>
      </c>
      <c r="K26" s="384">
        <f t="shared" si="6"/>
        <v>105762</v>
      </c>
      <c r="L26" s="384">
        <f t="shared" si="6"/>
        <v>41622</v>
      </c>
      <c r="M26" s="290"/>
    </row>
    <row r="27" spans="2:13" x14ac:dyDescent="0.25">
      <c r="M27" s="385"/>
    </row>
    <row r="28" spans="2:13" x14ac:dyDescent="0.25">
      <c r="B28" s="3" t="s">
        <v>1065</v>
      </c>
      <c r="D28" s="2">
        <f>+D26/4</f>
        <v>22903</v>
      </c>
      <c r="E28" s="2">
        <f t="shared" ref="E28:L28" si="7">+E26/4</f>
        <v>25955.15</v>
      </c>
      <c r="F28" s="2">
        <f t="shared" si="7"/>
        <v>26470.75</v>
      </c>
      <c r="G28" s="2">
        <f t="shared" si="7"/>
        <v>15327</v>
      </c>
      <c r="H28" s="2">
        <f t="shared" si="7"/>
        <v>12657.25</v>
      </c>
      <c r="I28" s="2">
        <f t="shared" si="7"/>
        <v>18102.5</v>
      </c>
      <c r="J28" s="2">
        <f>+J26/4</f>
        <v>22965.25</v>
      </c>
      <c r="K28" s="2">
        <f>+K26/4</f>
        <v>26440.5</v>
      </c>
      <c r="L28" s="2">
        <f t="shared" si="7"/>
        <v>10405.5</v>
      </c>
    </row>
    <row r="31" spans="2:13" x14ac:dyDescent="0.25">
      <c r="C31" s="95"/>
    </row>
    <row r="32" spans="2:13" x14ac:dyDescent="0.25">
      <c r="C32" t="s">
        <v>1671</v>
      </c>
      <c r="D32" t="s">
        <v>1675</v>
      </c>
      <c r="E32" t="s">
        <v>118</v>
      </c>
      <c r="F32" t="s">
        <v>1952</v>
      </c>
      <c r="G32" t="s">
        <v>120</v>
      </c>
      <c r="H32" t="s">
        <v>121</v>
      </c>
      <c r="I32" t="s">
        <v>151</v>
      </c>
      <c r="J32" t="s">
        <v>152</v>
      </c>
      <c r="K32" t="s">
        <v>124</v>
      </c>
      <c r="L32" t="s">
        <v>84</v>
      </c>
    </row>
    <row r="33" spans="3:15" x14ac:dyDescent="0.25">
      <c r="C33" t="s">
        <v>22</v>
      </c>
      <c r="D33" s="95">
        <f>3230+1300</f>
        <v>4530</v>
      </c>
      <c r="E33" s="95"/>
      <c r="F33" s="95"/>
      <c r="G33" s="95"/>
      <c r="H33" s="95"/>
      <c r="I33" s="95"/>
    </row>
    <row r="34" spans="3:15" x14ac:dyDescent="0.25">
      <c r="C34" t="s">
        <v>1950</v>
      </c>
      <c r="F34" s="146"/>
      <c r="G34" s="146"/>
      <c r="H34" s="95">
        <f>6000+1000</f>
        <v>7000</v>
      </c>
      <c r="I34" s="95">
        <v>1650</v>
      </c>
      <c r="J34" s="2">
        <v>350</v>
      </c>
    </row>
    <row r="35" spans="3:15" x14ac:dyDescent="0.25">
      <c r="C35" t="s">
        <v>1951</v>
      </c>
      <c r="E35" s="95">
        <v>1100</v>
      </c>
      <c r="F35" s="95">
        <v>6000</v>
      </c>
    </row>
    <row r="36" spans="3:15" x14ac:dyDescent="0.25">
      <c r="C36" t="s">
        <v>1672</v>
      </c>
      <c r="D36" s="95">
        <v>70</v>
      </c>
      <c r="E36" s="95">
        <v>70</v>
      </c>
      <c r="F36" s="95">
        <v>300</v>
      </c>
      <c r="H36" s="95">
        <v>1300</v>
      </c>
      <c r="I36" s="95">
        <v>1700</v>
      </c>
    </row>
    <row r="37" spans="3:15" x14ac:dyDescent="0.25">
      <c r="C37" t="s">
        <v>867</v>
      </c>
      <c r="D37" s="95">
        <v>1000</v>
      </c>
      <c r="E37" s="95">
        <v>1000</v>
      </c>
      <c r="F37" s="95">
        <v>1000</v>
      </c>
      <c r="G37" s="146"/>
      <c r="H37" s="95">
        <v>1000</v>
      </c>
      <c r="I37" s="95">
        <v>1000</v>
      </c>
    </row>
    <row r="38" spans="3:15" x14ac:dyDescent="0.25">
      <c r="C38" t="s">
        <v>859</v>
      </c>
      <c r="D38" s="95">
        <v>300</v>
      </c>
      <c r="F38" s="95">
        <v>300</v>
      </c>
      <c r="G38" s="95">
        <v>300</v>
      </c>
      <c r="H38" s="95">
        <v>300</v>
      </c>
      <c r="I38" s="95">
        <v>300</v>
      </c>
    </row>
    <row r="39" spans="3:15" x14ac:dyDescent="0.25">
      <c r="C39" t="s">
        <v>860</v>
      </c>
      <c r="D39" s="95">
        <v>300</v>
      </c>
      <c r="E39" s="95">
        <v>80</v>
      </c>
      <c r="F39" s="146"/>
      <c r="H39" s="95">
        <v>300</v>
      </c>
      <c r="I39" s="95">
        <v>300</v>
      </c>
    </row>
    <row r="40" spans="3:15" x14ac:dyDescent="0.25">
      <c r="C40" t="s">
        <v>1630</v>
      </c>
      <c r="D40" s="95">
        <v>1000</v>
      </c>
      <c r="E40" s="95">
        <v>1000</v>
      </c>
    </row>
    <row r="41" spans="3:15" x14ac:dyDescent="0.25">
      <c r="C41" t="s">
        <v>1680</v>
      </c>
      <c r="D41" s="95">
        <v>780</v>
      </c>
      <c r="F41" s="95">
        <v>500</v>
      </c>
      <c r="G41" s="95">
        <v>600</v>
      </c>
    </row>
    <row r="42" spans="3:15" x14ac:dyDescent="0.25">
      <c r="C42" t="s">
        <v>1114</v>
      </c>
      <c r="D42" s="95">
        <v>1000</v>
      </c>
      <c r="E42" s="95">
        <v>980</v>
      </c>
      <c r="G42" s="95">
        <v>480</v>
      </c>
      <c r="H42" s="95">
        <v>480</v>
      </c>
      <c r="I42" s="95">
        <v>480</v>
      </c>
    </row>
    <row r="43" spans="3:15" x14ac:dyDescent="0.25">
      <c r="C43" t="s">
        <v>1953</v>
      </c>
      <c r="D43" s="95">
        <v>250</v>
      </c>
      <c r="E43" s="95">
        <v>250</v>
      </c>
      <c r="F43" s="95">
        <v>250</v>
      </c>
      <c r="G43" s="95">
        <v>250</v>
      </c>
      <c r="H43" s="95">
        <v>250</v>
      </c>
      <c r="I43">
        <v>250</v>
      </c>
      <c r="K43" s="146"/>
      <c r="L43" s="146"/>
      <c r="M43" s="146"/>
      <c r="N43" s="146"/>
      <c r="O43" s="146"/>
    </row>
    <row r="44" spans="3:15" x14ac:dyDescent="0.25">
      <c r="C44" t="s">
        <v>1954</v>
      </c>
      <c r="D44" s="95">
        <v>260</v>
      </c>
      <c r="E44" s="95">
        <v>260</v>
      </c>
      <c r="F44" s="95">
        <v>260</v>
      </c>
      <c r="G44" s="95">
        <v>260</v>
      </c>
      <c r="H44" s="95">
        <v>260</v>
      </c>
      <c r="I44">
        <v>260</v>
      </c>
      <c r="K44" s="146"/>
      <c r="L44" s="146"/>
      <c r="M44" s="146"/>
      <c r="N44" s="146"/>
      <c r="O44" s="146"/>
    </row>
    <row r="45" spans="3:15" x14ac:dyDescent="0.25">
      <c r="C45" t="s">
        <v>1619</v>
      </c>
      <c r="K45" s="146"/>
      <c r="L45" s="146"/>
      <c r="M45" s="146"/>
      <c r="N45" s="146"/>
      <c r="O45" s="146"/>
    </row>
    <row r="46" spans="3:15" x14ac:dyDescent="0.25">
      <c r="C46" t="s">
        <v>1248</v>
      </c>
      <c r="D46" s="95">
        <v>175</v>
      </c>
      <c r="E46" s="95">
        <v>175</v>
      </c>
      <c r="F46" s="95">
        <v>175</v>
      </c>
      <c r="G46" s="95">
        <v>175</v>
      </c>
      <c r="H46" s="95">
        <v>175</v>
      </c>
      <c r="I46" s="95">
        <v>175</v>
      </c>
      <c r="K46" s="146"/>
      <c r="L46" s="146"/>
      <c r="M46" s="146"/>
      <c r="N46" s="146"/>
      <c r="O46" s="146"/>
    </row>
    <row r="47" spans="3:15" x14ac:dyDescent="0.25">
      <c r="C47" t="s">
        <v>1955</v>
      </c>
      <c r="D47" s="95">
        <v>175</v>
      </c>
      <c r="E47" s="95">
        <v>175</v>
      </c>
      <c r="F47" s="95">
        <v>175</v>
      </c>
      <c r="G47" s="95">
        <v>175</v>
      </c>
      <c r="H47" s="95">
        <v>175</v>
      </c>
      <c r="I47" s="95">
        <v>175</v>
      </c>
      <c r="K47" s="146"/>
      <c r="L47" s="146"/>
      <c r="M47" s="146"/>
      <c r="N47" s="146"/>
      <c r="O47" s="146"/>
    </row>
    <row r="48" spans="3:15" x14ac:dyDescent="0.25">
      <c r="C48" t="s">
        <v>1692</v>
      </c>
      <c r="D48" s="95">
        <v>150</v>
      </c>
      <c r="E48" s="95">
        <v>150</v>
      </c>
      <c r="F48" s="95">
        <v>150</v>
      </c>
      <c r="G48" s="95">
        <v>150</v>
      </c>
      <c r="H48" s="95">
        <v>150</v>
      </c>
      <c r="I48" s="95">
        <v>150</v>
      </c>
      <c r="K48" s="146"/>
      <c r="L48" s="146"/>
      <c r="M48" s="146"/>
      <c r="N48" s="146"/>
      <c r="O48" s="146"/>
    </row>
    <row r="49" spans="2:13" s="146" customFormat="1" x14ac:dyDescent="0.25">
      <c r="B49" s="159">
        <f>+(1964+2400)/18.5-65</f>
        <v>170.8918918918919</v>
      </c>
      <c r="C49" t="s">
        <v>1673</v>
      </c>
      <c r="D49" s="95"/>
      <c r="E49"/>
      <c r="H49" s="146">
        <v>400</v>
      </c>
      <c r="J49" s="147"/>
    </row>
    <row r="50" spans="2:13" s="146" customFormat="1" x14ac:dyDescent="0.25">
      <c r="B50" s="159"/>
      <c r="C50" t="s">
        <v>125</v>
      </c>
      <c r="D50" s="95">
        <v>300</v>
      </c>
      <c r="E50"/>
      <c r="I50" s="95">
        <v>600</v>
      </c>
      <c r="J50" s="147"/>
    </row>
    <row r="51" spans="2:13" s="146" customFormat="1" x14ac:dyDescent="0.25">
      <c r="B51" s="159"/>
      <c r="C51" t="s">
        <v>1251</v>
      </c>
      <c r="D51" s="95"/>
      <c r="E51"/>
      <c r="F51" s="882">
        <f>848*1.045</f>
        <v>886.16</v>
      </c>
      <c r="G51" s="882">
        <f>725*1.045+1035*1.045</f>
        <v>1839.1999999999998</v>
      </c>
      <c r="H51" s="95">
        <f>628+520+300+74+380+300+450+150</f>
        <v>2802</v>
      </c>
      <c r="J51" s="882">
        <f>360+500+400</f>
        <v>1260</v>
      </c>
    </row>
    <row r="52" spans="2:13" s="146" customFormat="1" x14ac:dyDescent="0.25">
      <c r="B52" s="159"/>
      <c r="C52" t="s">
        <v>43</v>
      </c>
      <c r="D52" s="95"/>
      <c r="E52"/>
      <c r="F52" s="95">
        <v>934</v>
      </c>
      <c r="G52" s="95">
        <f>242+364+419</f>
        <v>1025</v>
      </c>
      <c r="H52" s="95">
        <f>535+515</f>
        <v>1050</v>
      </c>
      <c r="I52" s="95">
        <f>403+496</f>
        <v>899</v>
      </c>
      <c r="J52" s="147"/>
    </row>
    <row r="53" spans="2:13" x14ac:dyDescent="0.25">
      <c r="D53" s="3">
        <f>SUM(D34:D50)</f>
        <v>5760</v>
      </c>
      <c r="E53" s="3">
        <f t="shared" ref="E53:I53" si="8">SUM(E34:E50)</f>
        <v>5240</v>
      </c>
      <c r="F53" s="3">
        <f t="shared" si="8"/>
        <v>9110</v>
      </c>
      <c r="G53" s="3">
        <f t="shared" si="8"/>
        <v>2390</v>
      </c>
      <c r="H53" s="3">
        <f>SUM(H34:H52)</f>
        <v>15642</v>
      </c>
      <c r="I53" s="3">
        <f t="shared" si="8"/>
        <v>7040</v>
      </c>
    </row>
    <row r="54" spans="2:13" x14ac:dyDescent="0.25">
      <c r="C54" t="s">
        <v>1956</v>
      </c>
      <c r="D54" s="768">
        <f>+D33-D53</f>
        <v>-1230</v>
      </c>
      <c r="E54" s="3"/>
      <c r="F54" s="3"/>
      <c r="G54" s="3"/>
      <c r="H54" s="3"/>
    </row>
    <row r="55" spans="2:13" x14ac:dyDescent="0.25">
      <c r="D55" s="3"/>
      <c r="E55" s="3" t="s">
        <v>66</v>
      </c>
      <c r="F55" s="3"/>
      <c r="G55" s="3"/>
      <c r="H55" s="3"/>
    </row>
    <row r="56" spans="2:13" x14ac:dyDescent="0.25">
      <c r="C56" s="146"/>
      <c r="D56" s="159"/>
      <c r="E56" s="146"/>
    </row>
    <row r="57" spans="2:13" x14ac:dyDescent="0.25">
      <c r="C57" s="159" t="s">
        <v>2509</v>
      </c>
      <c r="F57" s="3" t="s">
        <v>1952</v>
      </c>
      <c r="G57" s="3" t="s">
        <v>120</v>
      </c>
      <c r="H57" s="3" t="s">
        <v>121</v>
      </c>
      <c r="I57" s="3" t="s">
        <v>151</v>
      </c>
      <c r="J57" s="3" t="s">
        <v>122</v>
      </c>
      <c r="K57" s="3" t="s">
        <v>123</v>
      </c>
      <c r="L57" s="3" t="s">
        <v>152</v>
      </c>
      <c r="M57" s="3" t="s">
        <v>124</v>
      </c>
    </row>
    <row r="58" spans="2:13" x14ac:dyDescent="0.25">
      <c r="B58" s="3">
        <v>1000</v>
      </c>
      <c r="C58" s="146" t="s">
        <v>1114</v>
      </c>
      <c r="F58" s="95">
        <v>480</v>
      </c>
      <c r="G58" s="95">
        <v>480</v>
      </c>
      <c r="H58" s="95">
        <v>480</v>
      </c>
      <c r="I58" s="95">
        <v>480</v>
      </c>
      <c r="J58"/>
      <c r="L58" s="2"/>
    </row>
    <row r="59" spans="2:13" x14ac:dyDescent="0.25">
      <c r="B59" s="3">
        <v>300</v>
      </c>
      <c r="C59" s="146" t="s">
        <v>860</v>
      </c>
      <c r="G59">
        <v>165</v>
      </c>
      <c r="H59">
        <v>200</v>
      </c>
      <c r="I59">
        <v>200</v>
      </c>
      <c r="J59"/>
      <c r="L59" s="2"/>
    </row>
    <row r="60" spans="2:13" x14ac:dyDescent="0.25">
      <c r="B60" s="3">
        <v>2500</v>
      </c>
      <c r="C60" s="146" t="s">
        <v>2085</v>
      </c>
      <c r="F60" s="95">
        <v>300</v>
      </c>
      <c r="H60" s="95">
        <v>1300</v>
      </c>
      <c r="J60"/>
      <c r="L60" s="2"/>
    </row>
    <row r="61" spans="2:13" x14ac:dyDescent="0.25">
      <c r="B61" s="3">
        <v>2000</v>
      </c>
      <c r="C61" s="146" t="s">
        <v>2086</v>
      </c>
      <c r="J61" s="95">
        <v>2000</v>
      </c>
      <c r="L61" s="2"/>
    </row>
    <row r="62" spans="2:13" x14ac:dyDescent="0.25">
      <c r="B62" s="3">
        <f>1400+170</f>
        <v>1570</v>
      </c>
      <c r="C62" s="146" t="s">
        <v>1673</v>
      </c>
      <c r="F62" s="146"/>
      <c r="G62" s="146"/>
      <c r="H62">
        <v>700</v>
      </c>
      <c r="I62">
        <v>700</v>
      </c>
      <c r="J62">
        <v>500</v>
      </c>
      <c r="L62" s="2"/>
    </row>
    <row r="63" spans="2:13" x14ac:dyDescent="0.25">
      <c r="C63" s="146" t="s">
        <v>1219</v>
      </c>
      <c r="F63" s="146">
        <v>500</v>
      </c>
      <c r="G63" s="146">
        <v>500</v>
      </c>
      <c r="H63" s="146">
        <v>500</v>
      </c>
      <c r="I63" s="146">
        <v>500</v>
      </c>
      <c r="J63" s="146">
        <v>500</v>
      </c>
      <c r="K63" s="146">
        <v>500</v>
      </c>
      <c r="L63" s="146">
        <v>500</v>
      </c>
      <c r="M63" s="146">
        <v>500</v>
      </c>
    </row>
    <row r="64" spans="2:13" x14ac:dyDescent="0.25">
      <c r="C64" s="146" t="s">
        <v>587</v>
      </c>
      <c r="I64" s="95">
        <v>500</v>
      </c>
    </row>
    <row r="65" spans="3:11" x14ac:dyDescent="0.25">
      <c r="C65" s="146" t="s">
        <v>2523</v>
      </c>
      <c r="H65" s="95">
        <f>450+65+48</f>
        <v>563</v>
      </c>
    </row>
    <row r="66" spans="3:11" x14ac:dyDescent="0.25">
      <c r="C66" s="146" t="s">
        <v>203</v>
      </c>
      <c r="J66" s="2">
        <v>400</v>
      </c>
      <c r="K66">
        <v>400</v>
      </c>
    </row>
    <row r="67" spans="3:11" x14ac:dyDescent="0.25">
      <c r="C67" s="146" t="s">
        <v>827</v>
      </c>
      <c r="J67" s="2">
        <v>375</v>
      </c>
      <c r="K67">
        <v>375</v>
      </c>
    </row>
    <row r="71" spans="3:11" x14ac:dyDescent="0.25">
      <c r="E71" t="s">
        <v>151</v>
      </c>
      <c r="F71" t="s">
        <v>152</v>
      </c>
      <c r="G71" t="s">
        <v>124</v>
      </c>
      <c r="H71" t="s">
        <v>84</v>
      </c>
      <c r="I71" t="s">
        <v>85</v>
      </c>
      <c r="J71" t="s">
        <v>86</v>
      </c>
      <c r="K71" s="2" t="s">
        <v>87</v>
      </c>
    </row>
    <row r="72" spans="3:11" x14ac:dyDescent="0.25">
      <c r="C72" s="3" t="s">
        <v>2893</v>
      </c>
    </row>
    <row r="73" spans="3:11" x14ac:dyDescent="0.25">
      <c r="C73" t="s">
        <v>2894</v>
      </c>
    </row>
    <row r="74" spans="3:11" x14ac:dyDescent="0.25">
      <c r="C74" t="s">
        <v>2896</v>
      </c>
    </row>
    <row r="75" spans="3:11" x14ac:dyDescent="0.25">
      <c r="C75" t="s">
        <v>2895</v>
      </c>
    </row>
    <row r="76" spans="3:11" x14ac:dyDescent="0.25">
      <c r="C76" t="s">
        <v>645</v>
      </c>
    </row>
    <row r="77" spans="3:11" x14ac:dyDescent="0.25">
      <c r="C77" t="s">
        <v>2494</v>
      </c>
    </row>
    <row r="78" spans="3:11" x14ac:dyDescent="0.25">
      <c r="C78" t="s">
        <v>2897</v>
      </c>
    </row>
    <row r="80" spans="3:11" x14ac:dyDescent="0.25">
      <c r="C80" s="3" t="s">
        <v>2898</v>
      </c>
    </row>
    <row r="81" spans="3:5" x14ac:dyDescent="0.25">
      <c r="C81" t="s">
        <v>2894</v>
      </c>
      <c r="D81">
        <v>300</v>
      </c>
      <c r="E81">
        <v>30</v>
      </c>
    </row>
    <row r="82" spans="3:5" x14ac:dyDescent="0.25">
      <c r="C82" t="s">
        <v>2896</v>
      </c>
    </row>
    <row r="83" spans="3:5" x14ac:dyDescent="0.25">
      <c r="C83" t="s">
        <v>2895</v>
      </c>
    </row>
    <row r="84" spans="3:5" x14ac:dyDescent="0.25">
      <c r="C84" t="s">
        <v>645</v>
      </c>
      <c r="D84">
        <v>300</v>
      </c>
    </row>
    <row r="85" spans="3:5" x14ac:dyDescent="0.25">
      <c r="C85" t="s">
        <v>2494</v>
      </c>
    </row>
    <row r="86" spans="3:5" x14ac:dyDescent="0.25">
      <c r="C86" t="s">
        <v>2897</v>
      </c>
      <c r="D86">
        <v>129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opLeftCell="A23" zoomScale="140" zoomScaleNormal="140" workbookViewId="0">
      <selection activeCell="F32" sqref="F32"/>
    </sheetView>
  </sheetViews>
  <sheetFormatPr defaultRowHeight="15" x14ac:dyDescent="0.25"/>
  <cols>
    <col min="2" max="2" width="18.7109375" customWidth="1"/>
    <col min="6" max="6" width="10.140625" customWidth="1"/>
    <col min="7" max="7" width="12" customWidth="1"/>
    <col min="9" max="9" width="11.7109375" customWidth="1"/>
  </cols>
  <sheetData>
    <row r="1" spans="1:7" x14ac:dyDescent="0.25">
      <c r="A1" t="s">
        <v>703</v>
      </c>
    </row>
    <row r="2" spans="1:7" x14ac:dyDescent="0.25">
      <c r="B2" t="s">
        <v>126</v>
      </c>
    </row>
    <row r="3" spans="1:7" x14ac:dyDescent="0.25">
      <c r="B3" t="s">
        <v>127</v>
      </c>
    </row>
    <row r="5" spans="1:7" x14ac:dyDescent="0.25">
      <c r="B5" t="s">
        <v>343</v>
      </c>
    </row>
    <row r="7" spans="1:7" x14ac:dyDescent="0.25">
      <c r="B7" t="s">
        <v>344</v>
      </c>
    </row>
    <row r="9" spans="1:7" x14ac:dyDescent="0.25">
      <c r="B9" t="s">
        <v>350</v>
      </c>
      <c r="G9" t="s">
        <v>352</v>
      </c>
    </row>
    <row r="10" spans="1:7" x14ac:dyDescent="0.25">
      <c r="G10" t="s">
        <v>351</v>
      </c>
    </row>
    <row r="11" spans="1:7" x14ac:dyDescent="0.25">
      <c r="G11" t="s">
        <v>448</v>
      </c>
    </row>
    <row r="12" spans="1:7" x14ac:dyDescent="0.25">
      <c r="G12" t="s">
        <v>449</v>
      </c>
    </row>
    <row r="13" spans="1:7" x14ac:dyDescent="0.25">
      <c r="G13" t="s">
        <v>450</v>
      </c>
    </row>
    <row r="14" spans="1:7" x14ac:dyDescent="0.25">
      <c r="G14" t="s">
        <v>451</v>
      </c>
    </row>
    <row r="16" spans="1:7" x14ac:dyDescent="0.25">
      <c r="B16" t="s">
        <v>452</v>
      </c>
      <c r="G16" t="s">
        <v>453</v>
      </c>
    </row>
    <row r="17" spans="2:12" x14ac:dyDescent="0.25">
      <c r="G17" t="s">
        <v>454</v>
      </c>
    </row>
    <row r="18" spans="2:12" x14ac:dyDescent="0.25">
      <c r="G18" t="s">
        <v>455</v>
      </c>
    </row>
    <row r="20" spans="2:12" x14ac:dyDescent="0.25">
      <c r="B20" t="s">
        <v>456</v>
      </c>
    </row>
    <row r="21" spans="2:12" x14ac:dyDescent="0.25">
      <c r="G21" t="s">
        <v>458</v>
      </c>
      <c r="L21">
        <v>100</v>
      </c>
    </row>
    <row r="22" spans="2:12" x14ac:dyDescent="0.25">
      <c r="G22" t="s">
        <v>460</v>
      </c>
      <c r="L22">
        <v>50</v>
      </c>
    </row>
    <row r="23" spans="2:12" x14ac:dyDescent="0.25">
      <c r="F23" t="s">
        <v>461</v>
      </c>
      <c r="G23" t="s">
        <v>457</v>
      </c>
      <c r="L23" s="93">
        <v>0.5</v>
      </c>
    </row>
    <row r="24" spans="2:12" x14ac:dyDescent="0.25">
      <c r="G24" t="s">
        <v>463</v>
      </c>
      <c r="L24" s="93">
        <v>0.1</v>
      </c>
    </row>
    <row r="25" spans="2:12" x14ac:dyDescent="0.25">
      <c r="G25" t="s">
        <v>462</v>
      </c>
      <c r="L25" s="93">
        <v>0.1</v>
      </c>
    </row>
    <row r="26" spans="2:12" x14ac:dyDescent="0.25">
      <c r="G26" t="s">
        <v>459</v>
      </c>
      <c r="L26" s="93">
        <v>0.3</v>
      </c>
    </row>
    <row r="28" spans="2:12" s="3" customFormat="1" ht="15.75" thickBot="1" x14ac:dyDescent="0.3">
      <c r="B28" s="3" t="s">
        <v>2021</v>
      </c>
    </row>
    <row r="29" spans="2:12" s="3" customFormat="1" ht="15.75" thickBot="1" x14ac:dyDescent="0.3">
      <c r="B29" s="7"/>
      <c r="C29" s="8" t="s">
        <v>2088</v>
      </c>
      <c r="D29" s="8" t="s">
        <v>2087</v>
      </c>
      <c r="E29" s="8"/>
      <c r="F29" s="8"/>
      <c r="G29" s="8" t="s">
        <v>2089</v>
      </c>
      <c r="H29" s="8" t="s">
        <v>2087</v>
      </c>
      <c r="I29" s="8"/>
      <c r="J29" s="8"/>
      <c r="K29" s="8" t="s">
        <v>2090</v>
      </c>
      <c r="L29" s="110" t="s">
        <v>2087</v>
      </c>
    </row>
    <row r="30" spans="2:12" x14ac:dyDescent="0.25">
      <c r="C30">
        <v>14</v>
      </c>
      <c r="D30" s="44">
        <v>45292</v>
      </c>
      <c r="G30">
        <v>14</v>
      </c>
      <c r="H30" t="s">
        <v>2022</v>
      </c>
      <c r="K30">
        <v>7</v>
      </c>
      <c r="L30" t="s">
        <v>2024</v>
      </c>
    </row>
    <row r="31" spans="2:12" x14ac:dyDescent="0.25">
      <c r="G31">
        <v>3</v>
      </c>
      <c r="H31" t="s">
        <v>2023</v>
      </c>
    </row>
    <row r="32" spans="2:12" x14ac:dyDescent="0.25">
      <c r="G32">
        <v>5</v>
      </c>
      <c r="H32" t="s">
        <v>2091</v>
      </c>
    </row>
    <row r="34" spans="2:12" ht="15.75" thickBot="1" x14ac:dyDescent="0.3"/>
    <row r="35" spans="2:12" s="3" customFormat="1" ht="15.75" thickBot="1" x14ac:dyDescent="0.3">
      <c r="B35" s="7" t="s">
        <v>31</v>
      </c>
      <c r="C35" s="8">
        <f>SUM(C30:C34)</f>
        <v>14</v>
      </c>
      <c r="D35" s="8"/>
      <c r="E35" s="8"/>
      <c r="F35" s="8"/>
      <c r="G35" s="8">
        <f>SUM(G30:G34)</f>
        <v>22</v>
      </c>
      <c r="H35" s="8"/>
      <c r="I35" s="8"/>
      <c r="J35" s="8"/>
      <c r="K35" s="8">
        <f>SUM(K30:K34)</f>
        <v>7</v>
      </c>
      <c r="L35" s="110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250"/>
  <sheetViews>
    <sheetView view="pageBreakPreview" topLeftCell="C1" zoomScale="110" zoomScaleNormal="140" zoomScaleSheetLayoutView="110" workbookViewId="0">
      <pane ySplit="1" topLeftCell="A618" activePane="bottomLeft" state="frozen"/>
      <selection activeCell="E33" sqref="E33"/>
      <selection pane="bottomLeft" activeCell="G632" sqref="G632"/>
    </sheetView>
  </sheetViews>
  <sheetFormatPr defaultColWidth="9.140625" defaultRowHeight="15" outlineLevelRow="1" x14ac:dyDescent="0.25"/>
  <cols>
    <col min="1" max="1" width="8.28515625" style="225" hidden="1" customWidth="1"/>
    <col min="2" max="2" width="15.7109375" style="225" hidden="1" customWidth="1"/>
    <col min="3" max="3" width="14.5703125" style="319" customWidth="1"/>
    <col min="4" max="4" width="5.5703125" style="178" customWidth="1"/>
    <col min="5" max="5" width="7.85546875" style="656" customWidth="1"/>
    <col min="6" max="6" width="40.42578125" style="628" customWidth="1"/>
    <col min="7" max="7" width="13.140625" style="226" customWidth="1"/>
    <col min="8" max="8" width="12.42578125" style="178" customWidth="1"/>
    <col min="9" max="9" width="16" style="226" customWidth="1"/>
    <col min="10" max="10" width="9.140625" style="226" customWidth="1"/>
    <col min="11" max="11" width="8.28515625" style="226" customWidth="1"/>
    <col min="12" max="12" width="9.140625" style="178" customWidth="1"/>
    <col min="13" max="13" width="9.42578125" style="226" customWidth="1"/>
    <col min="14" max="14" width="10.5703125" style="226" bestFit="1" customWidth="1"/>
    <col min="15" max="15" width="8.85546875" style="178" hidden="1" customWidth="1"/>
    <col min="16" max="16" width="9.28515625" style="178" hidden="1" customWidth="1"/>
    <col min="17" max="17" width="24.7109375" style="178" customWidth="1"/>
    <col min="18" max="18" width="10.28515625" style="178" bestFit="1" customWidth="1"/>
    <col min="19" max="19" width="10.7109375" style="178" bestFit="1" customWidth="1"/>
    <col min="20" max="16384" width="9.140625" style="178"/>
  </cols>
  <sheetData>
    <row r="1" spans="1:21" s="219" customFormat="1" ht="46.5" customHeight="1" x14ac:dyDescent="0.25">
      <c r="A1" s="219" t="s">
        <v>733</v>
      </c>
      <c r="B1" s="152" t="s">
        <v>2109</v>
      </c>
      <c r="C1" s="652" t="s">
        <v>0</v>
      </c>
      <c r="D1" s="220" t="s">
        <v>21</v>
      </c>
      <c r="E1" s="220" t="s">
        <v>487</v>
      </c>
      <c r="F1" s="627" t="s">
        <v>1</v>
      </c>
      <c r="G1" s="221" t="s">
        <v>2</v>
      </c>
      <c r="H1" s="221" t="s">
        <v>3</v>
      </c>
      <c r="I1" s="221" t="s">
        <v>1061</v>
      </c>
      <c r="J1" s="221" t="s">
        <v>5</v>
      </c>
      <c r="K1" s="221" t="s">
        <v>6</v>
      </c>
      <c r="L1" s="222" t="s">
        <v>7</v>
      </c>
      <c r="M1" s="221" t="s">
        <v>8</v>
      </c>
      <c r="N1" s="224" t="s">
        <v>9</v>
      </c>
      <c r="O1" s="221" t="s">
        <v>32</v>
      </c>
      <c r="P1" s="221" t="s">
        <v>379</v>
      </c>
      <c r="Q1" s="221"/>
      <c r="R1" s="223" t="s">
        <v>23</v>
      </c>
      <c r="S1" s="221" t="s">
        <v>22</v>
      </c>
      <c r="U1" s="221"/>
    </row>
    <row r="2" spans="1:21" s="219" customFormat="1" ht="18" customHeight="1" x14ac:dyDescent="0.25">
      <c r="B2" s="152"/>
      <c r="C2" s="822">
        <v>45323</v>
      </c>
      <c r="D2" s="220"/>
      <c r="E2" s="220"/>
      <c r="F2" s="627"/>
      <c r="G2" s="221"/>
      <c r="H2" s="221"/>
      <c r="I2" s="221"/>
      <c r="J2" s="221"/>
      <c r="K2" s="221"/>
      <c r="L2" s="222"/>
      <c r="M2" s="221"/>
      <c r="N2" s="224"/>
      <c r="O2" s="221"/>
      <c r="P2" s="221"/>
      <c r="Q2" s="221"/>
      <c r="R2" s="223"/>
      <c r="S2" s="221"/>
      <c r="U2" s="221"/>
    </row>
    <row r="3" spans="1:21" s="219" customFormat="1" ht="18" customHeight="1" x14ac:dyDescent="0.25">
      <c r="B3" s="152" t="s">
        <v>587</v>
      </c>
      <c r="C3" s="652" t="s">
        <v>2174</v>
      </c>
      <c r="D3" s="220"/>
      <c r="E3" s="220">
        <v>44</v>
      </c>
      <c r="F3" s="627" t="s">
        <v>2175</v>
      </c>
      <c r="G3" s="221">
        <v>25</v>
      </c>
      <c r="H3" s="221"/>
      <c r="I3" s="221"/>
      <c r="J3" s="221"/>
      <c r="K3" s="221"/>
      <c r="L3" s="222"/>
      <c r="M3" s="221">
        <v>90</v>
      </c>
      <c r="N3" s="221">
        <v>90</v>
      </c>
      <c r="O3" s="221"/>
      <c r="P3" s="221"/>
      <c r="Q3" s="858" t="s">
        <v>2180</v>
      </c>
      <c r="R3" s="859">
        <v>45359</v>
      </c>
      <c r="S3" s="858">
        <f>+N3*18000</f>
        <v>1620000</v>
      </c>
      <c r="U3" s="221"/>
    </row>
    <row r="4" spans="1:21" s="219" customFormat="1" ht="18" customHeight="1" x14ac:dyDescent="0.25">
      <c r="B4" s="152" t="s">
        <v>587</v>
      </c>
      <c r="C4" s="652" t="s">
        <v>2174</v>
      </c>
      <c r="D4" s="220"/>
      <c r="E4" s="220">
        <v>46</v>
      </c>
      <c r="F4" s="627" t="s">
        <v>2175</v>
      </c>
      <c r="G4" s="221">
        <v>25</v>
      </c>
      <c r="H4" s="221"/>
      <c r="I4" s="221"/>
      <c r="J4" s="221"/>
      <c r="K4" s="221"/>
      <c r="L4" s="222"/>
      <c r="M4" s="221">
        <v>90</v>
      </c>
      <c r="N4" s="221">
        <v>90</v>
      </c>
      <c r="O4" s="221"/>
      <c r="P4" s="221"/>
      <c r="Q4" s="858" t="s">
        <v>2235</v>
      </c>
      <c r="R4" s="859">
        <v>45377</v>
      </c>
      <c r="S4" s="858">
        <f>+N4*20000</f>
        <v>1800000</v>
      </c>
      <c r="U4" s="221"/>
    </row>
    <row r="5" spans="1:21" s="219" customFormat="1" ht="18" customHeight="1" x14ac:dyDescent="0.25">
      <c r="B5" s="152" t="s">
        <v>587</v>
      </c>
      <c r="C5" s="652" t="s">
        <v>2174</v>
      </c>
      <c r="D5" s="220"/>
      <c r="E5" s="220">
        <v>48</v>
      </c>
      <c r="F5" s="627" t="s">
        <v>2175</v>
      </c>
      <c r="G5" s="221">
        <v>25</v>
      </c>
      <c r="H5" s="221"/>
      <c r="I5" s="221"/>
      <c r="J5" s="221"/>
      <c r="K5" s="221"/>
      <c r="L5" s="222"/>
      <c r="M5" s="221">
        <v>90</v>
      </c>
      <c r="N5" s="221">
        <v>90</v>
      </c>
      <c r="O5" s="221"/>
      <c r="P5" s="221"/>
      <c r="Q5" s="858" t="s">
        <v>2184</v>
      </c>
      <c r="R5" s="859">
        <v>45369</v>
      </c>
      <c r="S5" s="858">
        <f>+N5*18000</f>
        <v>1620000</v>
      </c>
      <c r="U5" s="221"/>
    </row>
    <row r="6" spans="1:21" s="219" customFormat="1" ht="18" customHeight="1" x14ac:dyDescent="0.25">
      <c r="B6" s="152" t="s">
        <v>587</v>
      </c>
      <c r="C6" s="652" t="s">
        <v>2174</v>
      </c>
      <c r="D6" s="220"/>
      <c r="E6" s="220">
        <v>50</v>
      </c>
      <c r="F6" s="627" t="s">
        <v>2175</v>
      </c>
      <c r="G6" s="221">
        <v>25</v>
      </c>
      <c r="H6" s="221"/>
      <c r="I6" s="221"/>
      <c r="J6" s="221"/>
      <c r="K6" s="221"/>
      <c r="L6" s="222"/>
      <c r="M6" s="221">
        <v>90</v>
      </c>
      <c r="N6" s="221">
        <v>90</v>
      </c>
      <c r="O6" s="221"/>
      <c r="P6" s="221"/>
      <c r="Q6" s="858" t="s">
        <v>2178</v>
      </c>
      <c r="R6" s="859">
        <v>45358</v>
      </c>
      <c r="S6" s="858">
        <f>+N6*18000</f>
        <v>1620000</v>
      </c>
      <c r="U6" s="221"/>
    </row>
    <row r="7" spans="1:21" s="219" customFormat="1" ht="18" customHeight="1" x14ac:dyDescent="0.25">
      <c r="B7" s="152" t="s">
        <v>587</v>
      </c>
      <c r="C7" s="652" t="s">
        <v>2174</v>
      </c>
      <c r="D7" s="220"/>
      <c r="E7" s="220">
        <v>52</v>
      </c>
      <c r="F7" s="627" t="s">
        <v>2176</v>
      </c>
      <c r="G7" s="221">
        <v>25</v>
      </c>
      <c r="H7" s="221"/>
      <c r="I7" s="221"/>
      <c r="J7" s="221"/>
      <c r="K7" s="221"/>
      <c r="L7" s="222"/>
      <c r="M7" s="221">
        <v>90</v>
      </c>
      <c r="N7" s="221">
        <v>90</v>
      </c>
      <c r="O7" s="221"/>
      <c r="P7" s="221"/>
      <c r="Q7" s="858" t="s">
        <v>12</v>
      </c>
      <c r="R7" s="859">
        <v>45384</v>
      </c>
      <c r="S7" s="858">
        <f>+N7*35000</f>
        <v>3150000</v>
      </c>
      <c r="U7" s="221"/>
    </row>
    <row r="8" spans="1:21" s="219" customFormat="1" ht="18" customHeight="1" x14ac:dyDescent="0.25">
      <c r="B8" s="152" t="s">
        <v>587</v>
      </c>
      <c r="C8" s="652" t="s">
        <v>2174</v>
      </c>
      <c r="D8" s="220"/>
      <c r="E8" s="220">
        <v>54</v>
      </c>
      <c r="F8" s="627" t="s">
        <v>2176</v>
      </c>
      <c r="G8" s="221">
        <v>25</v>
      </c>
      <c r="H8" s="221"/>
      <c r="I8" s="221"/>
      <c r="J8" s="221"/>
      <c r="K8" s="221"/>
      <c r="L8" s="222"/>
      <c r="M8" s="221">
        <v>90</v>
      </c>
      <c r="N8" s="221">
        <v>90</v>
      </c>
      <c r="O8" s="221"/>
      <c r="P8" s="221"/>
      <c r="Q8" s="858"/>
      <c r="R8" s="859"/>
      <c r="S8" s="858"/>
      <c r="U8" s="221"/>
    </row>
    <row r="9" spans="1:21" s="219" customFormat="1" ht="18" customHeight="1" x14ac:dyDescent="0.25">
      <c r="B9" s="152" t="s">
        <v>587</v>
      </c>
      <c r="C9" s="652" t="s">
        <v>2174</v>
      </c>
      <c r="D9" s="220"/>
      <c r="E9" s="220">
        <v>56</v>
      </c>
      <c r="F9" s="627" t="s">
        <v>2176</v>
      </c>
      <c r="G9" s="221">
        <v>25</v>
      </c>
      <c r="H9" s="221"/>
      <c r="I9" s="221"/>
      <c r="J9" s="221"/>
      <c r="K9" s="221"/>
      <c r="L9" s="222"/>
      <c r="M9" s="221">
        <v>90</v>
      </c>
      <c r="N9" s="221">
        <v>90</v>
      </c>
      <c r="O9" s="221"/>
      <c r="P9" s="221"/>
      <c r="Q9" s="858"/>
      <c r="R9" s="859"/>
      <c r="S9" s="858"/>
      <c r="U9" s="221"/>
    </row>
    <row r="10" spans="1:21" s="219" customFormat="1" ht="18" customHeight="1" x14ac:dyDescent="0.25">
      <c r="B10" s="152" t="s">
        <v>587</v>
      </c>
      <c r="C10" s="652" t="s">
        <v>2174</v>
      </c>
      <c r="D10" s="220"/>
      <c r="E10" s="220">
        <v>58</v>
      </c>
      <c r="F10" s="627" t="s">
        <v>2176</v>
      </c>
      <c r="G10" s="221">
        <v>25</v>
      </c>
      <c r="H10" s="221"/>
      <c r="I10" s="221"/>
      <c r="J10" s="221"/>
      <c r="K10" s="221"/>
      <c r="L10" s="222"/>
      <c r="M10" s="221">
        <v>90</v>
      </c>
      <c r="N10" s="221">
        <v>90</v>
      </c>
      <c r="O10" s="221"/>
      <c r="P10" s="221"/>
      <c r="Q10" s="858"/>
      <c r="R10" s="859"/>
      <c r="S10" s="858"/>
      <c r="U10" s="221"/>
    </row>
    <row r="11" spans="1:21" s="219" customFormat="1" ht="18" customHeight="1" x14ac:dyDescent="0.25">
      <c r="B11" s="152" t="s">
        <v>587</v>
      </c>
      <c r="C11" s="652" t="s">
        <v>2174</v>
      </c>
      <c r="D11" s="220"/>
      <c r="E11" s="220">
        <v>44</v>
      </c>
      <c r="F11" s="627" t="s">
        <v>2177</v>
      </c>
      <c r="G11" s="221">
        <v>25</v>
      </c>
      <c r="H11" s="221"/>
      <c r="I11" s="221"/>
      <c r="J11" s="221"/>
      <c r="K11" s="221"/>
      <c r="L11" s="222"/>
      <c r="M11" s="221">
        <v>90</v>
      </c>
      <c r="N11" s="221">
        <v>90</v>
      </c>
      <c r="O11" s="221"/>
      <c r="P11" s="221"/>
      <c r="Q11" s="858" t="s">
        <v>12</v>
      </c>
      <c r="R11" s="859">
        <v>45372</v>
      </c>
      <c r="S11" s="858">
        <f>+N11*20000</f>
        <v>1800000</v>
      </c>
      <c r="U11" s="221"/>
    </row>
    <row r="12" spans="1:21" s="219" customFormat="1" ht="18" customHeight="1" x14ac:dyDescent="0.25">
      <c r="B12" s="152" t="s">
        <v>587</v>
      </c>
      <c r="C12" s="652" t="s">
        <v>2174</v>
      </c>
      <c r="D12" s="220"/>
      <c r="E12" s="220">
        <v>46</v>
      </c>
      <c r="F12" s="627" t="s">
        <v>2177</v>
      </c>
      <c r="G12" s="221">
        <v>25</v>
      </c>
      <c r="H12" s="221"/>
      <c r="I12" s="221"/>
      <c r="J12" s="221"/>
      <c r="K12" s="221"/>
      <c r="L12" s="222"/>
      <c r="M12" s="221">
        <v>90</v>
      </c>
      <c r="N12" s="221">
        <v>90</v>
      </c>
      <c r="O12" s="221"/>
      <c r="P12" s="221"/>
      <c r="Q12" s="858" t="s">
        <v>2180</v>
      </c>
      <c r="R12" s="859">
        <v>45359</v>
      </c>
      <c r="S12" s="858">
        <f>+N12*18000</f>
        <v>1620000</v>
      </c>
      <c r="U12" s="221"/>
    </row>
    <row r="13" spans="1:21" s="219" customFormat="1" ht="18" customHeight="1" x14ac:dyDescent="0.25">
      <c r="B13" s="152" t="s">
        <v>587</v>
      </c>
      <c r="C13" s="652" t="s">
        <v>2174</v>
      </c>
      <c r="D13" s="220"/>
      <c r="E13" s="220">
        <v>48</v>
      </c>
      <c r="F13" s="627" t="s">
        <v>2177</v>
      </c>
      <c r="G13" s="221">
        <v>25</v>
      </c>
      <c r="H13" s="221"/>
      <c r="I13" s="221"/>
      <c r="J13" s="221"/>
      <c r="K13" s="221"/>
      <c r="L13" s="222"/>
      <c r="M13" s="221">
        <v>90</v>
      </c>
      <c r="N13" s="221">
        <v>90</v>
      </c>
      <c r="O13" s="221"/>
      <c r="P13" s="221"/>
      <c r="Q13" s="326" t="s">
        <v>12</v>
      </c>
      <c r="R13" s="859">
        <v>45378</v>
      </c>
      <c r="S13" s="858">
        <f>+N13*30000</f>
        <v>2700000</v>
      </c>
      <c r="U13" s="221"/>
    </row>
    <row r="14" spans="1:21" s="219" customFormat="1" ht="18" customHeight="1" x14ac:dyDescent="0.25">
      <c r="B14" s="152" t="s">
        <v>587</v>
      </c>
      <c r="C14" s="652" t="s">
        <v>2174</v>
      </c>
      <c r="D14" s="220"/>
      <c r="E14" s="220">
        <v>50</v>
      </c>
      <c r="F14" s="627" t="s">
        <v>2177</v>
      </c>
      <c r="G14" s="221">
        <v>25</v>
      </c>
      <c r="H14" s="221"/>
      <c r="I14" s="221"/>
      <c r="J14" s="221"/>
      <c r="K14" s="221"/>
      <c r="L14" s="222"/>
      <c r="M14" s="221">
        <v>90</v>
      </c>
      <c r="N14" s="221">
        <v>90</v>
      </c>
      <c r="O14" s="221"/>
      <c r="P14" s="221"/>
      <c r="Q14" s="326" t="s">
        <v>12</v>
      </c>
      <c r="R14" s="859">
        <v>45384</v>
      </c>
      <c r="S14" s="858">
        <f>+N14*35000</f>
        <v>3150000</v>
      </c>
      <c r="U14" s="221"/>
    </row>
    <row r="15" spans="1:21" s="219" customFormat="1" ht="18" customHeight="1" x14ac:dyDescent="0.25">
      <c r="B15" s="152"/>
      <c r="C15" s="652" t="s">
        <v>2174</v>
      </c>
      <c r="D15" s="220"/>
      <c r="E15" s="220">
        <v>44</v>
      </c>
      <c r="F15" s="825" t="s">
        <v>2729</v>
      </c>
      <c r="G15" s="221"/>
      <c r="H15" s="221"/>
      <c r="I15" s="221"/>
      <c r="J15" s="221"/>
      <c r="K15" s="221"/>
      <c r="L15" s="222"/>
      <c r="M15" s="221"/>
      <c r="N15" s="221">
        <v>90</v>
      </c>
      <c r="O15" s="221"/>
      <c r="P15" s="221"/>
      <c r="Q15" s="326"/>
      <c r="R15" s="859"/>
      <c r="S15" s="858"/>
      <c r="U15" s="221"/>
    </row>
    <row r="16" spans="1:21" s="219" customFormat="1" ht="18" customHeight="1" x14ac:dyDescent="0.25">
      <c r="B16" s="152"/>
      <c r="C16" s="652" t="s">
        <v>2174</v>
      </c>
      <c r="D16" s="220"/>
      <c r="E16" s="220">
        <v>46</v>
      </c>
      <c r="F16" s="825" t="s">
        <v>2729</v>
      </c>
      <c r="G16" s="221"/>
      <c r="H16" s="221"/>
      <c r="I16" s="221"/>
      <c r="J16" s="221"/>
      <c r="K16" s="221"/>
      <c r="L16" s="222"/>
      <c r="M16" s="221"/>
      <c r="N16" s="221">
        <v>90</v>
      </c>
      <c r="O16" s="221"/>
      <c r="P16" s="221"/>
      <c r="Q16" s="326"/>
      <c r="R16" s="859"/>
      <c r="S16" s="858"/>
      <c r="U16" s="221"/>
    </row>
    <row r="17" spans="1:25" s="219" customFormat="1" ht="18" customHeight="1" x14ac:dyDescent="0.25">
      <c r="B17" s="152"/>
      <c r="C17" s="652" t="s">
        <v>2174</v>
      </c>
      <c r="D17" s="220"/>
      <c r="E17" s="220">
        <v>48</v>
      </c>
      <c r="F17" s="825" t="s">
        <v>2729</v>
      </c>
      <c r="G17" s="221"/>
      <c r="H17" s="221"/>
      <c r="I17" s="221"/>
      <c r="J17" s="221"/>
      <c r="K17" s="221"/>
      <c r="L17" s="222"/>
      <c r="M17" s="221"/>
      <c r="N17" s="221">
        <v>90</v>
      </c>
      <c r="O17" s="221"/>
      <c r="P17" s="221"/>
      <c r="Q17" s="326"/>
      <c r="R17" s="859"/>
      <c r="S17" s="858"/>
      <c r="U17" s="221"/>
    </row>
    <row r="18" spans="1:25" s="219" customFormat="1" ht="18" customHeight="1" thickBot="1" x14ac:dyDescent="0.3">
      <c r="B18" s="152"/>
      <c r="C18" s="652" t="s">
        <v>2174</v>
      </c>
      <c r="D18" s="220"/>
      <c r="E18" s="220">
        <v>50</v>
      </c>
      <c r="F18" s="825" t="s">
        <v>2729</v>
      </c>
      <c r="G18" s="221"/>
      <c r="H18" s="221"/>
      <c r="I18" s="221"/>
      <c r="J18" s="221"/>
      <c r="K18" s="221"/>
      <c r="L18" s="222"/>
      <c r="M18" s="221"/>
      <c r="N18" s="221">
        <v>90</v>
      </c>
      <c r="O18" s="221"/>
      <c r="P18" s="221"/>
      <c r="Q18" s="326"/>
      <c r="R18" s="859"/>
      <c r="S18" s="858"/>
      <c r="U18" s="221"/>
    </row>
    <row r="19" spans="1:25" s="219" customFormat="1" ht="18" customHeight="1" thickBot="1" x14ac:dyDescent="0.3">
      <c r="B19" s="152"/>
      <c r="C19" s="652"/>
      <c r="D19" s="220"/>
      <c r="E19" s="220"/>
      <c r="F19" s="627"/>
      <c r="G19" s="879">
        <f>SUM(G3:G14)</f>
        <v>300</v>
      </c>
      <c r="H19" s="132"/>
      <c r="I19" s="132"/>
      <c r="J19" s="132"/>
      <c r="K19" s="132"/>
      <c r="L19" s="867"/>
      <c r="M19" s="868">
        <f>SUM(M3:M14)</f>
        <v>1080</v>
      </c>
      <c r="N19" s="224"/>
      <c r="O19" s="221"/>
      <c r="P19" s="221"/>
      <c r="Q19" s="221"/>
      <c r="R19" s="223"/>
      <c r="S19" s="221"/>
      <c r="U19" s="221"/>
    </row>
    <row r="20" spans="1:25" x14ac:dyDescent="0.25">
      <c r="A20" s="178"/>
      <c r="C20" s="815">
        <v>45352</v>
      </c>
      <c r="G20" s="175"/>
      <c r="L20" s="228"/>
    </row>
    <row r="21" spans="1:25" x14ac:dyDescent="0.25">
      <c r="A21" s="178"/>
      <c r="B21" s="225" t="s">
        <v>1274</v>
      </c>
      <c r="G21" s="175"/>
      <c r="L21" s="228"/>
    </row>
    <row r="22" spans="1:25" x14ac:dyDescent="0.25">
      <c r="A22" s="178"/>
      <c r="B22" s="862" t="s">
        <v>2110</v>
      </c>
      <c r="C22" s="319" t="s">
        <v>1210</v>
      </c>
      <c r="E22" s="656">
        <v>42</v>
      </c>
      <c r="F22" s="628" t="s">
        <v>2111</v>
      </c>
      <c r="G22" s="175">
        <v>45</v>
      </c>
      <c r="H22" s="178">
        <v>4192</v>
      </c>
      <c r="I22" s="226">
        <v>3417</v>
      </c>
      <c r="J22" s="226">
        <f>+I22/H22*G22</f>
        <v>36.680582061068705</v>
      </c>
      <c r="K22" s="820">
        <f>+G22+J22</f>
        <v>81.680582061068705</v>
      </c>
      <c r="L22" s="228">
        <v>1.4</v>
      </c>
      <c r="M22" s="226">
        <f>+K22*L22</f>
        <v>114.35281488549617</v>
      </c>
      <c r="N22" s="226">
        <v>150</v>
      </c>
      <c r="W22" s="226"/>
      <c r="X22" s="226"/>
      <c r="Y22" s="226"/>
    </row>
    <row r="23" spans="1:25" x14ac:dyDescent="0.25">
      <c r="A23" s="178"/>
      <c r="B23" s="862" t="s">
        <v>2110</v>
      </c>
      <c r="C23" s="319" t="s">
        <v>1210</v>
      </c>
      <c r="E23" s="656">
        <v>44</v>
      </c>
      <c r="F23" s="628" t="s">
        <v>2111</v>
      </c>
      <c r="G23" s="175">
        <v>45</v>
      </c>
      <c r="H23" s="178">
        <v>4192</v>
      </c>
      <c r="I23" s="226">
        <v>3417</v>
      </c>
      <c r="J23" s="226">
        <f t="shared" ref="J23:J44" si="0">+I23/H23*G23</f>
        <v>36.680582061068705</v>
      </c>
      <c r="K23" s="820">
        <f t="shared" ref="K23:K44" si="1">+G23+J23</f>
        <v>81.680582061068705</v>
      </c>
      <c r="L23" s="228">
        <v>1.4</v>
      </c>
      <c r="M23" s="226">
        <f t="shared" ref="M23:M44" si="2">+K23*L23</f>
        <v>114.35281488549617</v>
      </c>
      <c r="N23" s="226">
        <v>150</v>
      </c>
    </row>
    <row r="24" spans="1:25" x14ac:dyDescent="0.25">
      <c r="A24" s="178"/>
      <c r="B24" s="862" t="s">
        <v>2110</v>
      </c>
      <c r="C24" s="319" t="s">
        <v>1210</v>
      </c>
      <c r="E24" s="656">
        <v>46</v>
      </c>
      <c r="F24" s="708" t="s">
        <v>2111</v>
      </c>
      <c r="G24" s="698">
        <v>45</v>
      </c>
      <c r="H24" s="213">
        <v>4192</v>
      </c>
      <c r="I24" s="232">
        <v>3417</v>
      </c>
      <c r="J24" s="232">
        <f t="shared" si="0"/>
        <v>36.680582061068705</v>
      </c>
      <c r="K24" s="863">
        <f t="shared" si="1"/>
        <v>81.680582061068705</v>
      </c>
      <c r="L24" s="864">
        <v>1.4</v>
      </c>
      <c r="M24" s="232">
        <f t="shared" si="2"/>
        <v>114.35281488549617</v>
      </c>
      <c r="N24" s="232">
        <v>150</v>
      </c>
      <c r="Q24" s="178" t="s">
        <v>2314</v>
      </c>
      <c r="R24" s="229">
        <v>45386</v>
      </c>
      <c r="S24" s="178">
        <f>+N24*35000</f>
        <v>5250000</v>
      </c>
    </row>
    <row r="25" spans="1:25" x14ac:dyDescent="0.25">
      <c r="A25" s="178"/>
      <c r="B25" s="862" t="s">
        <v>2110</v>
      </c>
      <c r="C25" s="319" t="s">
        <v>1210</v>
      </c>
      <c r="E25" s="656">
        <v>48</v>
      </c>
      <c r="F25" s="708" t="s">
        <v>2111</v>
      </c>
      <c r="G25" s="698">
        <v>45</v>
      </c>
      <c r="H25" s="213">
        <v>4192</v>
      </c>
      <c r="I25" s="232">
        <v>3417</v>
      </c>
      <c r="J25" s="232">
        <f t="shared" si="0"/>
        <v>36.680582061068705</v>
      </c>
      <c r="K25" s="863">
        <f t="shared" si="1"/>
        <v>81.680582061068705</v>
      </c>
      <c r="L25" s="864">
        <v>1.4</v>
      </c>
      <c r="M25" s="232">
        <f t="shared" si="2"/>
        <v>114.35281488549617</v>
      </c>
      <c r="N25" s="232">
        <v>150</v>
      </c>
      <c r="Q25" s="178" t="s">
        <v>2267</v>
      </c>
      <c r="R25" s="229">
        <v>45379</v>
      </c>
      <c r="S25" s="178">
        <f>+N25*30000</f>
        <v>4500000</v>
      </c>
    </row>
    <row r="26" spans="1:25" x14ac:dyDescent="0.25">
      <c r="A26" s="178"/>
      <c r="B26" s="862" t="s">
        <v>2110</v>
      </c>
      <c r="C26" s="319" t="s">
        <v>1210</v>
      </c>
      <c r="E26" s="656">
        <v>36</v>
      </c>
      <c r="F26" s="628" t="s">
        <v>2112</v>
      </c>
      <c r="G26" s="175">
        <v>45</v>
      </c>
      <c r="H26" s="178">
        <v>4192</v>
      </c>
      <c r="I26" s="226">
        <v>3417</v>
      </c>
      <c r="J26" s="226">
        <f t="shared" si="0"/>
        <v>36.680582061068705</v>
      </c>
      <c r="K26" s="820">
        <f t="shared" si="1"/>
        <v>81.680582061068705</v>
      </c>
      <c r="L26" s="228">
        <v>1.4</v>
      </c>
      <c r="M26" s="226">
        <f t="shared" si="2"/>
        <v>114.35281488549617</v>
      </c>
      <c r="N26" s="226">
        <v>150</v>
      </c>
    </row>
    <row r="27" spans="1:25" x14ac:dyDescent="0.25">
      <c r="A27" s="178"/>
      <c r="B27" s="862" t="s">
        <v>2110</v>
      </c>
      <c r="C27" s="319" t="s">
        <v>1210</v>
      </c>
      <c r="E27" s="656">
        <v>38</v>
      </c>
      <c r="F27" s="628" t="s">
        <v>2112</v>
      </c>
      <c r="G27" s="175">
        <v>45</v>
      </c>
      <c r="H27" s="178">
        <v>4192</v>
      </c>
      <c r="I27" s="226">
        <v>3417</v>
      </c>
      <c r="J27" s="226">
        <f t="shared" si="0"/>
        <v>36.680582061068705</v>
      </c>
      <c r="K27" s="820">
        <f t="shared" si="1"/>
        <v>81.680582061068705</v>
      </c>
      <c r="L27" s="228">
        <v>1.4</v>
      </c>
      <c r="M27" s="226">
        <f t="shared" si="2"/>
        <v>114.35281488549617</v>
      </c>
      <c r="N27" s="226">
        <v>150</v>
      </c>
    </row>
    <row r="28" spans="1:25" x14ac:dyDescent="0.25">
      <c r="A28" s="178"/>
      <c r="B28" s="862" t="s">
        <v>2110</v>
      </c>
      <c r="C28" s="319" t="s">
        <v>1210</v>
      </c>
      <c r="E28" s="656">
        <v>40</v>
      </c>
      <c r="F28" s="628" t="s">
        <v>2112</v>
      </c>
      <c r="G28" s="175">
        <v>45</v>
      </c>
      <c r="H28" s="178">
        <v>4192</v>
      </c>
      <c r="I28" s="226">
        <v>3417</v>
      </c>
      <c r="J28" s="226">
        <f t="shared" si="0"/>
        <v>36.680582061068705</v>
      </c>
      <c r="K28" s="820">
        <f t="shared" si="1"/>
        <v>81.680582061068705</v>
      </c>
      <c r="L28" s="228">
        <v>1.4</v>
      </c>
      <c r="M28" s="226">
        <f t="shared" si="2"/>
        <v>114.35281488549617</v>
      </c>
      <c r="N28" s="226">
        <v>150</v>
      </c>
    </row>
    <row r="29" spans="1:25" x14ac:dyDescent="0.25">
      <c r="A29" s="178"/>
      <c r="B29" s="862" t="s">
        <v>2110</v>
      </c>
      <c r="C29" s="319" t="s">
        <v>1210</v>
      </c>
      <c r="E29" s="656">
        <v>42</v>
      </c>
      <c r="F29" s="708" t="s">
        <v>2112</v>
      </c>
      <c r="G29" s="698">
        <v>45</v>
      </c>
      <c r="H29" s="213">
        <v>4192</v>
      </c>
      <c r="I29" s="232">
        <v>3417</v>
      </c>
      <c r="J29" s="232">
        <f t="shared" si="0"/>
        <v>36.680582061068705</v>
      </c>
      <c r="K29" s="863">
        <f t="shared" si="1"/>
        <v>81.680582061068705</v>
      </c>
      <c r="L29" s="864">
        <v>1.4</v>
      </c>
      <c r="M29" s="232">
        <f t="shared" si="2"/>
        <v>114.35281488549617</v>
      </c>
      <c r="N29" s="232">
        <v>150</v>
      </c>
      <c r="Q29" s="178" t="s">
        <v>12</v>
      </c>
      <c r="R29" s="229">
        <v>45378</v>
      </c>
      <c r="S29" s="178">
        <f>+N29*30000</f>
        <v>4500000</v>
      </c>
    </row>
    <row r="30" spans="1:25" x14ac:dyDescent="0.25">
      <c r="A30" s="178"/>
      <c r="B30" s="862" t="s">
        <v>2123</v>
      </c>
      <c r="C30" s="319" t="s">
        <v>2123</v>
      </c>
      <c r="E30" s="816">
        <v>38</v>
      </c>
      <c r="F30" s="628" t="s">
        <v>2126</v>
      </c>
      <c r="G30" s="175">
        <v>38</v>
      </c>
      <c r="H30" s="178">
        <v>4192</v>
      </c>
      <c r="I30" s="226">
        <v>3417</v>
      </c>
      <c r="J30" s="226">
        <f t="shared" si="0"/>
        <v>30.974713740458018</v>
      </c>
      <c r="K30" s="820">
        <f t="shared" si="1"/>
        <v>68.974713740458014</v>
      </c>
      <c r="L30" s="228">
        <v>1.4</v>
      </c>
      <c r="M30" s="226">
        <f t="shared" si="2"/>
        <v>96.564599236641214</v>
      </c>
      <c r="N30" s="226">
        <v>125</v>
      </c>
    </row>
    <row r="31" spans="1:25" x14ac:dyDescent="0.25">
      <c r="A31" s="178"/>
      <c r="B31" s="862" t="s">
        <v>2123</v>
      </c>
      <c r="C31" s="319" t="s">
        <v>2123</v>
      </c>
      <c r="E31" s="816">
        <v>40</v>
      </c>
      <c r="F31" s="628" t="s">
        <v>2126</v>
      </c>
      <c r="G31" s="175">
        <v>38</v>
      </c>
      <c r="H31" s="178">
        <v>4192</v>
      </c>
      <c r="I31" s="226">
        <v>3417</v>
      </c>
      <c r="J31" s="226">
        <f t="shared" si="0"/>
        <v>30.974713740458018</v>
      </c>
      <c r="K31" s="820">
        <f t="shared" si="1"/>
        <v>68.974713740458014</v>
      </c>
      <c r="L31" s="228">
        <v>1.4</v>
      </c>
      <c r="M31" s="226">
        <f t="shared" si="2"/>
        <v>96.564599236641214</v>
      </c>
      <c r="N31" s="226">
        <v>125</v>
      </c>
    </row>
    <row r="32" spans="1:25" x14ac:dyDescent="0.25">
      <c r="A32" s="178"/>
      <c r="B32" s="862" t="s">
        <v>2123</v>
      </c>
      <c r="C32" s="319" t="s">
        <v>2123</v>
      </c>
      <c r="E32" s="816">
        <v>42</v>
      </c>
      <c r="F32" s="628" t="s">
        <v>2126</v>
      </c>
      <c r="G32" s="175">
        <v>38</v>
      </c>
      <c r="H32" s="178">
        <v>4192</v>
      </c>
      <c r="I32" s="226">
        <v>3417</v>
      </c>
      <c r="J32" s="226">
        <f t="shared" si="0"/>
        <v>30.974713740458018</v>
      </c>
      <c r="K32" s="820">
        <f t="shared" si="1"/>
        <v>68.974713740458014</v>
      </c>
      <c r="L32" s="228">
        <v>1.4</v>
      </c>
      <c r="M32" s="226">
        <f t="shared" si="2"/>
        <v>96.564599236641214</v>
      </c>
      <c r="N32" s="226">
        <v>125</v>
      </c>
    </row>
    <row r="33" spans="1:19" x14ac:dyDescent="0.25">
      <c r="A33" s="178"/>
      <c r="B33" s="862" t="s">
        <v>2123</v>
      </c>
      <c r="C33" s="319" t="s">
        <v>2123</v>
      </c>
      <c r="E33" s="816">
        <v>38</v>
      </c>
      <c r="F33" s="628" t="s">
        <v>2127</v>
      </c>
      <c r="G33" s="175">
        <v>29</v>
      </c>
      <c r="H33" s="178">
        <v>4192</v>
      </c>
      <c r="I33" s="226">
        <v>3417</v>
      </c>
      <c r="J33" s="226">
        <f t="shared" si="0"/>
        <v>23.638597328244277</v>
      </c>
      <c r="K33" s="820">
        <f t="shared" si="1"/>
        <v>52.638597328244273</v>
      </c>
      <c r="L33" s="228">
        <v>1.4</v>
      </c>
      <c r="M33" s="226">
        <f t="shared" si="2"/>
        <v>73.694036259541974</v>
      </c>
      <c r="N33" s="226">
        <v>125</v>
      </c>
    </row>
    <row r="34" spans="1:19" x14ac:dyDescent="0.25">
      <c r="A34" s="178"/>
      <c r="B34" s="862" t="s">
        <v>2123</v>
      </c>
      <c r="C34" s="319" t="s">
        <v>2123</v>
      </c>
      <c r="E34" s="816">
        <v>40</v>
      </c>
      <c r="F34" s="628" t="s">
        <v>2127</v>
      </c>
      <c r="G34" s="175">
        <v>29</v>
      </c>
      <c r="H34" s="178">
        <v>4192</v>
      </c>
      <c r="I34" s="226">
        <v>3417</v>
      </c>
      <c r="J34" s="226">
        <f t="shared" si="0"/>
        <v>23.638597328244277</v>
      </c>
      <c r="K34" s="820">
        <f t="shared" si="1"/>
        <v>52.638597328244273</v>
      </c>
      <c r="L34" s="228">
        <v>1.4</v>
      </c>
      <c r="M34" s="226">
        <f t="shared" si="2"/>
        <v>73.694036259541974</v>
      </c>
      <c r="N34" s="226">
        <v>125</v>
      </c>
    </row>
    <row r="35" spans="1:19" x14ac:dyDescent="0.25">
      <c r="A35" s="178"/>
      <c r="B35" s="862" t="s">
        <v>2123</v>
      </c>
      <c r="C35" s="319" t="s">
        <v>2123</v>
      </c>
      <c r="E35" s="816">
        <v>42</v>
      </c>
      <c r="F35" s="628" t="s">
        <v>2127</v>
      </c>
      <c r="G35" s="175">
        <v>29</v>
      </c>
      <c r="H35" s="178">
        <v>4192</v>
      </c>
      <c r="I35" s="226">
        <v>3417</v>
      </c>
      <c r="J35" s="226">
        <f t="shared" si="0"/>
        <v>23.638597328244277</v>
      </c>
      <c r="K35" s="820">
        <f t="shared" si="1"/>
        <v>52.638597328244273</v>
      </c>
      <c r="L35" s="228">
        <v>1.4</v>
      </c>
      <c r="M35" s="226">
        <f t="shared" si="2"/>
        <v>73.694036259541974</v>
      </c>
      <c r="N35" s="226">
        <v>125</v>
      </c>
    </row>
    <row r="36" spans="1:19" x14ac:dyDescent="0.25">
      <c r="A36" s="178"/>
      <c r="B36" s="862" t="s">
        <v>2146</v>
      </c>
      <c r="C36" s="319" t="s">
        <v>1690</v>
      </c>
      <c r="E36" s="656">
        <v>44</v>
      </c>
      <c r="F36" s="628" t="s">
        <v>2147</v>
      </c>
      <c r="G36" s="175">
        <v>68</v>
      </c>
      <c r="H36" s="178">
        <v>4192</v>
      </c>
      <c r="I36" s="226">
        <v>3417</v>
      </c>
      <c r="J36" s="226">
        <f t="shared" si="0"/>
        <v>55.42843511450382</v>
      </c>
      <c r="K36" s="820">
        <f t="shared" si="1"/>
        <v>123.42843511450383</v>
      </c>
      <c r="L36" s="228">
        <v>1.4</v>
      </c>
      <c r="M36" s="226">
        <f t="shared" si="2"/>
        <v>172.79980916030536</v>
      </c>
      <c r="N36" s="226">
        <v>200</v>
      </c>
    </row>
    <row r="37" spans="1:19" x14ac:dyDescent="0.25">
      <c r="A37" s="178"/>
      <c r="B37" s="862" t="s">
        <v>2146</v>
      </c>
      <c r="C37" s="319" t="s">
        <v>1690</v>
      </c>
      <c r="E37" s="656" t="s">
        <v>2556</v>
      </c>
      <c r="F37" s="628" t="s">
        <v>2147</v>
      </c>
      <c r="G37" s="175">
        <v>68</v>
      </c>
      <c r="H37" s="178">
        <v>4192</v>
      </c>
      <c r="I37" s="226">
        <v>3417</v>
      </c>
      <c r="J37" s="226">
        <f t="shared" si="0"/>
        <v>55.42843511450382</v>
      </c>
      <c r="K37" s="820">
        <f t="shared" si="1"/>
        <v>123.42843511450383</v>
      </c>
      <c r="L37" s="228">
        <v>1.4</v>
      </c>
      <c r="M37" s="226">
        <f t="shared" si="2"/>
        <v>172.79980916030536</v>
      </c>
      <c r="N37" s="226">
        <v>200</v>
      </c>
    </row>
    <row r="38" spans="1:19" x14ac:dyDescent="0.25">
      <c r="A38" s="178"/>
      <c r="B38" s="862" t="s">
        <v>2146</v>
      </c>
      <c r="C38" s="319" t="s">
        <v>1690</v>
      </c>
      <c r="E38" s="656">
        <v>48</v>
      </c>
      <c r="F38" s="708" t="s">
        <v>2147</v>
      </c>
      <c r="G38" s="698">
        <v>68</v>
      </c>
      <c r="H38" s="213">
        <v>4192</v>
      </c>
      <c r="I38" s="232">
        <v>3417</v>
      </c>
      <c r="J38" s="232">
        <f t="shared" si="0"/>
        <v>55.42843511450382</v>
      </c>
      <c r="K38" s="863">
        <f t="shared" si="1"/>
        <v>123.42843511450383</v>
      </c>
      <c r="L38" s="864">
        <v>1.4</v>
      </c>
      <c r="M38" s="232">
        <f t="shared" si="2"/>
        <v>172.79980916030536</v>
      </c>
      <c r="N38" s="232">
        <v>200</v>
      </c>
      <c r="Q38" s="178" t="s">
        <v>2314</v>
      </c>
      <c r="R38" s="229">
        <v>45386</v>
      </c>
      <c r="S38" s="178">
        <f>+N38*35000</f>
        <v>7000000</v>
      </c>
    </row>
    <row r="39" spans="1:19" x14ac:dyDescent="0.25">
      <c r="A39" s="178"/>
      <c r="B39" s="862" t="s">
        <v>2146</v>
      </c>
      <c r="C39" s="319" t="s">
        <v>2146</v>
      </c>
      <c r="E39" s="656">
        <v>52</v>
      </c>
      <c r="F39" s="628" t="s">
        <v>2148</v>
      </c>
      <c r="G39" s="175">
        <v>68</v>
      </c>
      <c r="H39" s="178">
        <v>4192</v>
      </c>
      <c r="I39" s="226">
        <v>3417</v>
      </c>
      <c r="J39" s="226">
        <f t="shared" si="0"/>
        <v>55.42843511450382</v>
      </c>
      <c r="K39" s="820">
        <f t="shared" si="1"/>
        <v>123.42843511450383</v>
      </c>
      <c r="L39" s="228">
        <v>1.4</v>
      </c>
      <c r="M39" s="226">
        <f t="shared" si="2"/>
        <v>172.79980916030536</v>
      </c>
      <c r="N39" s="226">
        <v>200</v>
      </c>
    </row>
    <row r="40" spans="1:19" x14ac:dyDescent="0.25">
      <c r="A40" s="178"/>
      <c r="B40" s="862" t="s">
        <v>2146</v>
      </c>
      <c r="C40" s="319" t="s">
        <v>2146</v>
      </c>
      <c r="E40" s="656">
        <v>54</v>
      </c>
      <c r="F40" s="628" t="s">
        <v>2148</v>
      </c>
      <c r="G40" s="175">
        <v>68</v>
      </c>
      <c r="H40" s="178">
        <v>4192</v>
      </c>
      <c r="I40" s="226">
        <v>3417</v>
      </c>
      <c r="J40" s="226">
        <f t="shared" si="0"/>
        <v>55.42843511450382</v>
      </c>
      <c r="K40" s="820">
        <f t="shared" si="1"/>
        <v>123.42843511450383</v>
      </c>
      <c r="L40" s="228">
        <v>1.4</v>
      </c>
      <c r="M40" s="226">
        <f t="shared" si="2"/>
        <v>172.79980916030536</v>
      </c>
      <c r="N40" s="226">
        <v>200</v>
      </c>
    </row>
    <row r="41" spans="1:19" x14ac:dyDescent="0.25">
      <c r="A41" s="178"/>
      <c r="B41" s="862" t="s">
        <v>2146</v>
      </c>
      <c r="C41" s="319" t="s">
        <v>2146</v>
      </c>
      <c r="E41" s="656">
        <v>56</v>
      </c>
      <c r="F41" s="628" t="s">
        <v>2148</v>
      </c>
      <c r="G41" s="175">
        <v>68</v>
      </c>
      <c r="H41" s="178">
        <v>4192</v>
      </c>
      <c r="I41" s="226">
        <v>3417</v>
      </c>
      <c r="J41" s="226">
        <f t="shared" si="0"/>
        <v>55.42843511450382</v>
      </c>
      <c r="K41" s="820">
        <f t="shared" si="1"/>
        <v>123.42843511450383</v>
      </c>
      <c r="L41" s="228">
        <v>1.4</v>
      </c>
      <c r="M41" s="226">
        <f t="shared" si="2"/>
        <v>172.79980916030536</v>
      </c>
      <c r="N41" s="226">
        <v>200</v>
      </c>
    </row>
    <row r="42" spans="1:19" x14ac:dyDescent="0.25">
      <c r="A42" s="178"/>
      <c r="B42" s="862" t="s">
        <v>2146</v>
      </c>
      <c r="C42" s="319" t="s">
        <v>2146</v>
      </c>
      <c r="E42" s="656">
        <v>52</v>
      </c>
      <c r="F42" s="628" t="s">
        <v>2149</v>
      </c>
      <c r="G42" s="175">
        <v>39</v>
      </c>
      <c r="H42" s="178">
        <v>4192</v>
      </c>
      <c r="I42" s="226">
        <v>3417</v>
      </c>
      <c r="J42" s="226">
        <f t="shared" si="0"/>
        <v>31.789837786259543</v>
      </c>
      <c r="K42" s="820">
        <f t="shared" si="1"/>
        <v>70.78983778625954</v>
      </c>
      <c r="L42" s="228">
        <v>1.4</v>
      </c>
      <c r="M42" s="226">
        <f t="shared" si="2"/>
        <v>99.105772900763355</v>
      </c>
      <c r="N42" s="226" t="s">
        <v>66</v>
      </c>
    </row>
    <row r="43" spans="1:19" x14ac:dyDescent="0.25">
      <c r="A43" s="178"/>
      <c r="B43" s="862" t="s">
        <v>2146</v>
      </c>
      <c r="C43" s="319" t="s">
        <v>2146</v>
      </c>
      <c r="E43" s="656">
        <v>54</v>
      </c>
      <c r="F43" s="628" t="s">
        <v>2149</v>
      </c>
      <c r="G43" s="175">
        <v>39</v>
      </c>
      <c r="H43" s="178">
        <v>4192</v>
      </c>
      <c r="I43" s="226">
        <v>3417</v>
      </c>
      <c r="J43" s="226">
        <f t="shared" si="0"/>
        <v>31.789837786259543</v>
      </c>
      <c r="K43" s="820">
        <f t="shared" si="1"/>
        <v>70.78983778625954</v>
      </c>
      <c r="L43" s="228">
        <v>1.4</v>
      </c>
      <c r="M43" s="226">
        <f t="shared" si="2"/>
        <v>99.105772900763355</v>
      </c>
      <c r="N43" s="226">
        <v>125</v>
      </c>
    </row>
    <row r="44" spans="1:19" x14ac:dyDescent="0.25">
      <c r="A44" s="178"/>
      <c r="B44" s="862" t="s">
        <v>2146</v>
      </c>
      <c r="C44" s="319" t="s">
        <v>2146</v>
      </c>
      <c r="E44" s="656">
        <v>56</v>
      </c>
      <c r="F44" s="628" t="s">
        <v>2149</v>
      </c>
      <c r="G44" s="175">
        <v>39</v>
      </c>
      <c r="H44" s="178">
        <v>4192</v>
      </c>
      <c r="I44" s="226">
        <v>3417</v>
      </c>
      <c r="J44" s="226">
        <f t="shared" si="0"/>
        <v>31.789837786259543</v>
      </c>
      <c r="K44" s="820">
        <f t="shared" si="1"/>
        <v>70.78983778625954</v>
      </c>
      <c r="L44" s="228">
        <v>1.4</v>
      </c>
      <c r="M44" s="226">
        <f t="shared" si="2"/>
        <v>99.105772900763355</v>
      </c>
      <c r="N44" s="226">
        <v>125</v>
      </c>
    </row>
    <row r="45" spans="1:19" s="225" customFormat="1" x14ac:dyDescent="0.25">
      <c r="C45" s="318"/>
      <c r="E45" s="601"/>
      <c r="F45" s="379" t="s">
        <v>31</v>
      </c>
      <c r="G45" s="175">
        <f>SUM(G22:G44)</f>
        <v>1086</v>
      </c>
      <c r="H45" s="817"/>
      <c r="I45" s="817"/>
      <c r="J45" s="817"/>
      <c r="K45" s="817"/>
      <c r="L45" s="817"/>
      <c r="M45" s="817"/>
      <c r="N45" s="817">
        <f t="shared" ref="N45" si="3">SUM(N22:N44)</f>
        <v>3400</v>
      </c>
    </row>
    <row r="46" spans="1:19" x14ac:dyDescent="0.25">
      <c r="A46" s="178"/>
      <c r="B46" s="225" t="s">
        <v>13</v>
      </c>
      <c r="G46" s="175"/>
      <c r="L46" s="228"/>
    </row>
    <row r="47" spans="1:19" x14ac:dyDescent="0.25">
      <c r="A47" s="178"/>
      <c r="B47" s="862" t="s">
        <v>2113</v>
      </c>
      <c r="C47" s="319" t="s">
        <v>2266</v>
      </c>
      <c r="E47" s="656">
        <v>42</v>
      </c>
      <c r="F47" s="628" t="s">
        <v>2114</v>
      </c>
      <c r="G47" s="175">
        <v>33</v>
      </c>
      <c r="H47" s="178">
        <v>4192</v>
      </c>
      <c r="I47" s="226">
        <v>3417</v>
      </c>
      <c r="J47" s="226">
        <f t="shared" ref="J47" si="4">+I47/H47*G47</f>
        <v>26.899093511450381</v>
      </c>
      <c r="K47" s="820">
        <f t="shared" ref="K47" si="5">+G47+J47</f>
        <v>59.899093511450381</v>
      </c>
      <c r="L47" s="228">
        <v>1.4</v>
      </c>
      <c r="M47" s="226">
        <f t="shared" ref="M47" si="6">+K47*L47</f>
        <v>83.858730916030524</v>
      </c>
      <c r="N47" s="226">
        <v>110</v>
      </c>
    </row>
    <row r="48" spans="1:19" x14ac:dyDescent="0.25">
      <c r="A48" s="178"/>
      <c r="B48" s="862" t="s">
        <v>2113</v>
      </c>
      <c r="C48" s="319" t="s">
        <v>2266</v>
      </c>
      <c r="E48" s="656">
        <v>44</v>
      </c>
      <c r="F48" s="708" t="s">
        <v>2114</v>
      </c>
      <c r="G48" s="698">
        <v>33</v>
      </c>
      <c r="H48" s="213">
        <v>4192</v>
      </c>
      <c r="I48" s="232">
        <v>3417</v>
      </c>
      <c r="J48" s="232">
        <f t="shared" ref="J48:J111" si="7">+I48/H48*G48</f>
        <v>26.899093511450381</v>
      </c>
      <c r="K48" s="863">
        <f t="shared" ref="K48:K111" si="8">+G48+J48</f>
        <v>59.899093511450381</v>
      </c>
      <c r="L48" s="864">
        <v>1.4</v>
      </c>
      <c r="M48" s="232">
        <f t="shared" ref="M48:M111" si="9">+K48*L48</f>
        <v>83.858730916030524</v>
      </c>
      <c r="N48" s="232">
        <v>110</v>
      </c>
      <c r="Q48" s="178" t="s">
        <v>12</v>
      </c>
      <c r="R48" s="229">
        <v>45378</v>
      </c>
      <c r="S48" s="178">
        <f>+N48*30000</f>
        <v>3300000</v>
      </c>
    </row>
    <row r="49" spans="1:19" x14ac:dyDescent="0.25">
      <c r="A49" s="178"/>
      <c r="B49" s="862" t="s">
        <v>2113</v>
      </c>
      <c r="C49" s="319" t="s">
        <v>2266</v>
      </c>
      <c r="E49" s="656">
        <v>46</v>
      </c>
      <c r="F49" s="628" t="s">
        <v>2114</v>
      </c>
      <c r="G49" s="175">
        <v>33</v>
      </c>
      <c r="H49" s="178">
        <v>4192</v>
      </c>
      <c r="I49" s="226">
        <v>3417</v>
      </c>
      <c r="J49" s="226">
        <f t="shared" si="7"/>
        <v>26.899093511450381</v>
      </c>
      <c r="K49" s="820">
        <f t="shared" si="8"/>
        <v>59.899093511450381</v>
      </c>
      <c r="L49" s="228">
        <v>1.4</v>
      </c>
      <c r="M49" s="226">
        <f t="shared" si="9"/>
        <v>83.858730916030524</v>
      </c>
      <c r="N49" s="226">
        <v>110</v>
      </c>
    </row>
    <row r="50" spans="1:19" x14ac:dyDescent="0.25">
      <c r="A50" s="178"/>
      <c r="B50" s="862" t="s">
        <v>2113</v>
      </c>
      <c r="C50" s="319" t="s">
        <v>2266</v>
      </c>
      <c r="E50" s="656">
        <v>48</v>
      </c>
      <c r="F50" s="628" t="s">
        <v>2114</v>
      </c>
      <c r="G50" s="175">
        <v>33</v>
      </c>
      <c r="H50" s="178">
        <v>4192</v>
      </c>
      <c r="I50" s="226">
        <v>3417</v>
      </c>
      <c r="J50" s="226">
        <f t="shared" si="7"/>
        <v>26.899093511450381</v>
      </c>
      <c r="K50" s="820">
        <f t="shared" si="8"/>
        <v>59.899093511450381</v>
      </c>
      <c r="L50" s="228">
        <v>1.4</v>
      </c>
      <c r="M50" s="226">
        <f t="shared" si="9"/>
        <v>83.858730916030524</v>
      </c>
      <c r="N50" s="226">
        <v>110</v>
      </c>
    </row>
    <row r="51" spans="1:19" x14ac:dyDescent="0.25">
      <c r="A51" s="178"/>
      <c r="B51" s="225" t="s">
        <v>2115</v>
      </c>
      <c r="C51" s="319" t="s">
        <v>1531</v>
      </c>
      <c r="E51" s="656">
        <v>38</v>
      </c>
      <c r="F51" s="628" t="s">
        <v>2116</v>
      </c>
      <c r="G51" s="175">
        <v>40</v>
      </c>
      <c r="H51" s="178">
        <v>4192</v>
      </c>
      <c r="I51" s="226">
        <v>3417</v>
      </c>
      <c r="J51" s="226">
        <f t="shared" si="7"/>
        <v>32.604961832061072</v>
      </c>
      <c r="K51" s="820">
        <f t="shared" si="8"/>
        <v>72.604961832061065</v>
      </c>
      <c r="L51" s="228">
        <v>1.4</v>
      </c>
      <c r="M51" s="226">
        <f t="shared" si="9"/>
        <v>101.64694656488548</v>
      </c>
      <c r="N51" s="226">
        <v>125</v>
      </c>
    </row>
    <row r="52" spans="1:19" x14ac:dyDescent="0.25">
      <c r="A52" s="178"/>
      <c r="B52" s="225" t="s">
        <v>2115</v>
      </c>
      <c r="C52" s="319" t="s">
        <v>1531</v>
      </c>
      <c r="E52" s="656">
        <v>40</v>
      </c>
      <c r="F52" s="628" t="s">
        <v>2116</v>
      </c>
      <c r="G52" s="175">
        <v>40</v>
      </c>
      <c r="H52" s="178">
        <v>4192</v>
      </c>
      <c r="I52" s="226">
        <v>3417</v>
      </c>
      <c r="J52" s="226">
        <f t="shared" si="7"/>
        <v>32.604961832061072</v>
      </c>
      <c r="K52" s="820">
        <f t="shared" si="8"/>
        <v>72.604961832061065</v>
      </c>
      <c r="L52" s="228">
        <v>1.4</v>
      </c>
      <c r="M52" s="226">
        <f t="shared" si="9"/>
        <v>101.64694656488548</v>
      </c>
      <c r="N52" s="226">
        <v>125</v>
      </c>
    </row>
    <row r="53" spans="1:19" x14ac:dyDescent="0.25">
      <c r="A53" s="178"/>
      <c r="B53" s="225" t="s">
        <v>2115</v>
      </c>
      <c r="C53" s="319" t="s">
        <v>1531</v>
      </c>
      <c r="E53" s="656">
        <v>42</v>
      </c>
      <c r="F53" s="708" t="s">
        <v>2116</v>
      </c>
      <c r="G53" s="698">
        <v>40</v>
      </c>
      <c r="H53" s="213">
        <v>4192</v>
      </c>
      <c r="I53" s="232">
        <v>3417</v>
      </c>
      <c r="J53" s="232">
        <f t="shared" si="7"/>
        <v>32.604961832061072</v>
      </c>
      <c r="K53" s="863">
        <f t="shared" si="8"/>
        <v>72.604961832061065</v>
      </c>
      <c r="L53" s="864">
        <v>1.4</v>
      </c>
      <c r="M53" s="232">
        <f t="shared" si="9"/>
        <v>101.64694656488548</v>
      </c>
      <c r="N53" s="232">
        <v>110</v>
      </c>
      <c r="Q53" s="178" t="s">
        <v>1908</v>
      </c>
      <c r="R53" s="229">
        <v>45379</v>
      </c>
      <c r="S53" s="178">
        <f>+N53*30000</f>
        <v>3300000</v>
      </c>
    </row>
    <row r="54" spans="1:19" x14ac:dyDescent="0.25">
      <c r="A54" s="178"/>
      <c r="B54" s="225" t="s">
        <v>2115</v>
      </c>
      <c r="C54" s="319" t="s">
        <v>1531</v>
      </c>
      <c r="E54" s="656">
        <v>44</v>
      </c>
      <c r="F54" s="628" t="s">
        <v>2116</v>
      </c>
      <c r="G54" s="175">
        <v>40</v>
      </c>
      <c r="H54" s="178">
        <v>4192</v>
      </c>
      <c r="I54" s="226">
        <v>3417</v>
      </c>
      <c r="J54" s="226">
        <f t="shared" si="7"/>
        <v>32.604961832061072</v>
      </c>
      <c r="K54" s="820">
        <f t="shared" si="8"/>
        <v>72.604961832061065</v>
      </c>
      <c r="L54" s="228">
        <v>1.4</v>
      </c>
      <c r="M54" s="226">
        <f t="shared" si="9"/>
        <v>101.64694656488548</v>
      </c>
      <c r="N54" s="226">
        <v>110</v>
      </c>
    </row>
    <row r="55" spans="1:19" x14ac:dyDescent="0.25">
      <c r="A55" s="178"/>
      <c r="B55" s="225" t="s">
        <v>2115</v>
      </c>
      <c r="C55" s="319" t="s">
        <v>1531</v>
      </c>
      <c r="E55" s="656">
        <v>44</v>
      </c>
      <c r="F55" s="628" t="s">
        <v>2117</v>
      </c>
      <c r="G55" s="174">
        <v>42</v>
      </c>
      <c r="H55" s="178">
        <v>4192</v>
      </c>
      <c r="I55" s="226">
        <v>3417</v>
      </c>
      <c r="J55" s="226">
        <f t="shared" si="7"/>
        <v>34.235209923664122</v>
      </c>
      <c r="K55" s="820">
        <f t="shared" si="8"/>
        <v>76.235209923664115</v>
      </c>
      <c r="L55" s="228">
        <v>1.4</v>
      </c>
      <c r="M55" s="226">
        <f t="shared" si="9"/>
        <v>106.72929389312975</v>
      </c>
      <c r="N55" s="226">
        <v>110</v>
      </c>
    </row>
    <row r="56" spans="1:19" x14ac:dyDescent="0.25">
      <c r="A56" s="178"/>
      <c r="B56" s="225" t="s">
        <v>2115</v>
      </c>
      <c r="C56" s="319" t="s">
        <v>1531</v>
      </c>
      <c r="E56" s="656">
        <v>46</v>
      </c>
      <c r="F56" s="628" t="s">
        <v>2117</v>
      </c>
      <c r="G56" s="174">
        <v>42</v>
      </c>
      <c r="H56" s="178">
        <v>4192</v>
      </c>
      <c r="I56" s="226">
        <v>3417</v>
      </c>
      <c r="J56" s="226">
        <f t="shared" si="7"/>
        <v>34.235209923664122</v>
      </c>
      <c r="K56" s="820">
        <f t="shared" si="8"/>
        <v>76.235209923664115</v>
      </c>
      <c r="L56" s="228">
        <v>1.4</v>
      </c>
      <c r="M56" s="226">
        <f t="shared" si="9"/>
        <v>106.72929389312975</v>
      </c>
      <c r="N56" s="226">
        <v>110</v>
      </c>
    </row>
    <row r="57" spans="1:19" x14ac:dyDescent="0.25">
      <c r="A57" s="178"/>
      <c r="B57" s="225" t="s">
        <v>2115</v>
      </c>
      <c r="C57" s="319" t="s">
        <v>1531</v>
      </c>
      <c r="E57" s="656">
        <v>48</v>
      </c>
      <c r="F57" s="628" t="s">
        <v>2117</v>
      </c>
      <c r="G57" s="174">
        <v>42</v>
      </c>
      <c r="H57" s="178">
        <v>4192</v>
      </c>
      <c r="I57" s="226">
        <v>3417</v>
      </c>
      <c r="J57" s="226">
        <f t="shared" si="7"/>
        <v>34.235209923664122</v>
      </c>
      <c r="K57" s="820">
        <f t="shared" si="8"/>
        <v>76.235209923664115</v>
      </c>
      <c r="L57" s="228">
        <v>1.4</v>
      </c>
      <c r="M57" s="226">
        <f t="shared" si="9"/>
        <v>106.72929389312975</v>
      </c>
      <c r="N57" s="226">
        <v>110</v>
      </c>
    </row>
    <row r="58" spans="1:19" x14ac:dyDescent="0.25">
      <c r="A58" s="178"/>
      <c r="B58" s="225" t="s">
        <v>2115</v>
      </c>
      <c r="C58" s="319" t="s">
        <v>1531</v>
      </c>
      <c r="E58" s="656">
        <v>50</v>
      </c>
      <c r="F58" s="628" t="s">
        <v>2117</v>
      </c>
      <c r="G58" s="174">
        <v>42</v>
      </c>
      <c r="H58" s="178">
        <v>4192</v>
      </c>
      <c r="I58" s="226">
        <v>3417</v>
      </c>
      <c r="J58" s="226">
        <f t="shared" si="7"/>
        <v>34.235209923664122</v>
      </c>
      <c r="K58" s="820">
        <f t="shared" si="8"/>
        <v>76.235209923664115</v>
      </c>
      <c r="L58" s="228">
        <v>1.4</v>
      </c>
      <c r="M58" s="226">
        <f t="shared" si="9"/>
        <v>106.72929389312975</v>
      </c>
      <c r="N58" s="226">
        <v>110</v>
      </c>
    </row>
    <row r="59" spans="1:19" x14ac:dyDescent="0.25">
      <c r="A59" s="178"/>
      <c r="B59" s="225" t="s">
        <v>2115</v>
      </c>
      <c r="C59" s="319" t="s">
        <v>1531</v>
      </c>
      <c r="E59" s="656">
        <v>44</v>
      </c>
      <c r="F59" s="708" t="s">
        <v>2118</v>
      </c>
      <c r="G59" s="611">
        <v>37</v>
      </c>
      <c r="H59" s="213">
        <v>4192</v>
      </c>
      <c r="I59" s="232">
        <v>3417</v>
      </c>
      <c r="J59" s="232">
        <f t="shared" si="7"/>
        <v>30.159589694656489</v>
      </c>
      <c r="K59" s="863">
        <f t="shared" si="8"/>
        <v>67.159589694656489</v>
      </c>
      <c r="L59" s="864">
        <v>1.4</v>
      </c>
      <c r="M59" s="232">
        <f t="shared" si="9"/>
        <v>94.023425572519074</v>
      </c>
      <c r="N59" s="232">
        <v>125</v>
      </c>
      <c r="Q59" s="229" t="s">
        <v>1908</v>
      </c>
      <c r="R59" s="229">
        <v>45379</v>
      </c>
      <c r="S59" s="178">
        <f>+N59*30000</f>
        <v>3750000</v>
      </c>
    </row>
    <row r="60" spans="1:19" x14ac:dyDescent="0.25">
      <c r="A60" s="178"/>
      <c r="B60" s="225" t="s">
        <v>2115</v>
      </c>
      <c r="C60" s="319" t="s">
        <v>1531</v>
      </c>
      <c r="E60" s="656">
        <v>46</v>
      </c>
      <c r="F60" s="708" t="s">
        <v>2118</v>
      </c>
      <c r="G60" s="611">
        <v>37</v>
      </c>
      <c r="H60" s="213">
        <v>4192</v>
      </c>
      <c r="I60" s="232">
        <v>3417</v>
      </c>
      <c r="J60" s="232">
        <f t="shared" si="7"/>
        <v>30.159589694656489</v>
      </c>
      <c r="K60" s="863">
        <f t="shared" si="8"/>
        <v>67.159589694656489</v>
      </c>
      <c r="L60" s="864">
        <v>1.4</v>
      </c>
      <c r="M60" s="232">
        <f t="shared" si="9"/>
        <v>94.023425572519074</v>
      </c>
      <c r="N60" s="232">
        <v>125</v>
      </c>
      <c r="Q60" s="178" t="s">
        <v>12</v>
      </c>
      <c r="R60" s="229">
        <v>45378</v>
      </c>
      <c r="S60" s="178">
        <f>+N60*30000</f>
        <v>3750000</v>
      </c>
    </row>
    <row r="61" spans="1:19" x14ac:dyDescent="0.25">
      <c r="A61" s="178"/>
      <c r="B61" s="225" t="s">
        <v>2115</v>
      </c>
      <c r="C61" s="319" t="s">
        <v>1531</v>
      </c>
      <c r="E61" s="656">
        <v>48</v>
      </c>
      <c r="F61" s="628" t="s">
        <v>2118</v>
      </c>
      <c r="G61" s="174">
        <v>37</v>
      </c>
      <c r="H61" s="178">
        <v>4192</v>
      </c>
      <c r="I61" s="226">
        <v>3417</v>
      </c>
      <c r="J61" s="226">
        <f t="shared" si="7"/>
        <v>30.159589694656489</v>
      </c>
      <c r="K61" s="820">
        <f t="shared" si="8"/>
        <v>67.159589694656489</v>
      </c>
      <c r="L61" s="228">
        <v>1.4</v>
      </c>
      <c r="M61" s="226">
        <f t="shared" si="9"/>
        <v>94.023425572519074</v>
      </c>
      <c r="N61" s="226">
        <v>125</v>
      </c>
    </row>
    <row r="62" spans="1:19" x14ac:dyDescent="0.25">
      <c r="A62" s="178"/>
      <c r="B62" s="225" t="s">
        <v>2115</v>
      </c>
      <c r="C62" s="319" t="s">
        <v>1531</v>
      </c>
      <c r="E62" s="656">
        <v>50</v>
      </c>
      <c r="F62" s="628" t="s">
        <v>2118</v>
      </c>
      <c r="G62" s="174">
        <v>37</v>
      </c>
      <c r="H62" s="178">
        <v>4192</v>
      </c>
      <c r="I62" s="226">
        <v>3417</v>
      </c>
      <c r="J62" s="226">
        <f t="shared" si="7"/>
        <v>30.159589694656489</v>
      </c>
      <c r="K62" s="820">
        <f t="shared" si="8"/>
        <v>67.159589694656489</v>
      </c>
      <c r="L62" s="228">
        <v>1.4</v>
      </c>
      <c r="M62" s="226">
        <f t="shared" si="9"/>
        <v>94.023425572519074</v>
      </c>
      <c r="N62" s="226">
        <v>125</v>
      </c>
    </row>
    <row r="63" spans="1:19" x14ac:dyDescent="0.25">
      <c r="A63" s="178"/>
      <c r="B63" s="862" t="s">
        <v>255</v>
      </c>
      <c r="C63" s="318" t="s">
        <v>1440</v>
      </c>
      <c r="E63" s="656">
        <v>42</v>
      </c>
      <c r="F63" s="628" t="s">
        <v>2119</v>
      </c>
      <c r="G63" s="175">
        <v>27</v>
      </c>
      <c r="H63" s="178">
        <v>4192</v>
      </c>
      <c r="I63" s="226">
        <v>3417</v>
      </c>
      <c r="J63" s="226">
        <f t="shared" si="7"/>
        <v>22.008349236641223</v>
      </c>
      <c r="K63" s="820">
        <f t="shared" si="8"/>
        <v>49.008349236641223</v>
      </c>
      <c r="L63" s="228">
        <v>1.4</v>
      </c>
      <c r="M63" s="226">
        <f t="shared" si="9"/>
        <v>68.611688931297707</v>
      </c>
      <c r="N63" s="226">
        <v>110</v>
      </c>
    </row>
    <row r="64" spans="1:19" x14ac:dyDescent="0.25">
      <c r="A64" s="178"/>
      <c r="B64" s="862" t="s">
        <v>255</v>
      </c>
      <c r="C64" s="318" t="s">
        <v>1440</v>
      </c>
      <c r="E64" s="656">
        <v>44</v>
      </c>
      <c r="F64" s="628" t="s">
        <v>2119</v>
      </c>
      <c r="G64" s="175">
        <v>27</v>
      </c>
      <c r="H64" s="178">
        <v>4192</v>
      </c>
      <c r="I64" s="226">
        <v>3417</v>
      </c>
      <c r="J64" s="226">
        <f t="shared" si="7"/>
        <v>22.008349236641223</v>
      </c>
      <c r="K64" s="820">
        <f t="shared" si="8"/>
        <v>49.008349236641223</v>
      </c>
      <c r="L64" s="228">
        <v>1.4</v>
      </c>
      <c r="M64" s="226">
        <f t="shared" si="9"/>
        <v>68.611688931297707</v>
      </c>
      <c r="N64" s="226">
        <v>110</v>
      </c>
    </row>
    <row r="65" spans="1:19" x14ac:dyDescent="0.25">
      <c r="A65" s="178"/>
      <c r="B65" s="862" t="s">
        <v>255</v>
      </c>
      <c r="C65" s="318" t="s">
        <v>1440</v>
      </c>
      <c r="E65" s="656">
        <v>46</v>
      </c>
      <c r="F65" s="628" t="s">
        <v>2119</v>
      </c>
      <c r="G65" s="175">
        <v>27</v>
      </c>
      <c r="H65" s="178">
        <v>4192</v>
      </c>
      <c r="I65" s="226">
        <v>3417</v>
      </c>
      <c r="J65" s="226">
        <f t="shared" si="7"/>
        <v>22.008349236641223</v>
      </c>
      <c r="K65" s="820">
        <f t="shared" si="8"/>
        <v>49.008349236641223</v>
      </c>
      <c r="L65" s="228">
        <v>1.4</v>
      </c>
      <c r="M65" s="226">
        <f t="shared" si="9"/>
        <v>68.611688931297707</v>
      </c>
      <c r="N65" s="226">
        <v>110</v>
      </c>
    </row>
    <row r="66" spans="1:19" x14ac:dyDescent="0.25">
      <c r="A66" s="178"/>
      <c r="B66" s="862" t="s">
        <v>255</v>
      </c>
      <c r="C66" s="318" t="s">
        <v>1440</v>
      </c>
      <c r="E66" s="656">
        <v>48</v>
      </c>
      <c r="F66" s="708" t="s">
        <v>2119</v>
      </c>
      <c r="G66" s="698">
        <v>27</v>
      </c>
      <c r="H66" s="213">
        <v>4192</v>
      </c>
      <c r="I66" s="232">
        <v>3417</v>
      </c>
      <c r="J66" s="232">
        <f t="shared" si="7"/>
        <v>22.008349236641223</v>
      </c>
      <c r="K66" s="863">
        <f t="shared" si="8"/>
        <v>49.008349236641223</v>
      </c>
      <c r="L66" s="864">
        <v>1.4</v>
      </c>
      <c r="M66" s="232">
        <f t="shared" si="9"/>
        <v>68.611688931297707</v>
      </c>
      <c r="N66" s="232">
        <v>110</v>
      </c>
      <c r="Q66" s="178" t="s">
        <v>12</v>
      </c>
      <c r="R66" s="229">
        <v>45371</v>
      </c>
      <c r="S66" s="178">
        <f>+N66*20000</f>
        <v>2200000</v>
      </c>
    </row>
    <row r="67" spans="1:19" x14ac:dyDescent="0.25">
      <c r="A67" s="178"/>
      <c r="B67" s="862" t="s">
        <v>255</v>
      </c>
      <c r="C67" s="319" t="s">
        <v>2295</v>
      </c>
      <c r="E67" s="656">
        <v>42</v>
      </c>
      <c r="F67" s="628" t="s">
        <v>2120</v>
      </c>
      <c r="G67" s="175">
        <v>35</v>
      </c>
      <c r="H67" s="178">
        <v>4192</v>
      </c>
      <c r="I67" s="226">
        <v>3417</v>
      </c>
      <c r="J67" s="226">
        <f t="shared" si="7"/>
        <v>28.529341603053435</v>
      </c>
      <c r="K67" s="820">
        <f t="shared" si="8"/>
        <v>63.529341603053439</v>
      </c>
      <c r="L67" s="228">
        <v>1.4</v>
      </c>
      <c r="M67" s="226">
        <f t="shared" si="9"/>
        <v>88.941078244274806</v>
      </c>
      <c r="N67" s="226">
        <v>110</v>
      </c>
    </row>
    <row r="68" spans="1:19" x14ac:dyDescent="0.25">
      <c r="A68" s="178"/>
      <c r="B68" s="862" t="s">
        <v>255</v>
      </c>
      <c r="C68" s="319" t="s">
        <v>2295</v>
      </c>
      <c r="E68" s="656">
        <v>44</v>
      </c>
      <c r="F68" s="628" t="s">
        <v>2120</v>
      </c>
      <c r="G68" s="175">
        <v>35</v>
      </c>
      <c r="H68" s="178">
        <v>4192</v>
      </c>
      <c r="I68" s="226">
        <v>3417</v>
      </c>
      <c r="J68" s="226">
        <f t="shared" si="7"/>
        <v>28.529341603053435</v>
      </c>
      <c r="K68" s="820">
        <f t="shared" si="8"/>
        <v>63.529341603053439</v>
      </c>
      <c r="L68" s="228">
        <v>1.4</v>
      </c>
      <c r="M68" s="226">
        <f t="shared" si="9"/>
        <v>88.941078244274806</v>
      </c>
      <c r="N68" s="226">
        <v>110</v>
      </c>
    </row>
    <row r="69" spans="1:19" x14ac:dyDescent="0.25">
      <c r="A69" s="178"/>
      <c r="B69" s="862" t="s">
        <v>255</v>
      </c>
      <c r="C69" s="319" t="s">
        <v>2295</v>
      </c>
      <c r="E69" s="656">
        <v>46</v>
      </c>
      <c r="F69" s="628" t="s">
        <v>2120</v>
      </c>
      <c r="G69" s="175">
        <v>35</v>
      </c>
      <c r="H69" s="178">
        <v>4192</v>
      </c>
      <c r="I69" s="226">
        <v>3417</v>
      </c>
      <c r="J69" s="226">
        <f t="shared" si="7"/>
        <v>28.529341603053435</v>
      </c>
      <c r="K69" s="820">
        <f t="shared" si="8"/>
        <v>63.529341603053439</v>
      </c>
      <c r="L69" s="228">
        <v>1.4</v>
      </c>
      <c r="M69" s="226">
        <f t="shared" si="9"/>
        <v>88.941078244274806</v>
      </c>
      <c r="N69" s="226">
        <v>110</v>
      </c>
    </row>
    <row r="70" spans="1:19" x14ac:dyDescent="0.25">
      <c r="A70" s="178"/>
      <c r="B70" s="862" t="s">
        <v>255</v>
      </c>
      <c r="C70" s="319" t="s">
        <v>2295</v>
      </c>
      <c r="E70" s="656">
        <v>48</v>
      </c>
      <c r="F70" s="628" t="s">
        <v>2120</v>
      </c>
      <c r="G70" s="175">
        <v>35</v>
      </c>
      <c r="H70" s="178">
        <v>4192</v>
      </c>
      <c r="I70" s="226">
        <v>3417</v>
      </c>
      <c r="J70" s="226">
        <f t="shared" si="7"/>
        <v>28.529341603053435</v>
      </c>
      <c r="K70" s="820">
        <f t="shared" si="8"/>
        <v>63.529341603053439</v>
      </c>
      <c r="L70" s="228">
        <v>1.4</v>
      </c>
      <c r="M70" s="226">
        <f t="shared" si="9"/>
        <v>88.941078244274806</v>
      </c>
      <c r="N70" s="226">
        <v>110</v>
      </c>
    </row>
    <row r="71" spans="1:19" x14ac:dyDescent="0.25">
      <c r="A71" s="178"/>
      <c r="B71" s="862" t="s">
        <v>255</v>
      </c>
      <c r="C71" s="319" t="s">
        <v>503</v>
      </c>
      <c r="E71" s="656">
        <v>42</v>
      </c>
      <c r="F71" s="628" t="s">
        <v>2121</v>
      </c>
      <c r="G71" s="175">
        <v>36</v>
      </c>
      <c r="H71" s="178">
        <v>4192</v>
      </c>
      <c r="I71" s="226">
        <v>3417</v>
      </c>
      <c r="J71" s="226">
        <f t="shared" si="7"/>
        <v>29.344465648854964</v>
      </c>
      <c r="K71" s="820">
        <f t="shared" si="8"/>
        <v>65.344465648854964</v>
      </c>
      <c r="L71" s="228">
        <v>1.4</v>
      </c>
      <c r="M71" s="226">
        <f t="shared" si="9"/>
        <v>91.482251908396947</v>
      </c>
      <c r="N71" s="226">
        <v>125</v>
      </c>
    </row>
    <row r="72" spans="1:19" x14ac:dyDescent="0.25">
      <c r="A72" s="178"/>
      <c r="B72" s="862" t="s">
        <v>255</v>
      </c>
      <c r="C72" s="319" t="s">
        <v>503</v>
      </c>
      <c r="E72" s="656">
        <v>44</v>
      </c>
      <c r="F72" s="628" t="s">
        <v>2121</v>
      </c>
      <c r="G72" s="175">
        <v>36</v>
      </c>
      <c r="H72" s="178">
        <v>4192</v>
      </c>
      <c r="I72" s="226">
        <v>3417</v>
      </c>
      <c r="J72" s="226">
        <f t="shared" si="7"/>
        <v>29.344465648854964</v>
      </c>
      <c r="K72" s="820">
        <f t="shared" si="8"/>
        <v>65.344465648854964</v>
      </c>
      <c r="L72" s="228">
        <v>1.4</v>
      </c>
      <c r="M72" s="226">
        <f t="shared" si="9"/>
        <v>91.482251908396947</v>
      </c>
      <c r="N72" s="226">
        <v>125</v>
      </c>
    </row>
    <row r="73" spans="1:19" x14ac:dyDescent="0.25">
      <c r="A73" s="178"/>
      <c r="B73" s="862" t="s">
        <v>255</v>
      </c>
      <c r="C73" s="319" t="s">
        <v>503</v>
      </c>
      <c r="E73" s="656">
        <v>46</v>
      </c>
      <c r="F73" s="628" t="s">
        <v>2121</v>
      </c>
      <c r="G73" s="175">
        <v>36</v>
      </c>
      <c r="H73" s="178">
        <v>4192</v>
      </c>
      <c r="I73" s="226">
        <v>3417</v>
      </c>
      <c r="J73" s="226">
        <f t="shared" si="7"/>
        <v>29.344465648854964</v>
      </c>
      <c r="K73" s="820">
        <f t="shared" si="8"/>
        <v>65.344465648854964</v>
      </c>
      <c r="L73" s="228">
        <v>1.4</v>
      </c>
      <c r="M73" s="226">
        <f t="shared" si="9"/>
        <v>91.482251908396947</v>
      </c>
      <c r="N73" s="226">
        <v>125</v>
      </c>
    </row>
    <row r="74" spans="1:19" x14ac:dyDescent="0.25">
      <c r="A74" s="178"/>
      <c r="B74" s="862" t="s">
        <v>255</v>
      </c>
      <c r="C74" s="319" t="s">
        <v>503</v>
      </c>
      <c r="E74" s="656">
        <v>48</v>
      </c>
      <c r="F74" s="628" t="s">
        <v>2121</v>
      </c>
      <c r="G74" s="175">
        <v>36</v>
      </c>
      <c r="H74" s="178">
        <v>4192</v>
      </c>
      <c r="I74" s="226">
        <v>3417</v>
      </c>
      <c r="J74" s="226">
        <f t="shared" si="7"/>
        <v>29.344465648854964</v>
      </c>
      <c r="K74" s="820">
        <f t="shared" si="8"/>
        <v>65.344465648854964</v>
      </c>
      <c r="L74" s="228">
        <v>1.4</v>
      </c>
      <c r="M74" s="226">
        <f t="shared" si="9"/>
        <v>91.482251908396947</v>
      </c>
      <c r="N74" s="226">
        <v>125</v>
      </c>
    </row>
    <row r="75" spans="1:19" x14ac:dyDescent="0.25">
      <c r="A75" s="178"/>
      <c r="B75" s="862" t="s">
        <v>255</v>
      </c>
      <c r="C75" s="319" t="s">
        <v>2296</v>
      </c>
      <c r="E75" s="656">
        <v>50</v>
      </c>
      <c r="F75" s="628" t="s">
        <v>2122</v>
      </c>
      <c r="G75" s="175">
        <v>42</v>
      </c>
      <c r="H75" s="178">
        <v>4192</v>
      </c>
      <c r="I75" s="226">
        <v>3417</v>
      </c>
      <c r="J75" s="226">
        <f t="shared" si="7"/>
        <v>34.235209923664122</v>
      </c>
      <c r="K75" s="820">
        <f t="shared" si="8"/>
        <v>76.235209923664115</v>
      </c>
      <c r="L75" s="228">
        <v>1.4</v>
      </c>
      <c r="M75" s="226">
        <f t="shared" si="9"/>
        <v>106.72929389312975</v>
      </c>
      <c r="N75" s="226">
        <v>125</v>
      </c>
    </row>
    <row r="76" spans="1:19" x14ac:dyDescent="0.25">
      <c r="A76" s="178"/>
      <c r="B76" s="862" t="s">
        <v>255</v>
      </c>
      <c r="C76" s="319" t="s">
        <v>2296</v>
      </c>
      <c r="E76" s="656">
        <v>52</v>
      </c>
      <c r="F76" s="628" t="s">
        <v>2122</v>
      </c>
      <c r="G76" s="175">
        <v>42</v>
      </c>
      <c r="H76" s="178">
        <v>4192</v>
      </c>
      <c r="I76" s="226">
        <v>3417</v>
      </c>
      <c r="J76" s="226">
        <f t="shared" si="7"/>
        <v>34.235209923664122</v>
      </c>
      <c r="K76" s="820">
        <f t="shared" si="8"/>
        <v>76.235209923664115</v>
      </c>
      <c r="L76" s="228">
        <v>1.4</v>
      </c>
      <c r="M76" s="226">
        <f t="shared" si="9"/>
        <v>106.72929389312975</v>
      </c>
      <c r="N76" s="226">
        <v>125</v>
      </c>
    </row>
    <row r="77" spans="1:19" x14ac:dyDescent="0.25">
      <c r="A77" s="178"/>
      <c r="B77" s="862" t="s">
        <v>255</v>
      </c>
      <c r="C77" s="319" t="s">
        <v>2296</v>
      </c>
      <c r="E77" s="656">
        <v>54</v>
      </c>
      <c r="F77" s="628" t="s">
        <v>2122</v>
      </c>
      <c r="G77" s="175">
        <v>42</v>
      </c>
      <c r="H77" s="178">
        <v>4192</v>
      </c>
      <c r="I77" s="226">
        <v>3417</v>
      </c>
      <c r="J77" s="226">
        <f t="shared" si="7"/>
        <v>34.235209923664122</v>
      </c>
      <c r="K77" s="820">
        <f t="shared" si="8"/>
        <v>76.235209923664115</v>
      </c>
      <c r="L77" s="228">
        <v>1.4</v>
      </c>
      <c r="M77" s="226">
        <f t="shared" si="9"/>
        <v>106.72929389312975</v>
      </c>
      <c r="N77" s="226">
        <v>125</v>
      </c>
    </row>
    <row r="78" spans="1:19" ht="14.25" customHeight="1" x14ac:dyDescent="0.25">
      <c r="A78" s="178"/>
      <c r="B78" s="862" t="s">
        <v>255</v>
      </c>
      <c r="C78" s="319" t="s">
        <v>2296</v>
      </c>
      <c r="E78" s="656">
        <v>56</v>
      </c>
      <c r="F78" s="708" t="s">
        <v>2122</v>
      </c>
      <c r="G78" s="698">
        <v>42</v>
      </c>
      <c r="H78" s="213">
        <v>4192</v>
      </c>
      <c r="I78" s="232">
        <v>3417</v>
      </c>
      <c r="J78" s="232">
        <f t="shared" si="7"/>
        <v>34.235209923664122</v>
      </c>
      <c r="K78" s="863">
        <f t="shared" si="8"/>
        <v>76.235209923664115</v>
      </c>
      <c r="L78" s="864">
        <v>1.4</v>
      </c>
      <c r="M78" s="232">
        <f t="shared" si="9"/>
        <v>106.72929389312975</v>
      </c>
      <c r="N78" s="232">
        <v>125</v>
      </c>
      <c r="Q78" s="178" t="s">
        <v>2215</v>
      </c>
      <c r="R78" s="229">
        <v>45379</v>
      </c>
      <c r="S78" s="178">
        <f>+N78*30000</f>
        <v>3750000</v>
      </c>
    </row>
    <row r="79" spans="1:19" ht="16.5" customHeight="1" x14ac:dyDescent="0.25">
      <c r="A79" s="178"/>
      <c r="B79" s="862" t="s">
        <v>2123</v>
      </c>
      <c r="C79" s="319" t="s">
        <v>2123</v>
      </c>
      <c r="E79" s="656">
        <v>38</v>
      </c>
      <c r="F79" s="628" t="s">
        <v>2124</v>
      </c>
      <c r="G79" s="175">
        <v>22</v>
      </c>
      <c r="H79" s="178">
        <v>4192</v>
      </c>
      <c r="I79" s="226">
        <v>3417</v>
      </c>
      <c r="J79" s="226">
        <f t="shared" si="7"/>
        <v>17.93272900763359</v>
      </c>
      <c r="K79" s="820">
        <f t="shared" si="8"/>
        <v>39.93272900763359</v>
      </c>
      <c r="L79" s="228">
        <v>1.4</v>
      </c>
      <c r="M79" s="226">
        <f t="shared" si="9"/>
        <v>55.905820610687023</v>
      </c>
      <c r="N79" s="226">
        <v>110</v>
      </c>
    </row>
    <row r="80" spans="1:19" x14ac:dyDescent="0.25">
      <c r="A80" s="178"/>
      <c r="B80" s="862" t="s">
        <v>2123</v>
      </c>
      <c r="C80" s="319" t="s">
        <v>2123</v>
      </c>
      <c r="E80" s="656">
        <v>40</v>
      </c>
      <c r="F80" s="628" t="s">
        <v>2124</v>
      </c>
      <c r="G80" s="175">
        <v>22</v>
      </c>
      <c r="H80" s="178">
        <v>4192</v>
      </c>
      <c r="I80" s="226">
        <v>3417</v>
      </c>
      <c r="J80" s="226">
        <f t="shared" si="7"/>
        <v>17.93272900763359</v>
      </c>
      <c r="K80" s="820">
        <f t="shared" si="8"/>
        <v>39.93272900763359</v>
      </c>
      <c r="L80" s="228">
        <v>1.4</v>
      </c>
      <c r="M80" s="226">
        <f t="shared" si="9"/>
        <v>55.905820610687023</v>
      </c>
      <c r="N80" s="226">
        <v>110</v>
      </c>
    </row>
    <row r="81" spans="1:19" x14ac:dyDescent="0.25">
      <c r="A81" s="178"/>
      <c r="B81" s="862" t="s">
        <v>2123</v>
      </c>
      <c r="C81" s="319" t="s">
        <v>2123</v>
      </c>
      <c r="E81" s="656">
        <v>42</v>
      </c>
      <c r="F81" s="628" t="s">
        <v>2124</v>
      </c>
      <c r="G81" s="175">
        <v>22</v>
      </c>
      <c r="H81" s="178">
        <v>4192</v>
      </c>
      <c r="I81" s="226">
        <v>3417</v>
      </c>
      <c r="J81" s="226">
        <f t="shared" si="7"/>
        <v>17.93272900763359</v>
      </c>
      <c r="K81" s="820">
        <f t="shared" si="8"/>
        <v>39.93272900763359</v>
      </c>
      <c r="L81" s="228">
        <v>1.4</v>
      </c>
      <c r="M81" s="226">
        <f t="shared" si="9"/>
        <v>55.905820610687023</v>
      </c>
      <c r="N81" s="226">
        <v>110</v>
      </c>
    </row>
    <row r="82" spans="1:19" x14ac:dyDescent="0.25">
      <c r="A82" s="178"/>
      <c r="B82" s="862" t="s">
        <v>2123</v>
      </c>
      <c r="C82" s="319" t="s">
        <v>2123</v>
      </c>
      <c r="E82" s="656">
        <v>38</v>
      </c>
      <c r="F82" s="628" t="s">
        <v>2125</v>
      </c>
      <c r="G82" s="175">
        <v>22</v>
      </c>
      <c r="H82" s="178">
        <v>4192</v>
      </c>
      <c r="I82" s="226">
        <v>3417</v>
      </c>
      <c r="J82" s="226">
        <f t="shared" si="7"/>
        <v>17.93272900763359</v>
      </c>
      <c r="K82" s="820">
        <f t="shared" si="8"/>
        <v>39.93272900763359</v>
      </c>
      <c r="L82" s="228">
        <v>1.4</v>
      </c>
      <c r="M82" s="226">
        <f t="shared" si="9"/>
        <v>55.905820610687023</v>
      </c>
      <c r="N82" s="226">
        <v>110</v>
      </c>
    </row>
    <row r="83" spans="1:19" x14ac:dyDescent="0.25">
      <c r="A83" s="178"/>
      <c r="B83" s="862" t="s">
        <v>2123</v>
      </c>
      <c r="C83" s="319" t="s">
        <v>2123</v>
      </c>
      <c r="E83" s="656">
        <v>40</v>
      </c>
      <c r="F83" s="628" t="s">
        <v>2125</v>
      </c>
      <c r="G83" s="175">
        <v>22</v>
      </c>
      <c r="H83" s="178">
        <v>4192</v>
      </c>
      <c r="I83" s="226">
        <v>3417</v>
      </c>
      <c r="J83" s="226">
        <f t="shared" si="7"/>
        <v>17.93272900763359</v>
      </c>
      <c r="K83" s="820">
        <f t="shared" si="8"/>
        <v>39.93272900763359</v>
      </c>
      <c r="L83" s="228">
        <v>1.4</v>
      </c>
      <c r="M83" s="226">
        <f t="shared" si="9"/>
        <v>55.905820610687023</v>
      </c>
      <c r="N83" s="226">
        <v>110</v>
      </c>
    </row>
    <row r="84" spans="1:19" x14ac:dyDescent="0.25">
      <c r="A84" s="178"/>
      <c r="B84" s="862" t="s">
        <v>2123</v>
      </c>
      <c r="C84" s="319" t="s">
        <v>2123</v>
      </c>
      <c r="E84" s="656">
        <v>42</v>
      </c>
      <c r="F84" s="628" t="s">
        <v>2125</v>
      </c>
      <c r="G84" s="175">
        <v>22</v>
      </c>
      <c r="H84" s="178">
        <v>4192</v>
      </c>
      <c r="I84" s="226">
        <v>3417</v>
      </c>
      <c r="J84" s="226">
        <f t="shared" si="7"/>
        <v>17.93272900763359</v>
      </c>
      <c r="K84" s="820">
        <f t="shared" si="8"/>
        <v>39.93272900763359</v>
      </c>
      <c r="L84" s="228">
        <v>1.4</v>
      </c>
      <c r="M84" s="226">
        <f t="shared" si="9"/>
        <v>55.905820610687023</v>
      </c>
      <c r="N84" s="226">
        <v>110</v>
      </c>
    </row>
    <row r="85" spans="1:19" x14ac:dyDescent="0.25">
      <c r="A85" s="178"/>
      <c r="B85" s="862" t="s">
        <v>2130</v>
      </c>
      <c r="C85" s="319" t="s">
        <v>2130</v>
      </c>
      <c r="E85" s="656">
        <v>1</v>
      </c>
      <c r="F85" s="628" t="s">
        <v>2134</v>
      </c>
      <c r="G85" s="175">
        <v>24</v>
      </c>
      <c r="H85" s="178">
        <v>4192</v>
      </c>
      <c r="I85" s="226">
        <v>3417</v>
      </c>
      <c r="J85" s="226">
        <f t="shared" si="7"/>
        <v>19.56297709923664</v>
      </c>
      <c r="K85" s="820">
        <f t="shared" si="8"/>
        <v>43.56297709923664</v>
      </c>
      <c r="L85" s="228">
        <v>1.4</v>
      </c>
      <c r="M85" s="226">
        <f t="shared" si="9"/>
        <v>60.988167938931291</v>
      </c>
      <c r="N85" s="226">
        <v>110</v>
      </c>
    </row>
    <row r="86" spans="1:19" x14ac:dyDescent="0.25">
      <c r="A86" s="178"/>
      <c r="B86" s="862" t="s">
        <v>2130</v>
      </c>
      <c r="C86" s="319" t="s">
        <v>2130</v>
      </c>
      <c r="E86" s="656">
        <v>2</v>
      </c>
      <c r="F86" s="708" t="s">
        <v>2134</v>
      </c>
      <c r="G86" s="698">
        <v>24</v>
      </c>
      <c r="H86" s="213">
        <v>4192</v>
      </c>
      <c r="I86" s="232">
        <v>3417</v>
      </c>
      <c r="J86" s="232">
        <f t="shared" si="7"/>
        <v>19.56297709923664</v>
      </c>
      <c r="K86" s="863">
        <f t="shared" si="8"/>
        <v>43.56297709923664</v>
      </c>
      <c r="L86" s="864">
        <v>1.4</v>
      </c>
      <c r="M86" s="232">
        <f t="shared" si="9"/>
        <v>60.988167938931291</v>
      </c>
      <c r="N86" s="232">
        <v>110</v>
      </c>
      <c r="Q86" s="178" t="s">
        <v>2215</v>
      </c>
      <c r="R86" s="229">
        <v>45374</v>
      </c>
      <c r="S86" s="178">
        <f>+N86*20000</f>
        <v>2200000</v>
      </c>
    </row>
    <row r="87" spans="1:19" x14ac:dyDescent="0.25">
      <c r="A87" s="178"/>
      <c r="B87" s="862" t="s">
        <v>2130</v>
      </c>
      <c r="C87" s="319" t="s">
        <v>2130</v>
      </c>
      <c r="E87" s="656">
        <v>1</v>
      </c>
      <c r="F87" s="628" t="s">
        <v>2132</v>
      </c>
      <c r="G87" s="175">
        <v>24</v>
      </c>
      <c r="H87" s="178">
        <v>4192</v>
      </c>
      <c r="I87" s="226">
        <v>3417</v>
      </c>
      <c r="J87" s="226">
        <f t="shared" si="7"/>
        <v>19.56297709923664</v>
      </c>
      <c r="K87" s="820">
        <f t="shared" si="8"/>
        <v>43.56297709923664</v>
      </c>
      <c r="L87" s="228">
        <v>1.4</v>
      </c>
      <c r="M87" s="226">
        <f t="shared" si="9"/>
        <v>60.988167938931291</v>
      </c>
      <c r="N87" s="226">
        <v>110</v>
      </c>
    </row>
    <row r="88" spans="1:19" x14ac:dyDescent="0.25">
      <c r="A88" s="178"/>
      <c r="B88" s="862" t="s">
        <v>2130</v>
      </c>
      <c r="C88" s="319" t="s">
        <v>2130</v>
      </c>
      <c r="E88" s="656">
        <v>2</v>
      </c>
      <c r="F88" s="708" t="s">
        <v>2132</v>
      </c>
      <c r="G88" s="698">
        <v>24</v>
      </c>
      <c r="H88" s="213">
        <v>4192</v>
      </c>
      <c r="I88" s="232">
        <v>3417</v>
      </c>
      <c r="J88" s="232">
        <f t="shared" si="7"/>
        <v>19.56297709923664</v>
      </c>
      <c r="K88" s="863">
        <f t="shared" si="8"/>
        <v>43.56297709923664</v>
      </c>
      <c r="L88" s="864">
        <v>1.4</v>
      </c>
      <c r="M88" s="232">
        <f t="shared" si="9"/>
        <v>60.988167938931291</v>
      </c>
      <c r="N88" s="232">
        <v>110</v>
      </c>
      <c r="Q88" s="178" t="s">
        <v>2215</v>
      </c>
      <c r="R88" s="229">
        <v>45374</v>
      </c>
      <c r="S88" s="178">
        <f>+N88*20000</f>
        <v>2200000</v>
      </c>
    </row>
    <row r="89" spans="1:19" x14ac:dyDescent="0.25">
      <c r="A89" s="178"/>
      <c r="B89" s="862" t="s">
        <v>2130</v>
      </c>
      <c r="C89" s="319" t="s">
        <v>2130</v>
      </c>
      <c r="E89" s="656">
        <v>1</v>
      </c>
      <c r="F89" s="628" t="s">
        <v>2133</v>
      </c>
      <c r="G89" s="175">
        <v>23</v>
      </c>
      <c r="H89" s="178">
        <v>4192</v>
      </c>
      <c r="I89" s="226">
        <v>3417</v>
      </c>
      <c r="J89" s="226">
        <f t="shared" si="7"/>
        <v>18.747853053435115</v>
      </c>
      <c r="K89" s="820">
        <f t="shared" si="8"/>
        <v>41.747853053435115</v>
      </c>
      <c r="L89" s="228">
        <v>1.4</v>
      </c>
      <c r="M89" s="226">
        <f t="shared" si="9"/>
        <v>58.446994274809157</v>
      </c>
      <c r="N89" s="226">
        <v>110</v>
      </c>
    </row>
    <row r="90" spans="1:19" x14ac:dyDescent="0.25">
      <c r="A90" s="178"/>
      <c r="B90" s="862" t="s">
        <v>2130</v>
      </c>
      <c r="C90" s="319" t="s">
        <v>2130</v>
      </c>
      <c r="E90" s="656">
        <v>2</v>
      </c>
      <c r="F90" s="628" t="s">
        <v>2133</v>
      </c>
      <c r="G90" s="175">
        <v>23</v>
      </c>
      <c r="H90" s="178">
        <v>4192</v>
      </c>
      <c r="I90" s="226">
        <v>3417</v>
      </c>
      <c r="J90" s="226">
        <f t="shared" si="7"/>
        <v>18.747853053435115</v>
      </c>
      <c r="K90" s="820">
        <f t="shared" si="8"/>
        <v>41.747853053435115</v>
      </c>
      <c r="L90" s="228">
        <v>1.4</v>
      </c>
      <c r="M90" s="226">
        <f t="shared" si="9"/>
        <v>58.446994274809157</v>
      </c>
      <c r="N90" s="226">
        <v>110</v>
      </c>
    </row>
    <row r="91" spans="1:19" x14ac:dyDescent="0.25">
      <c r="A91" s="178"/>
      <c r="B91" s="862" t="s">
        <v>2135</v>
      </c>
      <c r="C91" s="319" t="s">
        <v>2135</v>
      </c>
      <c r="E91" s="656">
        <v>50</v>
      </c>
      <c r="F91" s="628" t="s">
        <v>2136</v>
      </c>
      <c r="G91" s="175">
        <v>25</v>
      </c>
      <c r="H91" s="178">
        <v>4192</v>
      </c>
      <c r="I91" s="226">
        <v>3417</v>
      </c>
      <c r="J91" s="226">
        <f t="shared" si="7"/>
        <v>20.378101145038169</v>
      </c>
      <c r="K91" s="820">
        <f t="shared" si="8"/>
        <v>45.378101145038173</v>
      </c>
      <c r="L91" s="228">
        <v>1.4</v>
      </c>
      <c r="M91" s="226">
        <f t="shared" si="9"/>
        <v>63.529341603053439</v>
      </c>
      <c r="N91" s="226">
        <v>110</v>
      </c>
    </row>
    <row r="92" spans="1:19" x14ac:dyDescent="0.25">
      <c r="A92" s="178"/>
      <c r="B92" s="862" t="s">
        <v>2135</v>
      </c>
      <c r="C92" s="319" t="s">
        <v>2135</v>
      </c>
      <c r="E92" s="656">
        <v>52</v>
      </c>
      <c r="F92" s="628" t="s">
        <v>2136</v>
      </c>
      <c r="G92" s="175">
        <v>25</v>
      </c>
      <c r="H92" s="178">
        <v>4192</v>
      </c>
      <c r="I92" s="226">
        <v>3417</v>
      </c>
      <c r="J92" s="226">
        <f t="shared" si="7"/>
        <v>20.378101145038169</v>
      </c>
      <c r="K92" s="820">
        <f t="shared" si="8"/>
        <v>45.378101145038173</v>
      </c>
      <c r="L92" s="228">
        <v>1.4</v>
      </c>
      <c r="M92" s="226">
        <f t="shared" si="9"/>
        <v>63.529341603053439</v>
      </c>
      <c r="N92" s="226">
        <v>110</v>
      </c>
    </row>
    <row r="93" spans="1:19" x14ac:dyDescent="0.25">
      <c r="A93" s="178"/>
      <c r="B93" s="862" t="s">
        <v>2135</v>
      </c>
      <c r="C93" s="319" t="s">
        <v>2135</v>
      </c>
      <c r="E93" s="656">
        <v>54</v>
      </c>
      <c r="F93" s="628" t="s">
        <v>2136</v>
      </c>
      <c r="G93" s="175">
        <v>25</v>
      </c>
      <c r="H93" s="178">
        <v>4192</v>
      </c>
      <c r="I93" s="226">
        <v>3417</v>
      </c>
      <c r="J93" s="226">
        <f t="shared" si="7"/>
        <v>20.378101145038169</v>
      </c>
      <c r="K93" s="820">
        <f t="shared" si="8"/>
        <v>45.378101145038173</v>
      </c>
      <c r="L93" s="228">
        <v>1.4</v>
      </c>
      <c r="M93" s="226">
        <f t="shared" si="9"/>
        <v>63.529341603053439</v>
      </c>
      <c r="N93" s="226">
        <v>110</v>
      </c>
    </row>
    <row r="94" spans="1:19" x14ac:dyDescent="0.25">
      <c r="A94" s="178"/>
      <c r="B94" s="862" t="s">
        <v>2135</v>
      </c>
      <c r="C94" s="319" t="s">
        <v>2135</v>
      </c>
      <c r="E94" s="656">
        <v>56</v>
      </c>
      <c r="F94" s="628" t="s">
        <v>2136</v>
      </c>
      <c r="G94" s="175">
        <v>25</v>
      </c>
      <c r="H94" s="178">
        <v>4192</v>
      </c>
      <c r="I94" s="226">
        <v>3417</v>
      </c>
      <c r="J94" s="226">
        <f t="shared" si="7"/>
        <v>20.378101145038169</v>
      </c>
      <c r="K94" s="820">
        <f t="shared" si="8"/>
        <v>45.378101145038173</v>
      </c>
      <c r="L94" s="228">
        <v>1.4</v>
      </c>
      <c r="M94" s="226">
        <f t="shared" si="9"/>
        <v>63.529341603053439</v>
      </c>
      <c r="N94" s="226">
        <v>110</v>
      </c>
    </row>
    <row r="95" spans="1:19" x14ac:dyDescent="0.25">
      <c r="A95" s="178"/>
      <c r="B95" s="862" t="s">
        <v>2135</v>
      </c>
      <c r="C95" s="319" t="s">
        <v>2135</v>
      </c>
      <c r="E95" s="656">
        <v>50</v>
      </c>
      <c r="F95" s="628" t="s">
        <v>2137</v>
      </c>
      <c r="G95" s="175">
        <v>25</v>
      </c>
      <c r="H95" s="178">
        <v>4192</v>
      </c>
      <c r="I95" s="226">
        <v>3417</v>
      </c>
      <c r="J95" s="226">
        <f t="shared" si="7"/>
        <v>20.378101145038169</v>
      </c>
      <c r="K95" s="820">
        <f t="shared" si="8"/>
        <v>45.378101145038173</v>
      </c>
      <c r="L95" s="228">
        <v>1.4</v>
      </c>
      <c r="M95" s="226">
        <f t="shared" si="9"/>
        <v>63.529341603053439</v>
      </c>
      <c r="N95" s="226">
        <v>110</v>
      </c>
    </row>
    <row r="96" spans="1:19" x14ac:dyDescent="0.25">
      <c r="A96" s="178"/>
      <c r="B96" s="862" t="s">
        <v>2135</v>
      </c>
      <c r="C96" s="319" t="s">
        <v>2135</v>
      </c>
      <c r="E96" s="656">
        <v>52</v>
      </c>
      <c r="F96" s="628" t="s">
        <v>2137</v>
      </c>
      <c r="G96" s="175">
        <v>25</v>
      </c>
      <c r="H96" s="178">
        <v>4192</v>
      </c>
      <c r="I96" s="226">
        <v>3417</v>
      </c>
      <c r="J96" s="226">
        <f t="shared" si="7"/>
        <v>20.378101145038169</v>
      </c>
      <c r="K96" s="820">
        <f t="shared" si="8"/>
        <v>45.378101145038173</v>
      </c>
      <c r="L96" s="228">
        <v>1.4</v>
      </c>
      <c r="M96" s="226">
        <f t="shared" si="9"/>
        <v>63.529341603053439</v>
      </c>
      <c r="N96" s="226">
        <v>110</v>
      </c>
    </row>
    <row r="97" spans="1:19" x14ac:dyDescent="0.25">
      <c r="A97" s="178"/>
      <c r="B97" s="862" t="s">
        <v>2135</v>
      </c>
      <c r="C97" s="319" t="s">
        <v>2135</v>
      </c>
      <c r="E97" s="656">
        <v>54</v>
      </c>
      <c r="F97" s="628" t="s">
        <v>2137</v>
      </c>
      <c r="G97" s="175">
        <v>25</v>
      </c>
      <c r="H97" s="178">
        <v>4192</v>
      </c>
      <c r="I97" s="226">
        <v>3417</v>
      </c>
      <c r="J97" s="226">
        <f t="shared" si="7"/>
        <v>20.378101145038169</v>
      </c>
      <c r="K97" s="820">
        <f t="shared" si="8"/>
        <v>45.378101145038173</v>
      </c>
      <c r="L97" s="228">
        <v>1.4</v>
      </c>
      <c r="M97" s="226">
        <f t="shared" si="9"/>
        <v>63.529341603053439</v>
      </c>
      <c r="N97" s="226">
        <v>110</v>
      </c>
    </row>
    <row r="98" spans="1:19" x14ac:dyDescent="0.25">
      <c r="A98" s="178"/>
      <c r="B98" s="862" t="s">
        <v>2135</v>
      </c>
      <c r="C98" s="319" t="s">
        <v>2135</v>
      </c>
      <c r="E98" s="656">
        <v>56</v>
      </c>
      <c r="F98" s="628" t="s">
        <v>2137</v>
      </c>
      <c r="G98" s="175">
        <v>25</v>
      </c>
      <c r="H98" s="178">
        <v>4192</v>
      </c>
      <c r="I98" s="226">
        <v>3417</v>
      </c>
      <c r="J98" s="226">
        <f t="shared" si="7"/>
        <v>20.378101145038169</v>
      </c>
      <c r="K98" s="820">
        <f t="shared" si="8"/>
        <v>45.378101145038173</v>
      </c>
      <c r="L98" s="228">
        <v>1.4</v>
      </c>
      <c r="M98" s="226">
        <f t="shared" si="9"/>
        <v>63.529341603053439</v>
      </c>
      <c r="N98" s="226">
        <v>110</v>
      </c>
    </row>
    <row r="99" spans="1:19" x14ac:dyDescent="0.25">
      <c r="A99" s="178"/>
      <c r="B99" s="862" t="s">
        <v>587</v>
      </c>
      <c r="C99" s="319" t="s">
        <v>1684</v>
      </c>
      <c r="E99" s="656">
        <v>44</v>
      </c>
      <c r="F99" s="708" t="s">
        <v>2138</v>
      </c>
      <c r="G99" s="698">
        <v>25</v>
      </c>
      <c r="H99" s="213">
        <v>4192</v>
      </c>
      <c r="I99" s="232">
        <v>3417</v>
      </c>
      <c r="J99" s="232">
        <f t="shared" si="7"/>
        <v>20.378101145038169</v>
      </c>
      <c r="K99" s="863">
        <f t="shared" si="8"/>
        <v>45.378101145038173</v>
      </c>
      <c r="L99" s="864">
        <v>1.4</v>
      </c>
      <c r="M99" s="232">
        <f t="shared" si="9"/>
        <v>63.529341603053439</v>
      </c>
      <c r="N99" s="232">
        <v>110</v>
      </c>
      <c r="Q99" s="178" t="s">
        <v>2308</v>
      </c>
      <c r="R99" s="229">
        <v>45384</v>
      </c>
      <c r="S99" s="178">
        <f>+N99*35000</f>
        <v>3850000</v>
      </c>
    </row>
    <row r="100" spans="1:19" x14ac:dyDescent="0.25">
      <c r="A100" s="178"/>
      <c r="B100" s="862" t="s">
        <v>587</v>
      </c>
      <c r="C100" s="319" t="s">
        <v>1684</v>
      </c>
      <c r="E100" s="656">
        <v>46</v>
      </c>
      <c r="F100" s="628" t="s">
        <v>2138</v>
      </c>
      <c r="G100" s="175">
        <v>25</v>
      </c>
      <c r="H100" s="178">
        <v>4192</v>
      </c>
      <c r="I100" s="226">
        <v>3417</v>
      </c>
      <c r="J100" s="226">
        <f t="shared" si="7"/>
        <v>20.378101145038169</v>
      </c>
      <c r="K100" s="820">
        <f t="shared" si="8"/>
        <v>45.378101145038173</v>
      </c>
      <c r="L100" s="228">
        <v>1.4</v>
      </c>
      <c r="M100" s="226">
        <f t="shared" si="9"/>
        <v>63.529341603053439</v>
      </c>
      <c r="N100" s="226">
        <v>110</v>
      </c>
    </row>
    <row r="101" spans="1:19" x14ac:dyDescent="0.25">
      <c r="A101" s="178"/>
      <c r="B101" s="862" t="s">
        <v>587</v>
      </c>
      <c r="C101" s="319" t="s">
        <v>1684</v>
      </c>
      <c r="E101" s="656">
        <v>48</v>
      </c>
      <c r="F101" s="708" t="s">
        <v>2138</v>
      </c>
      <c r="G101" s="698">
        <v>25</v>
      </c>
      <c r="H101" s="213">
        <v>4192</v>
      </c>
      <c r="I101" s="232">
        <v>3417</v>
      </c>
      <c r="J101" s="232">
        <f t="shared" si="7"/>
        <v>20.378101145038169</v>
      </c>
      <c r="K101" s="863">
        <f t="shared" si="8"/>
        <v>45.378101145038173</v>
      </c>
      <c r="L101" s="864">
        <v>1.4</v>
      </c>
      <c r="M101" s="232">
        <f t="shared" si="9"/>
        <v>63.529341603053439</v>
      </c>
      <c r="N101" s="232">
        <v>110</v>
      </c>
      <c r="Q101" s="178" t="s">
        <v>2309</v>
      </c>
      <c r="R101" s="229">
        <v>45384</v>
      </c>
      <c r="S101" s="178">
        <f>+N101*35000</f>
        <v>3850000</v>
      </c>
    </row>
    <row r="102" spans="1:19" x14ac:dyDescent="0.25">
      <c r="A102" s="178"/>
      <c r="B102" s="862" t="s">
        <v>587</v>
      </c>
      <c r="C102" s="319" t="s">
        <v>1684</v>
      </c>
      <c r="E102" s="656">
        <v>50</v>
      </c>
      <c r="F102" s="628" t="s">
        <v>2138</v>
      </c>
      <c r="G102" s="175">
        <v>25</v>
      </c>
      <c r="H102" s="178">
        <v>4192</v>
      </c>
      <c r="I102" s="226">
        <v>3417</v>
      </c>
      <c r="J102" s="226">
        <f t="shared" si="7"/>
        <v>20.378101145038169</v>
      </c>
      <c r="K102" s="820">
        <f t="shared" si="8"/>
        <v>45.378101145038173</v>
      </c>
      <c r="L102" s="228">
        <v>1.4</v>
      </c>
      <c r="M102" s="226">
        <f t="shared" si="9"/>
        <v>63.529341603053439</v>
      </c>
      <c r="N102" s="226">
        <v>110</v>
      </c>
    </row>
    <row r="103" spans="1:19" x14ac:dyDescent="0.25">
      <c r="A103" s="178"/>
      <c r="B103" s="862" t="s">
        <v>587</v>
      </c>
      <c r="C103" s="319" t="s">
        <v>1684</v>
      </c>
      <c r="E103" s="656">
        <v>44</v>
      </c>
      <c r="F103" s="708" t="s">
        <v>2139</v>
      </c>
      <c r="G103" s="698">
        <v>25</v>
      </c>
      <c r="H103" s="213">
        <v>4192</v>
      </c>
      <c r="I103" s="232">
        <v>3417</v>
      </c>
      <c r="J103" s="232">
        <f t="shared" si="7"/>
        <v>20.378101145038169</v>
      </c>
      <c r="K103" s="863">
        <f t="shared" si="8"/>
        <v>45.378101145038173</v>
      </c>
      <c r="L103" s="864">
        <v>1.4</v>
      </c>
      <c r="M103" s="232">
        <f t="shared" si="9"/>
        <v>63.529341603053439</v>
      </c>
      <c r="N103" s="232">
        <v>110</v>
      </c>
      <c r="Q103" s="178" t="s">
        <v>2312</v>
      </c>
      <c r="R103" s="229">
        <v>45385</v>
      </c>
      <c r="S103" s="178">
        <f>+N103*35000</f>
        <v>3850000</v>
      </c>
    </row>
    <row r="104" spans="1:19" x14ac:dyDescent="0.25">
      <c r="A104" s="178"/>
      <c r="B104" s="862" t="s">
        <v>587</v>
      </c>
      <c r="C104" s="319" t="s">
        <v>1684</v>
      </c>
      <c r="E104" s="656">
        <v>46</v>
      </c>
      <c r="F104" s="628" t="s">
        <v>2139</v>
      </c>
      <c r="G104" s="175">
        <v>25</v>
      </c>
      <c r="H104" s="178">
        <v>4192</v>
      </c>
      <c r="I104" s="226">
        <v>3417</v>
      </c>
      <c r="J104" s="226">
        <f t="shared" si="7"/>
        <v>20.378101145038169</v>
      </c>
      <c r="K104" s="820">
        <f t="shared" si="8"/>
        <v>45.378101145038173</v>
      </c>
      <c r="L104" s="228">
        <v>1.4</v>
      </c>
      <c r="M104" s="226">
        <f t="shared" si="9"/>
        <v>63.529341603053439</v>
      </c>
      <c r="N104" s="226">
        <v>110</v>
      </c>
    </row>
    <row r="105" spans="1:19" x14ac:dyDescent="0.25">
      <c r="A105" s="178"/>
      <c r="B105" s="862" t="s">
        <v>587</v>
      </c>
      <c r="C105" s="319" t="s">
        <v>1684</v>
      </c>
      <c r="E105" s="656">
        <v>48</v>
      </c>
      <c r="F105" s="628" t="s">
        <v>2139</v>
      </c>
      <c r="G105" s="175">
        <v>25</v>
      </c>
      <c r="H105" s="178">
        <v>4192</v>
      </c>
      <c r="I105" s="226">
        <v>3417</v>
      </c>
      <c r="J105" s="226">
        <f t="shared" si="7"/>
        <v>20.378101145038169</v>
      </c>
      <c r="K105" s="820">
        <f t="shared" si="8"/>
        <v>45.378101145038173</v>
      </c>
      <c r="L105" s="228">
        <v>1.4</v>
      </c>
      <c r="M105" s="226">
        <f t="shared" si="9"/>
        <v>63.529341603053439</v>
      </c>
      <c r="N105" s="226">
        <v>110</v>
      </c>
    </row>
    <row r="106" spans="1:19" x14ac:dyDescent="0.25">
      <c r="A106" s="178"/>
      <c r="B106" s="862" t="s">
        <v>587</v>
      </c>
      <c r="C106" s="319" t="s">
        <v>1684</v>
      </c>
      <c r="E106" s="656">
        <v>50</v>
      </c>
      <c r="F106" s="628" t="s">
        <v>2139</v>
      </c>
      <c r="G106" s="175">
        <v>25</v>
      </c>
      <c r="H106" s="178">
        <v>4192</v>
      </c>
      <c r="I106" s="226">
        <v>3417</v>
      </c>
      <c r="J106" s="226">
        <f t="shared" si="7"/>
        <v>20.378101145038169</v>
      </c>
      <c r="K106" s="820">
        <f t="shared" si="8"/>
        <v>45.378101145038173</v>
      </c>
      <c r="L106" s="228">
        <v>1.4</v>
      </c>
      <c r="M106" s="226">
        <f t="shared" si="9"/>
        <v>63.529341603053439</v>
      </c>
      <c r="N106" s="226">
        <v>110</v>
      </c>
    </row>
    <row r="107" spans="1:19" x14ac:dyDescent="0.25">
      <c r="A107" s="178"/>
      <c r="B107" s="862" t="s">
        <v>1662</v>
      </c>
      <c r="C107" s="319" t="s">
        <v>2285</v>
      </c>
      <c r="E107" s="656">
        <v>42</v>
      </c>
      <c r="F107" s="628" t="s">
        <v>2140</v>
      </c>
      <c r="G107" s="175">
        <v>18</v>
      </c>
      <c r="H107" s="178">
        <v>4192</v>
      </c>
      <c r="I107" s="226">
        <v>3417</v>
      </c>
      <c r="J107" s="226">
        <f t="shared" si="7"/>
        <v>14.672232824427482</v>
      </c>
      <c r="K107" s="820">
        <f t="shared" si="8"/>
        <v>32.672232824427482</v>
      </c>
      <c r="L107" s="228">
        <v>1.4</v>
      </c>
      <c r="M107" s="226">
        <f t="shared" si="9"/>
        <v>45.741125954198473</v>
      </c>
      <c r="N107" s="226">
        <v>75</v>
      </c>
    </row>
    <row r="108" spans="1:19" x14ac:dyDescent="0.25">
      <c r="A108" s="178"/>
      <c r="B108" s="862" t="s">
        <v>1662</v>
      </c>
      <c r="C108" s="319" t="s">
        <v>2285</v>
      </c>
      <c r="E108" s="656">
        <v>44</v>
      </c>
      <c r="F108" s="628" t="s">
        <v>2140</v>
      </c>
      <c r="G108" s="175">
        <v>18</v>
      </c>
      <c r="H108" s="178">
        <v>4192</v>
      </c>
      <c r="I108" s="226">
        <v>3417</v>
      </c>
      <c r="J108" s="226">
        <f t="shared" si="7"/>
        <v>14.672232824427482</v>
      </c>
      <c r="K108" s="820">
        <f t="shared" si="8"/>
        <v>32.672232824427482</v>
      </c>
      <c r="L108" s="228">
        <v>1.4</v>
      </c>
      <c r="M108" s="226">
        <f t="shared" si="9"/>
        <v>45.741125954198473</v>
      </c>
      <c r="N108" s="226">
        <v>75</v>
      </c>
    </row>
    <row r="109" spans="1:19" x14ac:dyDescent="0.25">
      <c r="A109" s="178"/>
      <c r="B109" s="862" t="s">
        <v>1662</v>
      </c>
      <c r="C109" s="319" t="s">
        <v>2285</v>
      </c>
      <c r="E109" s="656">
        <v>46</v>
      </c>
      <c r="F109" s="708" t="s">
        <v>2286</v>
      </c>
      <c r="G109" s="698">
        <v>18</v>
      </c>
      <c r="H109" s="213">
        <v>4192</v>
      </c>
      <c r="I109" s="232">
        <v>3417</v>
      </c>
      <c r="J109" s="232">
        <f t="shared" si="7"/>
        <v>14.672232824427482</v>
      </c>
      <c r="K109" s="863">
        <f t="shared" si="8"/>
        <v>32.672232824427482</v>
      </c>
      <c r="L109" s="864">
        <v>1.4</v>
      </c>
      <c r="M109" s="232">
        <f t="shared" si="9"/>
        <v>45.741125954198473</v>
      </c>
      <c r="N109" s="232">
        <v>85</v>
      </c>
      <c r="Q109" s="178" t="s">
        <v>2287</v>
      </c>
      <c r="R109" s="229">
        <v>45385</v>
      </c>
      <c r="S109" s="178">
        <f>+N109*30000</f>
        <v>2550000</v>
      </c>
    </row>
    <row r="110" spans="1:19" x14ac:dyDescent="0.25">
      <c r="A110" s="178"/>
      <c r="B110" s="862" t="s">
        <v>1662</v>
      </c>
      <c r="C110" s="319" t="s">
        <v>2285</v>
      </c>
      <c r="E110" s="656">
        <v>48</v>
      </c>
      <c r="F110" s="708" t="s">
        <v>2140</v>
      </c>
      <c r="G110" s="698">
        <v>18</v>
      </c>
      <c r="H110" s="213">
        <v>4192</v>
      </c>
      <c r="I110" s="232">
        <v>3417</v>
      </c>
      <c r="J110" s="232">
        <f t="shared" si="7"/>
        <v>14.672232824427482</v>
      </c>
      <c r="K110" s="863">
        <f t="shared" si="8"/>
        <v>32.672232824427482</v>
      </c>
      <c r="L110" s="864">
        <v>1.4</v>
      </c>
      <c r="M110" s="232">
        <f t="shared" si="9"/>
        <v>45.741125954198473</v>
      </c>
      <c r="N110" s="232">
        <v>85</v>
      </c>
      <c r="Q110" s="178" t="s">
        <v>2288</v>
      </c>
      <c r="R110" s="229">
        <v>45385</v>
      </c>
      <c r="S110" s="178">
        <f>+N110*30000</f>
        <v>2550000</v>
      </c>
    </row>
    <row r="111" spans="1:19" x14ac:dyDescent="0.25">
      <c r="A111" s="178"/>
      <c r="B111" s="862" t="s">
        <v>1662</v>
      </c>
      <c r="C111" s="319" t="s">
        <v>2285</v>
      </c>
      <c r="E111" s="656">
        <v>42</v>
      </c>
      <c r="F111" s="708" t="s">
        <v>2141</v>
      </c>
      <c r="G111" s="698">
        <v>18</v>
      </c>
      <c r="H111" s="213">
        <v>4192</v>
      </c>
      <c r="I111" s="232">
        <v>3417</v>
      </c>
      <c r="J111" s="232">
        <f t="shared" si="7"/>
        <v>14.672232824427482</v>
      </c>
      <c r="K111" s="863">
        <f t="shared" si="8"/>
        <v>32.672232824427482</v>
      </c>
      <c r="L111" s="864">
        <v>1.4</v>
      </c>
      <c r="M111" s="232">
        <f t="shared" si="9"/>
        <v>45.741125954198473</v>
      </c>
      <c r="N111" s="232">
        <v>75</v>
      </c>
      <c r="Q111" s="178" t="s">
        <v>1908</v>
      </c>
      <c r="R111" s="229">
        <v>45379</v>
      </c>
      <c r="S111" s="178">
        <f>+N111*30000</f>
        <v>2250000</v>
      </c>
    </row>
    <row r="112" spans="1:19" x14ac:dyDescent="0.25">
      <c r="A112" s="178"/>
      <c r="B112" s="862" t="s">
        <v>1662</v>
      </c>
      <c r="C112" s="319" t="s">
        <v>2285</v>
      </c>
      <c r="E112" s="656">
        <v>40</v>
      </c>
      <c r="F112" s="708" t="s">
        <v>2141</v>
      </c>
      <c r="G112" s="698">
        <v>18</v>
      </c>
      <c r="H112" s="213">
        <v>4192</v>
      </c>
      <c r="I112" s="232">
        <v>3417</v>
      </c>
      <c r="J112" s="232">
        <f t="shared" ref="J112:J130" si="10">+I112/H112*G112</f>
        <v>14.672232824427482</v>
      </c>
      <c r="K112" s="863">
        <f t="shared" ref="K112:K130" si="11">+G112+J112</f>
        <v>32.672232824427482</v>
      </c>
      <c r="L112" s="864">
        <v>1.4</v>
      </c>
      <c r="M112" s="232">
        <f t="shared" ref="M112:M130" si="12">+K112*L112</f>
        <v>45.741125954198473</v>
      </c>
      <c r="N112" s="232">
        <v>75</v>
      </c>
      <c r="Q112" s="178" t="s">
        <v>2311</v>
      </c>
      <c r="R112" s="229">
        <v>45385</v>
      </c>
      <c r="S112" s="178">
        <f>+N112*35000</f>
        <v>2625000</v>
      </c>
    </row>
    <row r="113" spans="1:19" x14ac:dyDescent="0.25">
      <c r="A113" s="178"/>
      <c r="B113" s="862" t="s">
        <v>1662</v>
      </c>
      <c r="C113" s="319" t="s">
        <v>2285</v>
      </c>
      <c r="E113" s="656">
        <v>44</v>
      </c>
      <c r="F113" s="628" t="s">
        <v>2141</v>
      </c>
      <c r="G113" s="175">
        <v>18</v>
      </c>
      <c r="H113" s="178">
        <v>4192</v>
      </c>
      <c r="I113" s="226">
        <v>3417</v>
      </c>
      <c r="J113" s="226">
        <f t="shared" si="10"/>
        <v>14.672232824427482</v>
      </c>
      <c r="K113" s="820">
        <f t="shared" si="11"/>
        <v>32.672232824427482</v>
      </c>
      <c r="L113" s="228">
        <v>1.4</v>
      </c>
      <c r="M113" s="226">
        <f t="shared" si="12"/>
        <v>45.741125954198473</v>
      </c>
      <c r="N113" s="226">
        <v>75</v>
      </c>
    </row>
    <row r="114" spans="1:19" x14ac:dyDescent="0.25">
      <c r="A114" s="178"/>
      <c r="B114" s="862" t="s">
        <v>1662</v>
      </c>
      <c r="C114" s="319" t="s">
        <v>2285</v>
      </c>
      <c r="E114" s="656">
        <v>46</v>
      </c>
      <c r="F114" s="628" t="s">
        <v>2141</v>
      </c>
      <c r="G114" s="175">
        <v>18</v>
      </c>
      <c r="H114" s="178">
        <v>4192</v>
      </c>
      <c r="I114" s="226">
        <v>3417</v>
      </c>
      <c r="J114" s="226">
        <f t="shared" si="10"/>
        <v>14.672232824427482</v>
      </c>
      <c r="K114" s="820">
        <f t="shared" si="11"/>
        <v>32.672232824427482</v>
      </c>
      <c r="L114" s="228">
        <v>1.4</v>
      </c>
      <c r="M114" s="226">
        <f t="shared" si="12"/>
        <v>45.741125954198473</v>
      </c>
      <c r="N114" s="226">
        <v>75</v>
      </c>
    </row>
    <row r="115" spans="1:19" x14ac:dyDescent="0.25">
      <c r="A115" s="178"/>
      <c r="B115" s="862" t="s">
        <v>2142</v>
      </c>
      <c r="C115" s="319" t="s">
        <v>2142</v>
      </c>
      <c r="E115" s="656">
        <v>42</v>
      </c>
      <c r="F115" s="628" t="s">
        <v>2143</v>
      </c>
      <c r="G115" s="175">
        <v>50</v>
      </c>
      <c r="H115" s="178">
        <v>4192</v>
      </c>
      <c r="I115" s="226">
        <v>3417</v>
      </c>
      <c r="J115" s="226">
        <f t="shared" si="10"/>
        <v>40.756202290076338</v>
      </c>
      <c r="K115" s="820">
        <f t="shared" si="11"/>
        <v>90.756202290076345</v>
      </c>
      <c r="L115" s="228">
        <v>1.4</v>
      </c>
      <c r="M115" s="226">
        <f t="shared" si="12"/>
        <v>127.05868320610688</v>
      </c>
      <c r="N115" s="226">
        <v>150</v>
      </c>
    </row>
    <row r="116" spans="1:19" x14ac:dyDescent="0.25">
      <c r="A116" s="178"/>
      <c r="B116" s="862" t="s">
        <v>2142</v>
      </c>
      <c r="C116" s="319" t="s">
        <v>2142</v>
      </c>
      <c r="E116" s="656">
        <v>44</v>
      </c>
      <c r="F116" s="628" t="s">
        <v>2143</v>
      </c>
      <c r="G116" s="175">
        <v>50</v>
      </c>
      <c r="H116" s="178">
        <v>4192</v>
      </c>
      <c r="I116" s="226">
        <v>3417</v>
      </c>
      <c r="J116" s="226">
        <f t="shared" si="10"/>
        <v>40.756202290076338</v>
      </c>
      <c r="K116" s="820">
        <f t="shared" si="11"/>
        <v>90.756202290076345</v>
      </c>
      <c r="L116" s="228">
        <v>1.4</v>
      </c>
      <c r="M116" s="226">
        <f t="shared" si="12"/>
        <v>127.05868320610688</v>
      </c>
      <c r="N116" s="226">
        <v>150</v>
      </c>
    </row>
    <row r="117" spans="1:19" x14ac:dyDescent="0.25">
      <c r="A117" s="178"/>
      <c r="B117" s="862" t="s">
        <v>2142</v>
      </c>
      <c r="C117" s="319" t="s">
        <v>2142</v>
      </c>
      <c r="E117" s="656">
        <v>46</v>
      </c>
      <c r="F117" s="628" t="s">
        <v>2143</v>
      </c>
      <c r="G117" s="175">
        <v>50</v>
      </c>
      <c r="H117" s="178">
        <v>4192</v>
      </c>
      <c r="I117" s="226">
        <v>3417</v>
      </c>
      <c r="J117" s="226">
        <f t="shared" si="10"/>
        <v>40.756202290076338</v>
      </c>
      <c r="K117" s="820">
        <f t="shared" si="11"/>
        <v>90.756202290076345</v>
      </c>
      <c r="L117" s="228">
        <v>1.4</v>
      </c>
      <c r="M117" s="226">
        <f t="shared" si="12"/>
        <v>127.05868320610688</v>
      </c>
      <c r="N117" s="226">
        <v>150</v>
      </c>
    </row>
    <row r="118" spans="1:19" x14ac:dyDescent="0.25">
      <c r="A118" s="178"/>
      <c r="B118" s="862" t="s">
        <v>2142</v>
      </c>
      <c r="C118" s="319" t="s">
        <v>2142</v>
      </c>
      <c r="E118" s="656">
        <v>48</v>
      </c>
      <c r="F118" s="711" t="s">
        <v>2143</v>
      </c>
      <c r="G118" s="880">
        <v>50</v>
      </c>
      <c r="H118" s="804">
        <v>4192</v>
      </c>
      <c r="I118" s="713">
        <v>3417</v>
      </c>
      <c r="J118" s="713">
        <f t="shared" si="10"/>
        <v>40.756202290076338</v>
      </c>
      <c r="K118" s="860">
        <f t="shared" si="11"/>
        <v>90.756202290076345</v>
      </c>
      <c r="L118" s="861">
        <v>1.4</v>
      </c>
      <c r="M118" s="713">
        <f t="shared" si="12"/>
        <v>127.05868320610688</v>
      </c>
      <c r="N118" s="713">
        <v>150</v>
      </c>
      <c r="Q118" s="178" t="s">
        <v>1823</v>
      </c>
    </row>
    <row r="119" spans="1:19" x14ac:dyDescent="0.25">
      <c r="A119" s="178"/>
      <c r="B119" s="862" t="s">
        <v>2142</v>
      </c>
      <c r="C119" s="319" t="s">
        <v>2142</v>
      </c>
      <c r="E119" s="656">
        <v>42</v>
      </c>
      <c r="F119" s="628" t="s">
        <v>2144</v>
      </c>
      <c r="G119" s="175">
        <v>50</v>
      </c>
      <c r="H119" s="178">
        <v>4192</v>
      </c>
      <c r="I119" s="226">
        <v>3417</v>
      </c>
      <c r="J119" s="226">
        <f t="shared" si="10"/>
        <v>40.756202290076338</v>
      </c>
      <c r="K119" s="820">
        <f t="shared" si="11"/>
        <v>90.756202290076345</v>
      </c>
      <c r="L119" s="228">
        <v>1.4</v>
      </c>
      <c r="M119" s="226">
        <f t="shared" si="12"/>
        <v>127.05868320610688</v>
      </c>
      <c r="N119" s="226">
        <v>150</v>
      </c>
    </row>
    <row r="120" spans="1:19" x14ac:dyDescent="0.25">
      <c r="A120" s="178"/>
      <c r="B120" s="862" t="s">
        <v>2142</v>
      </c>
      <c r="C120" s="319" t="s">
        <v>2142</v>
      </c>
      <c r="E120" s="656">
        <v>44</v>
      </c>
      <c r="F120" s="628" t="s">
        <v>2144</v>
      </c>
      <c r="G120" s="175">
        <v>50</v>
      </c>
      <c r="H120" s="178">
        <v>4192</v>
      </c>
      <c r="I120" s="226">
        <v>3417</v>
      </c>
      <c r="J120" s="226">
        <f t="shared" si="10"/>
        <v>40.756202290076338</v>
      </c>
      <c r="K120" s="820">
        <f t="shared" si="11"/>
        <v>90.756202290076345</v>
      </c>
      <c r="L120" s="228">
        <v>1.4</v>
      </c>
      <c r="M120" s="226">
        <f t="shared" si="12"/>
        <v>127.05868320610688</v>
      </c>
      <c r="N120" s="226">
        <v>150</v>
      </c>
    </row>
    <row r="121" spans="1:19" x14ac:dyDescent="0.25">
      <c r="A121" s="178"/>
      <c r="B121" s="862" t="s">
        <v>2142</v>
      </c>
      <c r="C121" s="319" t="s">
        <v>2142</v>
      </c>
      <c r="E121" s="656">
        <v>46</v>
      </c>
      <c r="F121" s="628" t="s">
        <v>2144</v>
      </c>
      <c r="G121" s="175">
        <v>50</v>
      </c>
      <c r="H121" s="178">
        <v>4192</v>
      </c>
      <c r="I121" s="226">
        <v>3417</v>
      </c>
      <c r="J121" s="226">
        <f t="shared" si="10"/>
        <v>40.756202290076338</v>
      </c>
      <c r="K121" s="820">
        <f t="shared" si="11"/>
        <v>90.756202290076345</v>
      </c>
      <c r="L121" s="228">
        <v>1.4</v>
      </c>
      <c r="M121" s="226">
        <f t="shared" si="12"/>
        <v>127.05868320610688</v>
      </c>
      <c r="N121" s="226">
        <v>150</v>
      </c>
    </row>
    <row r="122" spans="1:19" x14ac:dyDescent="0.25">
      <c r="A122" s="178"/>
      <c r="B122" s="862" t="s">
        <v>2142</v>
      </c>
      <c r="C122" s="319" t="s">
        <v>2142</v>
      </c>
      <c r="E122" s="656">
        <v>48</v>
      </c>
      <c r="F122" s="628" t="s">
        <v>2144</v>
      </c>
      <c r="G122" s="175">
        <v>50</v>
      </c>
      <c r="H122" s="178">
        <v>4192</v>
      </c>
      <c r="I122" s="226">
        <v>3417</v>
      </c>
      <c r="J122" s="226">
        <f t="shared" si="10"/>
        <v>40.756202290076338</v>
      </c>
      <c r="K122" s="820">
        <f t="shared" si="11"/>
        <v>90.756202290076345</v>
      </c>
      <c r="L122" s="228">
        <v>1.4</v>
      </c>
      <c r="M122" s="226">
        <f t="shared" si="12"/>
        <v>127.05868320610688</v>
      </c>
      <c r="N122" s="226">
        <v>150</v>
      </c>
    </row>
    <row r="123" spans="1:19" x14ac:dyDescent="0.25">
      <c r="A123" s="178"/>
      <c r="B123" s="862" t="s">
        <v>1041</v>
      </c>
      <c r="C123" s="319" t="s">
        <v>1041</v>
      </c>
      <c r="E123" s="656">
        <v>42</v>
      </c>
      <c r="F123" s="708" t="s">
        <v>2145</v>
      </c>
      <c r="G123" s="698">
        <v>55</v>
      </c>
      <c r="H123" s="213">
        <v>4192</v>
      </c>
      <c r="I123" s="232">
        <v>3417</v>
      </c>
      <c r="J123" s="232">
        <f t="shared" si="10"/>
        <v>44.831822519083971</v>
      </c>
      <c r="K123" s="863">
        <f t="shared" si="11"/>
        <v>99.831822519083971</v>
      </c>
      <c r="L123" s="864">
        <v>1.4</v>
      </c>
      <c r="M123" s="232">
        <f t="shared" si="12"/>
        <v>139.76455152671755</v>
      </c>
      <c r="N123" s="232">
        <v>150</v>
      </c>
      <c r="Q123" s="178" t="s">
        <v>2305</v>
      </c>
      <c r="R123" s="229">
        <v>45384</v>
      </c>
      <c r="S123" s="178">
        <f>+N123*35000</f>
        <v>5250000</v>
      </c>
    </row>
    <row r="124" spans="1:19" x14ac:dyDescent="0.25">
      <c r="A124" s="178"/>
      <c r="B124" s="862" t="s">
        <v>1041</v>
      </c>
      <c r="C124" s="319" t="s">
        <v>1041</v>
      </c>
      <c r="E124" s="656">
        <v>44</v>
      </c>
      <c r="F124" s="628" t="s">
        <v>2145</v>
      </c>
      <c r="G124" s="175">
        <v>55</v>
      </c>
      <c r="H124" s="178">
        <v>4192</v>
      </c>
      <c r="I124" s="226">
        <v>3417</v>
      </c>
      <c r="J124" s="226">
        <f t="shared" si="10"/>
        <v>44.831822519083971</v>
      </c>
      <c r="K124" s="820">
        <f t="shared" si="11"/>
        <v>99.831822519083971</v>
      </c>
      <c r="L124" s="228">
        <v>1.4</v>
      </c>
      <c r="M124" s="226">
        <f t="shared" si="12"/>
        <v>139.76455152671755</v>
      </c>
      <c r="N124" s="226">
        <v>150</v>
      </c>
    </row>
    <row r="125" spans="1:19" x14ac:dyDescent="0.25">
      <c r="A125" s="178"/>
      <c r="B125" s="862" t="s">
        <v>1041</v>
      </c>
      <c r="C125" s="319" t="s">
        <v>1041</v>
      </c>
      <c r="E125" s="656">
        <v>46</v>
      </c>
      <c r="F125" s="708" t="s">
        <v>2145</v>
      </c>
      <c r="G125" s="698">
        <v>55</v>
      </c>
      <c r="H125" s="213">
        <v>4192</v>
      </c>
      <c r="I125" s="232">
        <v>3417</v>
      </c>
      <c r="J125" s="232">
        <f t="shared" si="10"/>
        <v>44.831822519083971</v>
      </c>
      <c r="K125" s="863">
        <f t="shared" si="11"/>
        <v>99.831822519083971</v>
      </c>
      <c r="L125" s="864">
        <v>1.4</v>
      </c>
      <c r="M125" s="232">
        <f t="shared" si="12"/>
        <v>139.76455152671755</v>
      </c>
      <c r="N125" s="232">
        <v>150</v>
      </c>
      <c r="Q125" s="178" t="s">
        <v>12</v>
      </c>
      <c r="R125" s="229">
        <v>45378</v>
      </c>
      <c r="S125" s="178">
        <f>+N125*30000</f>
        <v>4500000</v>
      </c>
    </row>
    <row r="126" spans="1:19" x14ac:dyDescent="0.25">
      <c r="A126" s="178"/>
      <c r="B126" s="862" t="s">
        <v>1041</v>
      </c>
      <c r="C126" s="319" t="s">
        <v>1041</v>
      </c>
      <c r="E126" s="656">
        <v>48</v>
      </c>
      <c r="F126" s="708" t="s">
        <v>2145</v>
      </c>
      <c r="G126" s="698">
        <v>55</v>
      </c>
      <c r="H126" s="213">
        <v>4192</v>
      </c>
      <c r="I126" s="232">
        <v>3417</v>
      </c>
      <c r="J126" s="232">
        <f t="shared" si="10"/>
        <v>44.831822519083971</v>
      </c>
      <c r="K126" s="863">
        <f t="shared" si="11"/>
        <v>99.831822519083971</v>
      </c>
      <c r="L126" s="864">
        <v>1.4</v>
      </c>
      <c r="M126" s="232">
        <f t="shared" si="12"/>
        <v>139.76455152671755</v>
      </c>
      <c r="N126" s="232">
        <v>150</v>
      </c>
      <c r="Q126" s="178" t="s">
        <v>2265</v>
      </c>
      <c r="R126" s="229">
        <v>45381</v>
      </c>
      <c r="S126" s="178">
        <f>+N126*30000</f>
        <v>4500000</v>
      </c>
    </row>
    <row r="127" spans="1:19" x14ac:dyDescent="0.25">
      <c r="A127" s="178"/>
      <c r="B127" s="862" t="s">
        <v>2150</v>
      </c>
      <c r="C127" s="319" t="s">
        <v>2294</v>
      </c>
      <c r="E127" s="656">
        <v>42</v>
      </c>
      <c r="F127" s="628" t="s">
        <v>2151</v>
      </c>
      <c r="G127" s="175">
        <v>32</v>
      </c>
      <c r="H127" s="178">
        <v>4192</v>
      </c>
      <c r="I127" s="226">
        <v>3417</v>
      </c>
      <c r="J127" s="226">
        <f t="shared" si="10"/>
        <v>26.083969465648856</v>
      </c>
      <c r="K127" s="820">
        <f t="shared" si="11"/>
        <v>58.083969465648856</v>
      </c>
      <c r="L127" s="228">
        <v>1.4</v>
      </c>
      <c r="M127" s="226">
        <f t="shared" si="12"/>
        <v>81.317557251908397</v>
      </c>
      <c r="N127" s="226">
        <v>110</v>
      </c>
    </row>
    <row r="128" spans="1:19" x14ac:dyDescent="0.25">
      <c r="A128" s="178"/>
      <c r="B128" s="862" t="s">
        <v>2150</v>
      </c>
      <c r="C128" s="319" t="s">
        <v>2294</v>
      </c>
      <c r="E128" s="656">
        <v>44</v>
      </c>
      <c r="F128" s="628" t="s">
        <v>2151</v>
      </c>
      <c r="G128" s="175">
        <v>32</v>
      </c>
      <c r="H128" s="178">
        <v>4192</v>
      </c>
      <c r="I128" s="226">
        <v>3417</v>
      </c>
      <c r="J128" s="226">
        <f t="shared" si="10"/>
        <v>26.083969465648856</v>
      </c>
      <c r="K128" s="820">
        <f t="shared" si="11"/>
        <v>58.083969465648856</v>
      </c>
      <c r="L128" s="228">
        <v>1.4</v>
      </c>
      <c r="M128" s="226">
        <f t="shared" si="12"/>
        <v>81.317557251908397</v>
      </c>
      <c r="N128" s="226">
        <v>110</v>
      </c>
    </row>
    <row r="129" spans="1:19" x14ac:dyDescent="0.25">
      <c r="A129" s="178"/>
      <c r="B129" s="862" t="s">
        <v>2150</v>
      </c>
      <c r="C129" s="319" t="s">
        <v>2294</v>
      </c>
      <c r="E129" s="656">
        <v>46</v>
      </c>
      <c r="F129" s="628" t="s">
        <v>2151</v>
      </c>
      <c r="G129" s="175">
        <v>32</v>
      </c>
      <c r="H129" s="178">
        <v>4192</v>
      </c>
      <c r="I129" s="226">
        <v>3417</v>
      </c>
      <c r="J129" s="226">
        <f t="shared" si="10"/>
        <v>26.083969465648856</v>
      </c>
      <c r="K129" s="820">
        <f t="shared" si="11"/>
        <v>58.083969465648856</v>
      </c>
      <c r="L129" s="228">
        <v>1.4</v>
      </c>
      <c r="M129" s="226">
        <f t="shared" si="12"/>
        <v>81.317557251908397</v>
      </c>
      <c r="N129" s="226">
        <v>110</v>
      </c>
    </row>
    <row r="130" spans="1:19" x14ac:dyDescent="0.25">
      <c r="A130" s="178"/>
      <c r="B130" s="862" t="s">
        <v>2150</v>
      </c>
      <c r="C130" s="319" t="s">
        <v>2294</v>
      </c>
      <c r="E130" s="656">
        <v>48</v>
      </c>
      <c r="F130" s="628" t="s">
        <v>2151</v>
      </c>
      <c r="G130" s="175">
        <v>32</v>
      </c>
      <c r="H130" s="178">
        <v>4192</v>
      </c>
      <c r="I130" s="226">
        <v>3417</v>
      </c>
      <c r="J130" s="226">
        <f t="shared" si="10"/>
        <v>26.083969465648856</v>
      </c>
      <c r="K130" s="820">
        <f t="shared" si="11"/>
        <v>58.083969465648856</v>
      </c>
      <c r="L130" s="228">
        <v>1.4</v>
      </c>
      <c r="M130" s="226">
        <f t="shared" si="12"/>
        <v>81.317557251908397</v>
      </c>
      <c r="N130" s="226">
        <v>110</v>
      </c>
    </row>
    <row r="131" spans="1:19" s="225" customFormat="1" x14ac:dyDescent="0.25">
      <c r="C131" s="318"/>
      <c r="E131" s="601"/>
      <c r="F131" s="379" t="s">
        <v>31</v>
      </c>
      <c r="G131" s="175">
        <f>SUM(G47:G130)</f>
        <v>2734</v>
      </c>
      <c r="H131" s="817"/>
      <c r="I131" s="817"/>
      <c r="J131" s="817"/>
      <c r="K131" s="817"/>
      <c r="L131" s="817"/>
      <c r="M131" s="817"/>
      <c r="N131" s="817">
        <f>SUM(N47:N130)</f>
        <v>9670</v>
      </c>
    </row>
    <row r="132" spans="1:19" x14ac:dyDescent="0.25">
      <c r="A132" s="178"/>
      <c r="G132" s="175"/>
      <c r="L132" s="228"/>
    </row>
    <row r="133" spans="1:19" x14ac:dyDescent="0.25">
      <c r="A133" s="178"/>
      <c r="B133" s="225" t="s">
        <v>2128</v>
      </c>
      <c r="C133" s="319" t="s">
        <v>2123</v>
      </c>
      <c r="E133" s="816">
        <v>42</v>
      </c>
      <c r="F133" s="628" t="s">
        <v>2129</v>
      </c>
      <c r="G133" s="175">
        <v>12</v>
      </c>
      <c r="H133" s="178">
        <v>4192</v>
      </c>
      <c r="I133" s="226">
        <v>3417</v>
      </c>
      <c r="J133" s="226">
        <f t="shared" ref="J133" si="13">+I133/H133*G133</f>
        <v>9.7814885496183201</v>
      </c>
      <c r="K133" s="820">
        <f t="shared" ref="K133" si="14">+G133+J133</f>
        <v>21.78148854961832</v>
      </c>
      <c r="L133" s="228">
        <v>1.4</v>
      </c>
      <c r="M133" s="226">
        <f t="shared" ref="M133" si="15">+K133*L133</f>
        <v>30.494083969465645</v>
      </c>
      <c r="N133" s="226">
        <v>45</v>
      </c>
    </row>
    <row r="134" spans="1:19" x14ac:dyDescent="0.25">
      <c r="A134" s="178"/>
      <c r="C134" s="319" t="s">
        <v>2123</v>
      </c>
      <c r="E134" s="816">
        <v>44</v>
      </c>
      <c r="F134" s="628" t="s">
        <v>2129</v>
      </c>
      <c r="G134" s="175">
        <v>12</v>
      </c>
      <c r="H134" s="178">
        <v>4192</v>
      </c>
      <c r="I134" s="226">
        <v>3417</v>
      </c>
      <c r="J134" s="226">
        <f t="shared" ref="J134:J135" si="16">+I134/H134*G134</f>
        <v>9.7814885496183201</v>
      </c>
      <c r="K134" s="820">
        <f t="shared" ref="K134:K135" si="17">+G134+J134</f>
        <v>21.78148854961832</v>
      </c>
      <c r="L134" s="228">
        <v>1.4</v>
      </c>
      <c r="M134" s="226">
        <f t="shared" ref="M134:M135" si="18">+K134*L134</f>
        <v>30.494083969465645</v>
      </c>
      <c r="N134" s="226">
        <v>45</v>
      </c>
    </row>
    <row r="135" spans="1:19" x14ac:dyDescent="0.25">
      <c r="A135" s="178"/>
      <c r="C135" s="319" t="s">
        <v>2123</v>
      </c>
      <c r="E135" s="816">
        <v>46</v>
      </c>
      <c r="F135" s="628" t="s">
        <v>2129</v>
      </c>
      <c r="G135" s="175">
        <v>12</v>
      </c>
      <c r="H135" s="178">
        <v>4192</v>
      </c>
      <c r="I135" s="226">
        <v>3417</v>
      </c>
      <c r="J135" s="226">
        <f t="shared" si="16"/>
        <v>9.7814885496183201</v>
      </c>
      <c r="K135" s="820">
        <f t="shared" si="17"/>
        <v>21.78148854961832</v>
      </c>
      <c r="L135" s="228">
        <v>1.4</v>
      </c>
      <c r="M135" s="226">
        <f t="shared" si="18"/>
        <v>30.494083969465645</v>
      </c>
      <c r="N135" s="226">
        <v>45</v>
      </c>
    </row>
    <row r="136" spans="1:19" x14ac:dyDescent="0.25">
      <c r="A136" s="178"/>
      <c r="F136" s="379" t="s">
        <v>31</v>
      </c>
      <c r="G136" s="175">
        <f>SUM(G133:G135)</f>
        <v>36</v>
      </c>
      <c r="H136" s="817"/>
      <c r="I136" s="817"/>
      <c r="J136" s="817"/>
      <c r="K136" s="817"/>
      <c r="L136" s="817"/>
      <c r="M136" s="817"/>
      <c r="N136" s="817">
        <f t="shared" ref="N136" si="19">SUM(N133:N135)</f>
        <v>135</v>
      </c>
    </row>
    <row r="137" spans="1:19" x14ac:dyDescent="0.25">
      <c r="A137" s="178"/>
      <c r="G137" s="175"/>
      <c r="L137" s="228"/>
    </row>
    <row r="138" spans="1:19" x14ac:dyDescent="0.25">
      <c r="A138" s="178"/>
      <c r="B138" s="225" t="s">
        <v>2152</v>
      </c>
      <c r="F138" s="628" t="s">
        <v>2153</v>
      </c>
      <c r="G138" s="175">
        <v>15</v>
      </c>
      <c r="H138" s="178">
        <v>4192</v>
      </c>
      <c r="I138" s="226">
        <v>3417</v>
      </c>
      <c r="J138" s="226">
        <f t="shared" ref="J138" si="20">+I138/H138*G138</f>
        <v>12.226860687022901</v>
      </c>
      <c r="K138" s="820">
        <f t="shared" ref="K138" si="21">+G138+J138</f>
        <v>27.226860687022899</v>
      </c>
      <c r="L138" s="228">
        <v>1.4</v>
      </c>
      <c r="M138" s="226">
        <f t="shared" ref="M138" si="22">+K138*L138</f>
        <v>38.117604961832058</v>
      </c>
      <c r="N138" s="226">
        <v>45</v>
      </c>
    </row>
    <row r="139" spans="1:19" x14ac:dyDescent="0.25">
      <c r="A139" s="178"/>
      <c r="G139" s="175"/>
      <c r="M139" s="175"/>
      <c r="N139" s="175"/>
    </row>
    <row r="140" spans="1:19" x14ac:dyDescent="0.25">
      <c r="A140" s="178"/>
      <c r="B140" s="225" t="s">
        <v>478</v>
      </c>
      <c r="G140" s="175"/>
    </row>
    <row r="141" spans="1:19" x14ac:dyDescent="0.25">
      <c r="A141" s="178"/>
      <c r="B141" s="225" t="s">
        <v>2130</v>
      </c>
      <c r="C141" s="318" t="s">
        <v>2238</v>
      </c>
      <c r="E141" s="656" t="s">
        <v>2237</v>
      </c>
      <c r="F141" s="628" t="s">
        <v>2131</v>
      </c>
      <c r="G141" s="226">
        <v>10</v>
      </c>
      <c r="H141" s="178">
        <v>4192</v>
      </c>
      <c r="I141" s="226">
        <v>3417</v>
      </c>
      <c r="J141" s="226">
        <f t="shared" ref="J141:J152" si="23">+I141/H141*G141</f>
        <v>8.151240458015268</v>
      </c>
      <c r="K141" s="820">
        <f t="shared" ref="K141:K152" si="24">+G141+J141</f>
        <v>18.151240458015266</v>
      </c>
      <c r="L141" s="228">
        <v>1.4</v>
      </c>
      <c r="M141" s="226">
        <f t="shared" ref="M141:M152" si="25">+K141*L141</f>
        <v>25.411736641221371</v>
      </c>
      <c r="N141" s="226">
        <v>35</v>
      </c>
    </row>
    <row r="142" spans="1:19" x14ac:dyDescent="0.25">
      <c r="B142" s="862" t="s">
        <v>2130</v>
      </c>
      <c r="C142" s="318" t="s">
        <v>2238</v>
      </c>
      <c r="E142" s="656" t="s">
        <v>504</v>
      </c>
      <c r="F142" s="708" t="s">
        <v>2131</v>
      </c>
      <c r="G142" s="232">
        <v>10</v>
      </c>
      <c r="H142" s="213">
        <v>4192</v>
      </c>
      <c r="I142" s="232">
        <v>3417</v>
      </c>
      <c r="J142" s="232">
        <f t="shared" si="23"/>
        <v>8.151240458015268</v>
      </c>
      <c r="K142" s="863">
        <f t="shared" si="24"/>
        <v>18.151240458015266</v>
      </c>
      <c r="L142" s="864">
        <v>1.4</v>
      </c>
      <c r="M142" s="232">
        <f t="shared" si="25"/>
        <v>25.411736641221371</v>
      </c>
      <c r="N142" s="232">
        <v>35</v>
      </c>
      <c r="Q142" s="178" t="s">
        <v>12</v>
      </c>
      <c r="R142" s="229">
        <v>45376</v>
      </c>
      <c r="S142" s="178">
        <f>+N142*20000</f>
        <v>700000</v>
      </c>
    </row>
    <row r="143" spans="1:19" x14ac:dyDescent="0.25">
      <c r="B143" s="225" t="s">
        <v>2130</v>
      </c>
      <c r="C143" s="318" t="s">
        <v>2238</v>
      </c>
      <c r="E143" s="656" t="s">
        <v>501</v>
      </c>
      <c r="F143" s="628" t="s">
        <v>2131</v>
      </c>
      <c r="G143" s="226">
        <v>10</v>
      </c>
      <c r="H143" s="178">
        <v>4192</v>
      </c>
      <c r="I143" s="226">
        <v>3417</v>
      </c>
      <c r="J143" s="226">
        <f t="shared" si="23"/>
        <v>8.151240458015268</v>
      </c>
      <c r="K143" s="820">
        <f t="shared" si="24"/>
        <v>18.151240458015266</v>
      </c>
      <c r="L143" s="228">
        <v>1.4</v>
      </c>
      <c r="M143" s="226">
        <f t="shared" si="25"/>
        <v>25.411736641221371</v>
      </c>
      <c r="N143" s="226">
        <v>35</v>
      </c>
    </row>
    <row r="144" spans="1:19" x14ac:dyDescent="0.25">
      <c r="B144" s="225" t="s">
        <v>2130</v>
      </c>
      <c r="C144" s="318" t="s">
        <v>2238</v>
      </c>
      <c r="E144" s="656" t="s">
        <v>503</v>
      </c>
      <c r="F144" s="628" t="s">
        <v>2239</v>
      </c>
      <c r="G144" s="226">
        <v>10</v>
      </c>
      <c r="H144" s="178">
        <v>4192</v>
      </c>
      <c r="I144" s="226">
        <v>3417</v>
      </c>
      <c r="J144" s="226">
        <f t="shared" si="23"/>
        <v>8.151240458015268</v>
      </c>
      <c r="K144" s="820">
        <f t="shared" si="24"/>
        <v>18.151240458015266</v>
      </c>
      <c r="L144" s="228">
        <v>1.4</v>
      </c>
      <c r="M144" s="226">
        <f t="shared" si="25"/>
        <v>25.411736641221371</v>
      </c>
      <c r="N144" s="226">
        <v>35</v>
      </c>
    </row>
    <row r="145" spans="1:14" x14ac:dyDescent="0.25">
      <c r="B145" s="862" t="s">
        <v>2130</v>
      </c>
      <c r="C145" s="318" t="s">
        <v>2238</v>
      </c>
      <c r="E145" s="656" t="s">
        <v>501</v>
      </c>
      <c r="F145" s="628" t="s">
        <v>2239</v>
      </c>
      <c r="G145" s="226">
        <v>10</v>
      </c>
      <c r="H145" s="178">
        <v>4192</v>
      </c>
      <c r="I145" s="226">
        <v>3417</v>
      </c>
      <c r="J145" s="226">
        <f t="shared" si="23"/>
        <v>8.151240458015268</v>
      </c>
      <c r="K145" s="820">
        <f t="shared" si="24"/>
        <v>18.151240458015266</v>
      </c>
      <c r="L145" s="228">
        <v>1.4</v>
      </c>
      <c r="M145" s="226">
        <f t="shared" si="25"/>
        <v>25.411736641221371</v>
      </c>
      <c r="N145" s="226">
        <v>35</v>
      </c>
    </row>
    <row r="146" spans="1:14" x14ac:dyDescent="0.25">
      <c r="B146" s="225" t="s">
        <v>2130</v>
      </c>
      <c r="C146" s="318" t="s">
        <v>2238</v>
      </c>
      <c r="E146" s="656" t="s">
        <v>504</v>
      </c>
      <c r="F146" s="628" t="s">
        <v>2239</v>
      </c>
      <c r="G146" s="226">
        <v>10</v>
      </c>
      <c r="H146" s="178">
        <v>4192</v>
      </c>
      <c r="I146" s="226">
        <v>3417</v>
      </c>
      <c r="J146" s="226">
        <f t="shared" si="23"/>
        <v>8.151240458015268</v>
      </c>
      <c r="K146" s="820">
        <f t="shared" si="24"/>
        <v>18.151240458015266</v>
      </c>
      <c r="L146" s="228">
        <v>1.4</v>
      </c>
      <c r="M146" s="226">
        <f t="shared" si="25"/>
        <v>25.411736641221371</v>
      </c>
      <c r="N146" s="226">
        <v>35</v>
      </c>
    </row>
    <row r="147" spans="1:14" x14ac:dyDescent="0.25">
      <c r="B147" s="225" t="s">
        <v>2130</v>
      </c>
      <c r="C147" s="318" t="s">
        <v>2238</v>
      </c>
      <c r="E147" s="656" t="s">
        <v>503</v>
      </c>
      <c r="F147" s="628" t="s">
        <v>2240</v>
      </c>
      <c r="G147" s="226">
        <v>10</v>
      </c>
      <c r="H147" s="178">
        <v>4192</v>
      </c>
      <c r="I147" s="226">
        <v>3417</v>
      </c>
      <c r="J147" s="226">
        <f t="shared" si="23"/>
        <v>8.151240458015268</v>
      </c>
      <c r="K147" s="820">
        <f t="shared" si="24"/>
        <v>18.151240458015266</v>
      </c>
      <c r="L147" s="228">
        <v>1.4</v>
      </c>
      <c r="M147" s="226">
        <f t="shared" si="25"/>
        <v>25.411736641221371</v>
      </c>
      <c r="N147" s="226">
        <v>35</v>
      </c>
    </row>
    <row r="148" spans="1:14" x14ac:dyDescent="0.25">
      <c r="B148" s="225" t="s">
        <v>2130</v>
      </c>
      <c r="C148" s="318" t="s">
        <v>2238</v>
      </c>
      <c r="E148" s="656" t="s">
        <v>501</v>
      </c>
      <c r="F148" s="628" t="s">
        <v>2240</v>
      </c>
      <c r="G148" s="226">
        <v>10</v>
      </c>
      <c r="H148" s="178">
        <v>4192</v>
      </c>
      <c r="I148" s="226">
        <v>3417</v>
      </c>
      <c r="J148" s="226">
        <f t="shared" si="23"/>
        <v>8.151240458015268</v>
      </c>
      <c r="K148" s="820">
        <f t="shared" si="24"/>
        <v>18.151240458015266</v>
      </c>
      <c r="L148" s="228">
        <v>1.4</v>
      </c>
      <c r="M148" s="226">
        <f t="shared" si="25"/>
        <v>25.411736641221371</v>
      </c>
      <c r="N148" s="226">
        <v>35</v>
      </c>
    </row>
    <row r="149" spans="1:14" x14ac:dyDescent="0.25">
      <c r="B149" s="225" t="s">
        <v>2130</v>
      </c>
      <c r="C149" s="318" t="s">
        <v>2238</v>
      </c>
      <c r="E149" s="656" t="s">
        <v>504</v>
      </c>
      <c r="F149" s="628" t="s">
        <v>2240</v>
      </c>
      <c r="G149" s="226">
        <v>10</v>
      </c>
      <c r="H149" s="178">
        <v>4192</v>
      </c>
      <c r="I149" s="226">
        <v>3417</v>
      </c>
      <c r="J149" s="226">
        <f t="shared" si="23"/>
        <v>8.151240458015268</v>
      </c>
      <c r="K149" s="820">
        <f t="shared" si="24"/>
        <v>18.151240458015266</v>
      </c>
      <c r="L149" s="228">
        <v>1.4</v>
      </c>
      <c r="M149" s="226">
        <f t="shared" si="25"/>
        <v>25.411736641221371</v>
      </c>
      <c r="N149" s="226">
        <v>35</v>
      </c>
    </row>
    <row r="150" spans="1:14" x14ac:dyDescent="0.25">
      <c r="B150" s="225" t="s">
        <v>2130</v>
      </c>
      <c r="C150" s="318" t="s">
        <v>2238</v>
      </c>
      <c r="E150" s="656" t="s">
        <v>503</v>
      </c>
      <c r="F150" s="628" t="s">
        <v>2241</v>
      </c>
      <c r="G150" s="226">
        <v>10</v>
      </c>
      <c r="H150" s="178">
        <v>4192</v>
      </c>
      <c r="I150" s="226">
        <v>3417</v>
      </c>
      <c r="J150" s="226">
        <f t="shared" si="23"/>
        <v>8.151240458015268</v>
      </c>
      <c r="K150" s="820">
        <f t="shared" si="24"/>
        <v>18.151240458015266</v>
      </c>
      <c r="L150" s="228">
        <v>1.4</v>
      </c>
      <c r="M150" s="226">
        <f t="shared" si="25"/>
        <v>25.411736641221371</v>
      </c>
      <c r="N150" s="226">
        <v>35</v>
      </c>
    </row>
    <row r="151" spans="1:14" x14ac:dyDescent="0.25">
      <c r="B151" s="225" t="s">
        <v>2130</v>
      </c>
      <c r="C151" s="318" t="s">
        <v>2238</v>
      </c>
      <c r="E151" s="656" t="s">
        <v>501</v>
      </c>
      <c r="F151" s="628" t="s">
        <v>2241</v>
      </c>
      <c r="G151" s="226">
        <v>10</v>
      </c>
      <c r="H151" s="178">
        <v>4192</v>
      </c>
      <c r="I151" s="226">
        <v>3417</v>
      </c>
      <c r="J151" s="226">
        <f t="shared" si="23"/>
        <v>8.151240458015268</v>
      </c>
      <c r="K151" s="820">
        <f t="shared" si="24"/>
        <v>18.151240458015266</v>
      </c>
      <c r="L151" s="228">
        <v>1.4</v>
      </c>
      <c r="M151" s="226">
        <f t="shared" si="25"/>
        <v>25.411736641221371</v>
      </c>
      <c r="N151" s="226">
        <v>35</v>
      </c>
    </row>
    <row r="152" spans="1:14" x14ac:dyDescent="0.25">
      <c r="B152" s="225" t="s">
        <v>2130</v>
      </c>
      <c r="C152" s="318" t="s">
        <v>2238</v>
      </c>
      <c r="E152" s="656" t="s">
        <v>504</v>
      </c>
      <c r="F152" s="628" t="s">
        <v>2241</v>
      </c>
      <c r="G152" s="226">
        <v>10</v>
      </c>
      <c r="H152" s="178">
        <v>4192</v>
      </c>
      <c r="I152" s="226">
        <v>3417</v>
      </c>
      <c r="J152" s="226">
        <f t="shared" si="23"/>
        <v>8.151240458015268</v>
      </c>
      <c r="K152" s="820">
        <f t="shared" si="24"/>
        <v>18.151240458015266</v>
      </c>
      <c r="L152" s="228">
        <v>1.4</v>
      </c>
      <c r="M152" s="226">
        <f t="shared" si="25"/>
        <v>25.411736641221371</v>
      </c>
      <c r="N152" s="226">
        <v>35</v>
      </c>
    </row>
    <row r="153" spans="1:14" s="225" customFormat="1" x14ac:dyDescent="0.25">
      <c r="C153" s="318"/>
      <c r="E153" s="601"/>
      <c r="F153" s="379" t="s">
        <v>31</v>
      </c>
      <c r="G153" s="175">
        <f>SUM(G141:G152)</f>
        <v>120</v>
      </c>
      <c r="H153" s="817"/>
      <c r="I153" s="817"/>
      <c r="J153" s="817"/>
      <c r="K153" s="817"/>
      <c r="L153" s="817"/>
      <c r="M153" s="817"/>
      <c r="N153" s="817">
        <f t="shared" ref="N153" si="26">SUM(N141:N152)</f>
        <v>420</v>
      </c>
    </row>
    <row r="154" spans="1:14" x14ac:dyDescent="0.25">
      <c r="L154" s="228"/>
    </row>
    <row r="155" spans="1:14" x14ac:dyDescent="0.25">
      <c r="B155" s="225" t="s">
        <v>781</v>
      </c>
      <c r="E155" s="656">
        <v>4</v>
      </c>
      <c r="F155" s="628" t="s">
        <v>2154</v>
      </c>
      <c r="G155" s="226">
        <v>1.62</v>
      </c>
      <c r="H155" s="178">
        <v>4192</v>
      </c>
      <c r="I155" s="226">
        <v>3417</v>
      </c>
      <c r="J155" s="226">
        <f t="shared" ref="J155:J218" si="27">+I155/H155*G155</f>
        <v>1.3205009541984734</v>
      </c>
      <c r="K155" s="820">
        <f t="shared" ref="K155:K218" si="28">+G155+J155</f>
        <v>2.9405009541984732</v>
      </c>
      <c r="L155" s="228">
        <v>1.4</v>
      </c>
      <c r="M155" s="226">
        <f t="shared" ref="M155:M218" si="29">+K155*L155</f>
        <v>4.1167013358778624</v>
      </c>
      <c r="N155" s="226">
        <v>5</v>
      </c>
    </row>
    <row r="156" spans="1:14" x14ac:dyDescent="0.25">
      <c r="E156" s="656">
        <v>4</v>
      </c>
      <c r="F156" s="628" t="s">
        <v>2154</v>
      </c>
      <c r="G156" s="226">
        <v>1.62</v>
      </c>
      <c r="H156" s="178">
        <v>4192</v>
      </c>
      <c r="I156" s="226">
        <v>3417</v>
      </c>
      <c r="J156" s="226">
        <f t="shared" si="27"/>
        <v>1.3205009541984734</v>
      </c>
      <c r="K156" s="820">
        <f t="shared" si="28"/>
        <v>2.9405009541984732</v>
      </c>
      <c r="L156" s="228">
        <v>1.4</v>
      </c>
      <c r="M156" s="226">
        <f t="shared" si="29"/>
        <v>4.1167013358778624</v>
      </c>
      <c r="N156" s="226">
        <v>5</v>
      </c>
    </row>
    <row r="157" spans="1:14" x14ac:dyDescent="0.25">
      <c r="E157" s="656">
        <v>4</v>
      </c>
      <c r="F157" s="628" t="s">
        <v>2154</v>
      </c>
      <c r="G157" s="226">
        <v>1.62</v>
      </c>
      <c r="H157" s="178">
        <v>4192</v>
      </c>
      <c r="I157" s="226">
        <v>3417</v>
      </c>
      <c r="J157" s="226">
        <f t="shared" si="27"/>
        <v>1.3205009541984734</v>
      </c>
      <c r="K157" s="820">
        <f t="shared" si="28"/>
        <v>2.9405009541984732</v>
      </c>
      <c r="L157" s="228">
        <v>1.4</v>
      </c>
      <c r="M157" s="226">
        <f t="shared" si="29"/>
        <v>4.1167013358778624</v>
      </c>
      <c r="N157" s="226">
        <v>5</v>
      </c>
    </row>
    <row r="158" spans="1:14" x14ac:dyDescent="0.25">
      <c r="E158" s="656">
        <v>4</v>
      </c>
      <c r="F158" s="628" t="s">
        <v>2154</v>
      </c>
      <c r="G158" s="226">
        <v>1.62</v>
      </c>
      <c r="H158" s="178">
        <v>4192</v>
      </c>
      <c r="I158" s="226">
        <v>3417</v>
      </c>
      <c r="J158" s="226">
        <f t="shared" si="27"/>
        <v>1.3205009541984734</v>
      </c>
      <c r="K158" s="820">
        <f t="shared" si="28"/>
        <v>2.9405009541984732</v>
      </c>
      <c r="L158" s="228">
        <v>1.4</v>
      </c>
      <c r="M158" s="226">
        <f t="shared" si="29"/>
        <v>4.1167013358778624</v>
      </c>
      <c r="N158" s="226">
        <v>5</v>
      </c>
    </row>
    <row r="159" spans="1:14" x14ac:dyDescent="0.25">
      <c r="A159" s="178"/>
      <c r="E159" s="656">
        <v>4</v>
      </c>
      <c r="F159" s="628" t="s">
        <v>2154</v>
      </c>
      <c r="G159" s="226">
        <v>1.62</v>
      </c>
      <c r="H159" s="178">
        <v>4192</v>
      </c>
      <c r="I159" s="226">
        <v>3417</v>
      </c>
      <c r="J159" s="226">
        <f t="shared" si="27"/>
        <v>1.3205009541984734</v>
      </c>
      <c r="K159" s="820">
        <f t="shared" si="28"/>
        <v>2.9405009541984732</v>
      </c>
      <c r="L159" s="228">
        <v>1.4</v>
      </c>
      <c r="M159" s="226">
        <f t="shared" si="29"/>
        <v>4.1167013358778624</v>
      </c>
      <c r="N159" s="226">
        <v>5</v>
      </c>
    </row>
    <row r="160" spans="1:14" x14ac:dyDescent="0.25">
      <c r="A160" s="178"/>
      <c r="E160" s="656">
        <v>4</v>
      </c>
      <c r="F160" s="628" t="s">
        <v>2154</v>
      </c>
      <c r="G160" s="226">
        <v>1.62</v>
      </c>
      <c r="H160" s="178">
        <v>4192</v>
      </c>
      <c r="I160" s="226">
        <v>3417</v>
      </c>
      <c r="J160" s="226">
        <f t="shared" si="27"/>
        <v>1.3205009541984734</v>
      </c>
      <c r="K160" s="820">
        <f t="shared" si="28"/>
        <v>2.9405009541984732</v>
      </c>
      <c r="L160" s="228">
        <v>1.4</v>
      </c>
      <c r="M160" s="226">
        <f t="shared" si="29"/>
        <v>4.1167013358778624</v>
      </c>
      <c r="N160" s="226">
        <v>5</v>
      </c>
    </row>
    <row r="161" spans="1:14" x14ac:dyDescent="0.25">
      <c r="A161" s="178"/>
      <c r="E161" s="656">
        <v>4</v>
      </c>
      <c r="F161" s="628" t="s">
        <v>2154</v>
      </c>
      <c r="G161" s="226">
        <v>1.62</v>
      </c>
      <c r="H161" s="178">
        <v>4192</v>
      </c>
      <c r="I161" s="226">
        <v>3417</v>
      </c>
      <c r="J161" s="226">
        <f t="shared" si="27"/>
        <v>1.3205009541984734</v>
      </c>
      <c r="K161" s="820">
        <f t="shared" si="28"/>
        <v>2.9405009541984732</v>
      </c>
      <c r="L161" s="228">
        <v>1.4</v>
      </c>
      <c r="M161" s="226">
        <f t="shared" si="29"/>
        <v>4.1167013358778624</v>
      </c>
      <c r="N161" s="226">
        <v>5</v>
      </c>
    </row>
    <row r="162" spans="1:14" x14ac:dyDescent="0.25">
      <c r="A162" s="178"/>
      <c r="E162" s="656">
        <v>4</v>
      </c>
      <c r="F162" s="628" t="s">
        <v>2154</v>
      </c>
      <c r="G162" s="226">
        <v>1.62</v>
      </c>
      <c r="H162" s="178">
        <v>4192</v>
      </c>
      <c r="I162" s="226">
        <v>3417</v>
      </c>
      <c r="J162" s="226">
        <f t="shared" si="27"/>
        <v>1.3205009541984734</v>
      </c>
      <c r="K162" s="820">
        <f t="shared" si="28"/>
        <v>2.9405009541984732</v>
      </c>
      <c r="L162" s="228">
        <v>1.4</v>
      </c>
      <c r="M162" s="226">
        <f t="shared" si="29"/>
        <v>4.1167013358778624</v>
      </c>
      <c r="N162" s="226">
        <v>5</v>
      </c>
    </row>
    <row r="163" spans="1:14" x14ac:dyDescent="0.25">
      <c r="A163" s="178"/>
      <c r="E163" s="656">
        <v>4</v>
      </c>
      <c r="F163" s="628" t="s">
        <v>2154</v>
      </c>
      <c r="G163" s="226">
        <v>1.62</v>
      </c>
      <c r="H163" s="178">
        <v>4192</v>
      </c>
      <c r="I163" s="226">
        <v>3417</v>
      </c>
      <c r="J163" s="226">
        <f t="shared" si="27"/>
        <v>1.3205009541984734</v>
      </c>
      <c r="K163" s="820">
        <f t="shared" si="28"/>
        <v>2.9405009541984732</v>
      </c>
      <c r="L163" s="228">
        <v>1.4</v>
      </c>
      <c r="M163" s="226">
        <f t="shared" si="29"/>
        <v>4.1167013358778624</v>
      </c>
      <c r="N163" s="226">
        <v>5</v>
      </c>
    </row>
    <row r="164" spans="1:14" x14ac:dyDescent="0.25">
      <c r="A164" s="178"/>
      <c r="E164" s="656">
        <v>4</v>
      </c>
      <c r="F164" s="628" t="s">
        <v>2154</v>
      </c>
      <c r="G164" s="226">
        <v>1.62</v>
      </c>
      <c r="H164" s="178">
        <v>4192</v>
      </c>
      <c r="I164" s="226">
        <v>3417</v>
      </c>
      <c r="J164" s="226">
        <f t="shared" si="27"/>
        <v>1.3205009541984734</v>
      </c>
      <c r="K164" s="820">
        <f t="shared" si="28"/>
        <v>2.9405009541984732</v>
      </c>
      <c r="L164" s="228">
        <v>1.4</v>
      </c>
      <c r="M164" s="226">
        <f t="shared" si="29"/>
        <v>4.1167013358778624</v>
      </c>
      <c r="N164" s="226">
        <v>5</v>
      </c>
    </row>
    <row r="165" spans="1:14" x14ac:dyDescent="0.25">
      <c r="A165" s="178"/>
      <c r="E165" s="656">
        <v>4</v>
      </c>
      <c r="F165" s="628" t="s">
        <v>2154</v>
      </c>
      <c r="G165" s="226">
        <v>1.62</v>
      </c>
      <c r="H165" s="178">
        <v>4192</v>
      </c>
      <c r="I165" s="226">
        <v>3417</v>
      </c>
      <c r="J165" s="226">
        <f t="shared" si="27"/>
        <v>1.3205009541984734</v>
      </c>
      <c r="K165" s="820">
        <f t="shared" si="28"/>
        <v>2.9405009541984732</v>
      </c>
      <c r="L165" s="228">
        <v>1.4</v>
      </c>
      <c r="M165" s="226">
        <f t="shared" si="29"/>
        <v>4.1167013358778624</v>
      </c>
      <c r="N165" s="226">
        <v>5</v>
      </c>
    </row>
    <row r="166" spans="1:14" x14ac:dyDescent="0.25">
      <c r="A166" s="178"/>
      <c r="E166" s="656">
        <v>4</v>
      </c>
      <c r="F166" s="628" t="s">
        <v>2154</v>
      </c>
      <c r="G166" s="226">
        <v>1.62</v>
      </c>
      <c r="H166" s="178">
        <v>4192</v>
      </c>
      <c r="I166" s="226">
        <v>3417</v>
      </c>
      <c r="J166" s="226">
        <f t="shared" si="27"/>
        <v>1.3205009541984734</v>
      </c>
      <c r="K166" s="820">
        <f t="shared" si="28"/>
        <v>2.9405009541984732</v>
      </c>
      <c r="L166" s="228">
        <v>1.4</v>
      </c>
      <c r="M166" s="226">
        <f t="shared" si="29"/>
        <v>4.1167013358778624</v>
      </c>
      <c r="N166" s="226">
        <v>5</v>
      </c>
    </row>
    <row r="167" spans="1:14" x14ac:dyDescent="0.25">
      <c r="A167" s="178"/>
      <c r="E167" s="656">
        <v>4</v>
      </c>
      <c r="F167" s="628" t="s">
        <v>2155</v>
      </c>
      <c r="G167" s="226">
        <v>1.62</v>
      </c>
      <c r="H167" s="178">
        <v>4192</v>
      </c>
      <c r="I167" s="226">
        <v>3417</v>
      </c>
      <c r="J167" s="226">
        <f t="shared" si="27"/>
        <v>1.3205009541984734</v>
      </c>
      <c r="K167" s="820">
        <f t="shared" si="28"/>
        <v>2.9405009541984732</v>
      </c>
      <c r="L167" s="228">
        <v>1.4</v>
      </c>
      <c r="M167" s="226">
        <f t="shared" si="29"/>
        <v>4.1167013358778624</v>
      </c>
      <c r="N167" s="226">
        <v>5</v>
      </c>
    </row>
    <row r="168" spans="1:14" x14ac:dyDescent="0.25">
      <c r="A168" s="178"/>
      <c r="E168" s="656">
        <v>4</v>
      </c>
      <c r="F168" s="628" t="s">
        <v>2155</v>
      </c>
      <c r="G168" s="226">
        <v>1.62</v>
      </c>
      <c r="H168" s="178">
        <v>4192</v>
      </c>
      <c r="I168" s="226">
        <v>3417</v>
      </c>
      <c r="J168" s="226">
        <f t="shared" si="27"/>
        <v>1.3205009541984734</v>
      </c>
      <c r="K168" s="820">
        <f t="shared" si="28"/>
        <v>2.9405009541984732</v>
      </c>
      <c r="L168" s="228">
        <v>1.4</v>
      </c>
      <c r="M168" s="226">
        <f t="shared" si="29"/>
        <v>4.1167013358778624</v>
      </c>
      <c r="N168" s="226">
        <v>5</v>
      </c>
    </row>
    <row r="169" spans="1:14" x14ac:dyDescent="0.25">
      <c r="A169" s="178"/>
      <c r="E169" s="656">
        <v>4</v>
      </c>
      <c r="F169" s="628" t="s">
        <v>2155</v>
      </c>
      <c r="G169" s="226">
        <v>1.62</v>
      </c>
      <c r="H169" s="178">
        <v>4192</v>
      </c>
      <c r="I169" s="226">
        <v>3417</v>
      </c>
      <c r="J169" s="226">
        <f t="shared" si="27"/>
        <v>1.3205009541984734</v>
      </c>
      <c r="K169" s="820">
        <f t="shared" si="28"/>
        <v>2.9405009541984732</v>
      </c>
      <c r="L169" s="228">
        <v>1.4</v>
      </c>
      <c r="M169" s="226">
        <f t="shared" si="29"/>
        <v>4.1167013358778624</v>
      </c>
      <c r="N169" s="226">
        <v>5</v>
      </c>
    </row>
    <row r="170" spans="1:14" x14ac:dyDescent="0.25">
      <c r="A170" s="178"/>
      <c r="E170" s="656">
        <v>4</v>
      </c>
      <c r="F170" s="628" t="s">
        <v>2155</v>
      </c>
      <c r="G170" s="226">
        <v>1.62</v>
      </c>
      <c r="H170" s="178">
        <v>4192</v>
      </c>
      <c r="I170" s="226">
        <v>3417</v>
      </c>
      <c r="J170" s="226">
        <f t="shared" si="27"/>
        <v>1.3205009541984734</v>
      </c>
      <c r="K170" s="820">
        <f t="shared" si="28"/>
        <v>2.9405009541984732</v>
      </c>
      <c r="L170" s="228">
        <v>1.4</v>
      </c>
      <c r="M170" s="226">
        <f t="shared" si="29"/>
        <v>4.1167013358778624</v>
      </c>
      <c r="N170" s="226">
        <v>5</v>
      </c>
    </row>
    <row r="171" spans="1:14" x14ac:dyDescent="0.25">
      <c r="A171" s="178"/>
      <c r="E171" s="656">
        <v>4</v>
      </c>
      <c r="F171" s="628" t="s">
        <v>2155</v>
      </c>
      <c r="G171" s="226">
        <v>1.62</v>
      </c>
      <c r="H171" s="178">
        <v>4192</v>
      </c>
      <c r="I171" s="226">
        <v>3417</v>
      </c>
      <c r="J171" s="226">
        <f t="shared" si="27"/>
        <v>1.3205009541984734</v>
      </c>
      <c r="K171" s="820">
        <f t="shared" si="28"/>
        <v>2.9405009541984732</v>
      </c>
      <c r="L171" s="228">
        <v>1.4</v>
      </c>
      <c r="M171" s="226">
        <f t="shared" si="29"/>
        <v>4.1167013358778624</v>
      </c>
      <c r="N171" s="226">
        <v>5</v>
      </c>
    </row>
    <row r="172" spans="1:14" x14ac:dyDescent="0.25">
      <c r="A172" s="178"/>
      <c r="E172" s="656">
        <v>4</v>
      </c>
      <c r="F172" s="628" t="s">
        <v>2155</v>
      </c>
      <c r="G172" s="226">
        <v>1.62</v>
      </c>
      <c r="H172" s="178">
        <v>4192</v>
      </c>
      <c r="I172" s="226">
        <v>3417</v>
      </c>
      <c r="J172" s="226">
        <f t="shared" si="27"/>
        <v>1.3205009541984734</v>
      </c>
      <c r="K172" s="820">
        <f t="shared" si="28"/>
        <v>2.9405009541984732</v>
      </c>
      <c r="L172" s="228">
        <v>1.4</v>
      </c>
      <c r="M172" s="226">
        <f t="shared" si="29"/>
        <v>4.1167013358778624</v>
      </c>
      <c r="N172" s="226">
        <v>5</v>
      </c>
    </row>
    <row r="173" spans="1:14" x14ac:dyDescent="0.25">
      <c r="A173" s="178"/>
      <c r="E173" s="656">
        <v>4</v>
      </c>
      <c r="F173" s="628" t="s">
        <v>2155</v>
      </c>
      <c r="G173" s="226">
        <v>1.62</v>
      </c>
      <c r="H173" s="178">
        <v>4192</v>
      </c>
      <c r="I173" s="226">
        <v>3417</v>
      </c>
      <c r="J173" s="226">
        <f t="shared" si="27"/>
        <v>1.3205009541984734</v>
      </c>
      <c r="K173" s="820">
        <f t="shared" si="28"/>
        <v>2.9405009541984732</v>
      </c>
      <c r="L173" s="228">
        <v>1.4</v>
      </c>
      <c r="M173" s="226">
        <f t="shared" si="29"/>
        <v>4.1167013358778624</v>
      </c>
      <c r="N173" s="226">
        <v>5</v>
      </c>
    </row>
    <row r="174" spans="1:14" x14ac:dyDescent="0.25">
      <c r="A174" s="178"/>
      <c r="E174" s="656">
        <v>4</v>
      </c>
      <c r="F174" s="628" t="s">
        <v>2155</v>
      </c>
      <c r="G174" s="226">
        <v>1.62</v>
      </c>
      <c r="H174" s="178">
        <v>4192</v>
      </c>
      <c r="I174" s="226">
        <v>3417</v>
      </c>
      <c r="J174" s="226">
        <f t="shared" si="27"/>
        <v>1.3205009541984734</v>
      </c>
      <c r="K174" s="820">
        <f t="shared" si="28"/>
        <v>2.9405009541984732</v>
      </c>
      <c r="L174" s="228">
        <v>1.4</v>
      </c>
      <c r="M174" s="226">
        <f t="shared" si="29"/>
        <v>4.1167013358778624</v>
      </c>
      <c r="N174" s="226">
        <v>5</v>
      </c>
    </row>
    <row r="175" spans="1:14" x14ac:dyDescent="0.25">
      <c r="A175" s="178"/>
      <c r="E175" s="656">
        <v>4</v>
      </c>
      <c r="F175" s="628" t="s">
        <v>2155</v>
      </c>
      <c r="G175" s="226">
        <v>1.62</v>
      </c>
      <c r="H175" s="178">
        <v>4192</v>
      </c>
      <c r="I175" s="226">
        <v>3417</v>
      </c>
      <c r="J175" s="226">
        <f t="shared" si="27"/>
        <v>1.3205009541984734</v>
      </c>
      <c r="K175" s="820">
        <f t="shared" si="28"/>
        <v>2.9405009541984732</v>
      </c>
      <c r="L175" s="228">
        <v>1.4</v>
      </c>
      <c r="M175" s="226">
        <f t="shared" si="29"/>
        <v>4.1167013358778624</v>
      </c>
      <c r="N175" s="226">
        <v>5</v>
      </c>
    </row>
    <row r="176" spans="1:14" x14ac:dyDescent="0.25">
      <c r="A176" s="178"/>
      <c r="E176" s="656">
        <v>4</v>
      </c>
      <c r="F176" s="628" t="s">
        <v>2155</v>
      </c>
      <c r="G176" s="226">
        <v>1.62</v>
      </c>
      <c r="H176" s="178">
        <v>4192</v>
      </c>
      <c r="I176" s="226">
        <v>3417</v>
      </c>
      <c r="J176" s="226">
        <f t="shared" si="27"/>
        <v>1.3205009541984734</v>
      </c>
      <c r="K176" s="820">
        <f t="shared" si="28"/>
        <v>2.9405009541984732</v>
      </c>
      <c r="L176" s="228">
        <v>1.4</v>
      </c>
      <c r="M176" s="226">
        <f t="shared" si="29"/>
        <v>4.1167013358778624</v>
      </c>
      <c r="N176" s="226">
        <v>5</v>
      </c>
    </row>
    <row r="177" spans="1:19" x14ac:dyDescent="0.25">
      <c r="A177" s="178"/>
      <c r="E177" s="656">
        <v>4</v>
      </c>
      <c r="F177" s="628" t="s">
        <v>2155</v>
      </c>
      <c r="G177" s="226">
        <v>1.62</v>
      </c>
      <c r="H177" s="178">
        <v>4192</v>
      </c>
      <c r="I177" s="226">
        <v>3417</v>
      </c>
      <c r="J177" s="226">
        <f t="shared" si="27"/>
        <v>1.3205009541984734</v>
      </c>
      <c r="K177" s="820">
        <f t="shared" si="28"/>
        <v>2.9405009541984732</v>
      </c>
      <c r="L177" s="228">
        <v>1.4</v>
      </c>
      <c r="M177" s="226">
        <f t="shared" si="29"/>
        <v>4.1167013358778624</v>
      </c>
      <c r="N177" s="226">
        <v>5</v>
      </c>
    </row>
    <row r="178" spans="1:19" x14ac:dyDescent="0.25">
      <c r="A178" s="178"/>
      <c r="E178" s="656">
        <v>4</v>
      </c>
      <c r="F178" s="628" t="s">
        <v>2155</v>
      </c>
      <c r="G178" s="226">
        <v>1.62</v>
      </c>
      <c r="H178" s="178">
        <v>4192</v>
      </c>
      <c r="I178" s="226">
        <v>3417</v>
      </c>
      <c r="J178" s="226">
        <f t="shared" si="27"/>
        <v>1.3205009541984734</v>
      </c>
      <c r="K178" s="820">
        <f t="shared" si="28"/>
        <v>2.9405009541984732</v>
      </c>
      <c r="L178" s="228">
        <v>1.4</v>
      </c>
      <c r="M178" s="226">
        <f t="shared" si="29"/>
        <v>4.1167013358778624</v>
      </c>
      <c r="N178" s="226">
        <v>5</v>
      </c>
    </row>
    <row r="179" spans="1:19" x14ac:dyDescent="0.25">
      <c r="A179" s="178"/>
      <c r="E179" s="656">
        <v>5</v>
      </c>
      <c r="F179" s="708" t="s">
        <v>2155</v>
      </c>
      <c r="G179" s="232">
        <v>1.62</v>
      </c>
      <c r="H179" s="213">
        <v>4192</v>
      </c>
      <c r="I179" s="232">
        <v>3417</v>
      </c>
      <c r="J179" s="232">
        <f t="shared" si="27"/>
        <v>1.3205009541984734</v>
      </c>
      <c r="K179" s="863">
        <f t="shared" si="28"/>
        <v>2.9405009541984732</v>
      </c>
      <c r="L179" s="864">
        <v>1.4</v>
      </c>
      <c r="M179" s="232">
        <f t="shared" si="29"/>
        <v>4.1167013358778624</v>
      </c>
      <c r="N179" s="232">
        <v>5</v>
      </c>
      <c r="Q179" s="178" t="s">
        <v>2223</v>
      </c>
      <c r="R179" s="229">
        <v>45377</v>
      </c>
      <c r="S179" s="178">
        <f>+N179*20000</f>
        <v>100000</v>
      </c>
    </row>
    <row r="180" spans="1:19" x14ac:dyDescent="0.25">
      <c r="A180" s="178"/>
      <c r="E180" s="656">
        <v>5</v>
      </c>
      <c r="F180" s="708" t="s">
        <v>2155</v>
      </c>
      <c r="G180" s="232">
        <v>1.62</v>
      </c>
      <c r="H180" s="213">
        <v>4192</v>
      </c>
      <c r="I180" s="232">
        <v>3417</v>
      </c>
      <c r="J180" s="232">
        <f t="shared" si="27"/>
        <v>1.3205009541984734</v>
      </c>
      <c r="K180" s="863">
        <f t="shared" si="28"/>
        <v>2.9405009541984732</v>
      </c>
      <c r="L180" s="864">
        <v>1.4</v>
      </c>
      <c r="M180" s="232">
        <f t="shared" si="29"/>
        <v>4.1167013358778624</v>
      </c>
      <c r="N180" s="232">
        <v>5</v>
      </c>
      <c r="Q180" s="178" t="s">
        <v>2223</v>
      </c>
      <c r="R180" s="229">
        <v>45377</v>
      </c>
      <c r="S180" s="178">
        <f t="shared" ref="S180:S182" si="30">+N180*20000</f>
        <v>100000</v>
      </c>
    </row>
    <row r="181" spans="1:19" x14ac:dyDescent="0.25">
      <c r="A181" s="178"/>
      <c r="E181" s="656">
        <v>5</v>
      </c>
      <c r="F181" s="708" t="s">
        <v>2155</v>
      </c>
      <c r="G181" s="232">
        <v>1.62</v>
      </c>
      <c r="H181" s="213">
        <v>4192</v>
      </c>
      <c r="I181" s="232">
        <v>3417</v>
      </c>
      <c r="J181" s="232">
        <f t="shared" si="27"/>
        <v>1.3205009541984734</v>
      </c>
      <c r="K181" s="863">
        <f t="shared" si="28"/>
        <v>2.9405009541984732</v>
      </c>
      <c r="L181" s="864">
        <v>1.4</v>
      </c>
      <c r="M181" s="232">
        <f t="shared" si="29"/>
        <v>4.1167013358778624</v>
      </c>
      <c r="N181" s="232">
        <v>5</v>
      </c>
      <c r="Q181" s="178" t="s">
        <v>2223</v>
      </c>
      <c r="R181" s="229">
        <v>45377</v>
      </c>
      <c r="S181" s="178">
        <f t="shared" si="30"/>
        <v>100000</v>
      </c>
    </row>
    <row r="182" spans="1:19" x14ac:dyDescent="0.25">
      <c r="A182" s="178"/>
      <c r="E182" s="656">
        <v>5</v>
      </c>
      <c r="F182" s="708" t="s">
        <v>2155</v>
      </c>
      <c r="G182" s="232">
        <v>1.62</v>
      </c>
      <c r="H182" s="213">
        <v>4192</v>
      </c>
      <c r="I182" s="232">
        <v>3417</v>
      </c>
      <c r="J182" s="232">
        <f t="shared" si="27"/>
        <v>1.3205009541984734</v>
      </c>
      <c r="K182" s="863">
        <f t="shared" si="28"/>
        <v>2.9405009541984732</v>
      </c>
      <c r="L182" s="864">
        <v>1.4</v>
      </c>
      <c r="M182" s="232">
        <f t="shared" si="29"/>
        <v>4.1167013358778624</v>
      </c>
      <c r="N182" s="232">
        <v>5</v>
      </c>
      <c r="Q182" s="178" t="s">
        <v>2223</v>
      </c>
      <c r="R182" s="229">
        <v>45377</v>
      </c>
      <c r="S182" s="178">
        <f t="shared" si="30"/>
        <v>100000</v>
      </c>
    </row>
    <row r="183" spans="1:19" x14ac:dyDescent="0.25">
      <c r="A183" s="178"/>
      <c r="E183" s="656">
        <v>5</v>
      </c>
      <c r="F183" s="628" t="s">
        <v>2155</v>
      </c>
      <c r="G183" s="226">
        <v>1.62</v>
      </c>
      <c r="H183" s="178">
        <v>4192</v>
      </c>
      <c r="I183" s="226">
        <v>3417</v>
      </c>
      <c r="J183" s="226">
        <f t="shared" si="27"/>
        <v>1.3205009541984734</v>
      </c>
      <c r="K183" s="820">
        <f t="shared" si="28"/>
        <v>2.9405009541984732</v>
      </c>
      <c r="L183" s="228">
        <v>1.4</v>
      </c>
      <c r="M183" s="226">
        <f t="shared" si="29"/>
        <v>4.1167013358778624</v>
      </c>
      <c r="N183" s="226">
        <v>5</v>
      </c>
    </row>
    <row r="184" spans="1:19" x14ac:dyDescent="0.25">
      <c r="A184" s="178"/>
      <c r="E184" s="656">
        <v>5</v>
      </c>
      <c r="F184" s="628" t="s">
        <v>2155</v>
      </c>
      <c r="G184" s="226">
        <v>1.62</v>
      </c>
      <c r="H184" s="178">
        <v>4192</v>
      </c>
      <c r="I184" s="226">
        <v>3417</v>
      </c>
      <c r="J184" s="226">
        <f t="shared" si="27"/>
        <v>1.3205009541984734</v>
      </c>
      <c r="K184" s="820">
        <f t="shared" si="28"/>
        <v>2.9405009541984732</v>
      </c>
      <c r="L184" s="228">
        <v>1.4</v>
      </c>
      <c r="M184" s="226">
        <f t="shared" si="29"/>
        <v>4.1167013358778624</v>
      </c>
      <c r="N184" s="226">
        <v>5</v>
      </c>
    </row>
    <row r="185" spans="1:19" x14ac:dyDescent="0.25">
      <c r="A185" s="178"/>
      <c r="E185" s="656">
        <v>5</v>
      </c>
      <c r="F185" s="628" t="s">
        <v>2155</v>
      </c>
      <c r="G185" s="226">
        <v>1.62</v>
      </c>
      <c r="H185" s="178">
        <v>4192</v>
      </c>
      <c r="I185" s="226">
        <v>3417</v>
      </c>
      <c r="J185" s="226">
        <f t="shared" si="27"/>
        <v>1.3205009541984734</v>
      </c>
      <c r="K185" s="820">
        <f t="shared" si="28"/>
        <v>2.9405009541984732</v>
      </c>
      <c r="L185" s="228">
        <v>1.4</v>
      </c>
      <c r="M185" s="226">
        <f t="shared" si="29"/>
        <v>4.1167013358778624</v>
      </c>
      <c r="N185" s="226">
        <v>5</v>
      </c>
    </row>
    <row r="186" spans="1:19" x14ac:dyDescent="0.25">
      <c r="A186" s="178"/>
      <c r="E186" s="656">
        <v>5</v>
      </c>
      <c r="F186" s="628" t="s">
        <v>2155</v>
      </c>
      <c r="G186" s="226">
        <v>1.62</v>
      </c>
      <c r="H186" s="178">
        <v>4192</v>
      </c>
      <c r="I186" s="226">
        <v>3417</v>
      </c>
      <c r="J186" s="226">
        <f t="shared" si="27"/>
        <v>1.3205009541984734</v>
      </c>
      <c r="K186" s="820">
        <f t="shared" si="28"/>
        <v>2.9405009541984732</v>
      </c>
      <c r="L186" s="228">
        <v>1.4</v>
      </c>
      <c r="M186" s="226">
        <f t="shared" si="29"/>
        <v>4.1167013358778624</v>
      </c>
      <c r="N186" s="226">
        <v>5</v>
      </c>
    </row>
    <row r="187" spans="1:19" x14ac:dyDescent="0.25">
      <c r="A187" s="178"/>
      <c r="E187" s="656">
        <v>5</v>
      </c>
      <c r="F187" s="628" t="s">
        <v>2155</v>
      </c>
      <c r="G187" s="226">
        <v>1.62</v>
      </c>
      <c r="H187" s="178">
        <v>4192</v>
      </c>
      <c r="I187" s="226">
        <v>3417</v>
      </c>
      <c r="J187" s="226">
        <f t="shared" si="27"/>
        <v>1.3205009541984734</v>
      </c>
      <c r="K187" s="820">
        <f t="shared" si="28"/>
        <v>2.9405009541984732</v>
      </c>
      <c r="L187" s="228">
        <v>1.4</v>
      </c>
      <c r="M187" s="226">
        <f t="shared" si="29"/>
        <v>4.1167013358778624</v>
      </c>
      <c r="N187" s="226">
        <v>5</v>
      </c>
    </row>
    <row r="188" spans="1:19" x14ac:dyDescent="0.25">
      <c r="A188" s="178"/>
      <c r="E188" s="656">
        <v>5</v>
      </c>
      <c r="F188" s="628" t="s">
        <v>2155</v>
      </c>
      <c r="G188" s="226">
        <v>1.62</v>
      </c>
      <c r="H188" s="178">
        <v>4192</v>
      </c>
      <c r="I188" s="226">
        <v>3417</v>
      </c>
      <c r="J188" s="226">
        <f t="shared" si="27"/>
        <v>1.3205009541984734</v>
      </c>
      <c r="K188" s="820">
        <f t="shared" si="28"/>
        <v>2.9405009541984732</v>
      </c>
      <c r="L188" s="228">
        <v>1.4</v>
      </c>
      <c r="M188" s="226">
        <f t="shared" si="29"/>
        <v>4.1167013358778624</v>
      </c>
      <c r="N188" s="226">
        <v>5</v>
      </c>
    </row>
    <row r="189" spans="1:19" x14ac:dyDescent="0.25">
      <c r="A189" s="178"/>
      <c r="E189" s="656">
        <v>5</v>
      </c>
      <c r="F189" s="628" t="s">
        <v>2155</v>
      </c>
      <c r="G189" s="226">
        <v>1.62</v>
      </c>
      <c r="H189" s="178">
        <v>4192</v>
      </c>
      <c r="I189" s="226">
        <v>3417</v>
      </c>
      <c r="J189" s="226">
        <f t="shared" si="27"/>
        <v>1.3205009541984734</v>
      </c>
      <c r="K189" s="820">
        <f t="shared" si="28"/>
        <v>2.9405009541984732</v>
      </c>
      <c r="L189" s="228">
        <v>1.4</v>
      </c>
      <c r="M189" s="226">
        <f t="shared" si="29"/>
        <v>4.1167013358778624</v>
      </c>
      <c r="N189" s="226">
        <v>5</v>
      </c>
    </row>
    <row r="190" spans="1:19" x14ac:dyDescent="0.25">
      <c r="A190" s="178"/>
      <c r="E190" s="656">
        <v>5</v>
      </c>
      <c r="F190" s="628" t="s">
        <v>2155</v>
      </c>
      <c r="G190" s="226">
        <v>1.62</v>
      </c>
      <c r="H190" s="178">
        <v>4192</v>
      </c>
      <c r="I190" s="226">
        <v>3417</v>
      </c>
      <c r="J190" s="226">
        <f t="shared" si="27"/>
        <v>1.3205009541984734</v>
      </c>
      <c r="K190" s="820">
        <f t="shared" si="28"/>
        <v>2.9405009541984732</v>
      </c>
      <c r="L190" s="228">
        <v>1.4</v>
      </c>
      <c r="M190" s="226">
        <f t="shared" si="29"/>
        <v>4.1167013358778624</v>
      </c>
      <c r="N190" s="226">
        <v>5</v>
      </c>
    </row>
    <row r="191" spans="1:19" x14ac:dyDescent="0.25">
      <c r="A191" s="178"/>
      <c r="E191" s="656">
        <v>6</v>
      </c>
      <c r="F191" s="628" t="s">
        <v>2154</v>
      </c>
      <c r="G191" s="226">
        <v>1.62</v>
      </c>
      <c r="H191" s="178">
        <v>4192</v>
      </c>
      <c r="I191" s="226">
        <v>3417</v>
      </c>
      <c r="J191" s="226">
        <f t="shared" si="27"/>
        <v>1.3205009541984734</v>
      </c>
      <c r="K191" s="820">
        <f t="shared" si="28"/>
        <v>2.9405009541984732</v>
      </c>
      <c r="L191" s="228">
        <v>1.4</v>
      </c>
      <c r="M191" s="226">
        <f t="shared" si="29"/>
        <v>4.1167013358778624</v>
      </c>
      <c r="N191" s="226">
        <v>5</v>
      </c>
    </row>
    <row r="192" spans="1:19" x14ac:dyDescent="0.25">
      <c r="A192" s="178"/>
      <c r="E192" s="656">
        <v>6</v>
      </c>
      <c r="F192" s="628" t="s">
        <v>2154</v>
      </c>
      <c r="G192" s="226">
        <v>1.62</v>
      </c>
      <c r="H192" s="178">
        <v>4192</v>
      </c>
      <c r="I192" s="226">
        <v>3417</v>
      </c>
      <c r="J192" s="226">
        <f t="shared" si="27"/>
        <v>1.3205009541984734</v>
      </c>
      <c r="K192" s="820">
        <f t="shared" si="28"/>
        <v>2.9405009541984732</v>
      </c>
      <c r="L192" s="228">
        <v>1.4</v>
      </c>
      <c r="M192" s="226">
        <f t="shared" si="29"/>
        <v>4.1167013358778624</v>
      </c>
      <c r="N192" s="226">
        <v>5</v>
      </c>
    </row>
    <row r="193" spans="1:19" x14ac:dyDescent="0.25">
      <c r="A193" s="178"/>
      <c r="E193" s="656">
        <v>6</v>
      </c>
      <c r="F193" s="628" t="s">
        <v>2154</v>
      </c>
      <c r="G193" s="226">
        <v>1.62</v>
      </c>
      <c r="H193" s="178">
        <v>4192</v>
      </c>
      <c r="I193" s="226">
        <v>3417</v>
      </c>
      <c r="J193" s="226">
        <f t="shared" si="27"/>
        <v>1.3205009541984734</v>
      </c>
      <c r="K193" s="820">
        <f t="shared" si="28"/>
        <v>2.9405009541984732</v>
      </c>
      <c r="L193" s="228">
        <v>1.4</v>
      </c>
      <c r="M193" s="226">
        <f t="shared" si="29"/>
        <v>4.1167013358778624</v>
      </c>
      <c r="N193" s="226">
        <v>5</v>
      </c>
    </row>
    <row r="194" spans="1:19" x14ac:dyDescent="0.25">
      <c r="A194" s="178"/>
      <c r="E194" s="656">
        <v>6</v>
      </c>
      <c r="F194" s="628" t="s">
        <v>2154</v>
      </c>
      <c r="G194" s="226">
        <v>1.62</v>
      </c>
      <c r="H194" s="178">
        <v>4192</v>
      </c>
      <c r="I194" s="226">
        <v>3417</v>
      </c>
      <c r="J194" s="226">
        <f t="shared" si="27"/>
        <v>1.3205009541984734</v>
      </c>
      <c r="K194" s="820">
        <f t="shared" si="28"/>
        <v>2.9405009541984732</v>
      </c>
      <c r="L194" s="228">
        <v>1.4</v>
      </c>
      <c r="M194" s="226">
        <f t="shared" si="29"/>
        <v>4.1167013358778624</v>
      </c>
      <c r="N194" s="226">
        <v>5</v>
      </c>
    </row>
    <row r="195" spans="1:19" x14ac:dyDescent="0.25">
      <c r="A195" s="178"/>
      <c r="E195" s="656">
        <v>6</v>
      </c>
      <c r="F195" s="628" t="s">
        <v>2154</v>
      </c>
      <c r="G195" s="226">
        <v>1.62</v>
      </c>
      <c r="H195" s="178">
        <v>4192</v>
      </c>
      <c r="I195" s="226">
        <v>3417</v>
      </c>
      <c r="J195" s="226">
        <f t="shared" si="27"/>
        <v>1.3205009541984734</v>
      </c>
      <c r="K195" s="820">
        <f t="shared" si="28"/>
        <v>2.9405009541984732</v>
      </c>
      <c r="L195" s="228">
        <v>1.4</v>
      </c>
      <c r="M195" s="226">
        <f t="shared" si="29"/>
        <v>4.1167013358778624</v>
      </c>
      <c r="N195" s="226">
        <v>5</v>
      </c>
    </row>
    <row r="196" spans="1:19" x14ac:dyDescent="0.25">
      <c r="A196" s="178"/>
      <c r="E196" s="656">
        <v>6</v>
      </c>
      <c r="F196" s="628" t="s">
        <v>2154</v>
      </c>
      <c r="G196" s="226">
        <v>1.62</v>
      </c>
      <c r="H196" s="178">
        <v>4192</v>
      </c>
      <c r="I196" s="226">
        <v>3417</v>
      </c>
      <c r="J196" s="226">
        <f t="shared" si="27"/>
        <v>1.3205009541984734</v>
      </c>
      <c r="K196" s="820">
        <f t="shared" si="28"/>
        <v>2.9405009541984732</v>
      </c>
      <c r="L196" s="228">
        <v>1.4</v>
      </c>
      <c r="M196" s="226">
        <f t="shared" si="29"/>
        <v>4.1167013358778624</v>
      </c>
      <c r="N196" s="226">
        <v>5</v>
      </c>
    </row>
    <row r="197" spans="1:19" x14ac:dyDescent="0.25">
      <c r="A197" s="178"/>
      <c r="E197" s="656">
        <v>6</v>
      </c>
      <c r="F197" s="628" t="s">
        <v>2154</v>
      </c>
      <c r="G197" s="226">
        <v>1.62</v>
      </c>
      <c r="H197" s="178">
        <v>4192</v>
      </c>
      <c r="I197" s="226">
        <v>3417</v>
      </c>
      <c r="J197" s="226">
        <f t="shared" si="27"/>
        <v>1.3205009541984734</v>
      </c>
      <c r="K197" s="820">
        <f t="shared" si="28"/>
        <v>2.9405009541984732</v>
      </c>
      <c r="L197" s="228">
        <v>1.4</v>
      </c>
      <c r="M197" s="226">
        <f t="shared" si="29"/>
        <v>4.1167013358778624</v>
      </c>
      <c r="N197" s="226">
        <v>5</v>
      </c>
    </row>
    <row r="198" spans="1:19" x14ac:dyDescent="0.25">
      <c r="A198" s="178"/>
      <c r="E198" s="656">
        <v>6</v>
      </c>
      <c r="F198" s="628" t="s">
        <v>2154</v>
      </c>
      <c r="G198" s="226">
        <v>1.62</v>
      </c>
      <c r="H198" s="178">
        <v>4192</v>
      </c>
      <c r="I198" s="226">
        <v>3417</v>
      </c>
      <c r="J198" s="226">
        <f t="shared" si="27"/>
        <v>1.3205009541984734</v>
      </c>
      <c r="K198" s="820">
        <f t="shared" si="28"/>
        <v>2.9405009541984732</v>
      </c>
      <c r="L198" s="228">
        <v>1.4</v>
      </c>
      <c r="M198" s="226">
        <f t="shared" si="29"/>
        <v>4.1167013358778624</v>
      </c>
      <c r="N198" s="226">
        <v>5</v>
      </c>
    </row>
    <row r="199" spans="1:19" x14ac:dyDescent="0.25">
      <c r="A199" s="178"/>
      <c r="E199" s="656">
        <v>6</v>
      </c>
      <c r="F199" s="628" t="s">
        <v>2154</v>
      </c>
      <c r="G199" s="226">
        <v>1.62</v>
      </c>
      <c r="H199" s="178">
        <v>4192</v>
      </c>
      <c r="I199" s="226">
        <v>3417</v>
      </c>
      <c r="J199" s="226">
        <f t="shared" si="27"/>
        <v>1.3205009541984734</v>
      </c>
      <c r="K199" s="820">
        <f t="shared" si="28"/>
        <v>2.9405009541984732</v>
      </c>
      <c r="L199" s="228">
        <v>1.4</v>
      </c>
      <c r="M199" s="226">
        <f t="shared" si="29"/>
        <v>4.1167013358778624</v>
      </c>
      <c r="N199" s="226">
        <v>5</v>
      </c>
    </row>
    <row r="200" spans="1:19" x14ac:dyDescent="0.25">
      <c r="A200" s="178"/>
      <c r="E200" s="656">
        <v>6</v>
      </c>
      <c r="F200" s="628" t="s">
        <v>2154</v>
      </c>
      <c r="G200" s="226">
        <v>1.62</v>
      </c>
      <c r="H200" s="178">
        <v>4192</v>
      </c>
      <c r="I200" s="226">
        <v>3417</v>
      </c>
      <c r="J200" s="226">
        <f t="shared" si="27"/>
        <v>1.3205009541984734</v>
      </c>
      <c r="K200" s="820">
        <f t="shared" si="28"/>
        <v>2.9405009541984732</v>
      </c>
      <c r="L200" s="228">
        <v>1.4</v>
      </c>
      <c r="M200" s="226">
        <f t="shared" si="29"/>
        <v>4.1167013358778624</v>
      </c>
      <c r="N200" s="226">
        <v>5</v>
      </c>
    </row>
    <row r="201" spans="1:19" x14ac:dyDescent="0.25">
      <c r="A201" s="178"/>
      <c r="E201" s="656">
        <v>6</v>
      </c>
      <c r="F201" s="628" t="s">
        <v>2154</v>
      </c>
      <c r="G201" s="226">
        <v>1.62</v>
      </c>
      <c r="H201" s="178">
        <v>4192</v>
      </c>
      <c r="I201" s="226">
        <v>3417</v>
      </c>
      <c r="J201" s="226">
        <f t="shared" si="27"/>
        <v>1.3205009541984734</v>
      </c>
      <c r="K201" s="820">
        <f t="shared" si="28"/>
        <v>2.9405009541984732</v>
      </c>
      <c r="L201" s="228">
        <v>1.4</v>
      </c>
      <c r="M201" s="226">
        <f t="shared" si="29"/>
        <v>4.1167013358778624</v>
      </c>
      <c r="N201" s="226">
        <v>5</v>
      </c>
    </row>
    <row r="202" spans="1:19" x14ac:dyDescent="0.25">
      <c r="A202" s="178"/>
      <c r="E202" s="656">
        <v>6</v>
      </c>
      <c r="F202" s="628" t="s">
        <v>2154</v>
      </c>
      <c r="G202" s="226">
        <v>1.62</v>
      </c>
      <c r="H202" s="178">
        <v>4192</v>
      </c>
      <c r="I202" s="226">
        <v>3417</v>
      </c>
      <c r="J202" s="226">
        <f t="shared" si="27"/>
        <v>1.3205009541984734</v>
      </c>
      <c r="K202" s="820">
        <f t="shared" si="28"/>
        <v>2.9405009541984732</v>
      </c>
      <c r="L202" s="228">
        <v>1.4</v>
      </c>
      <c r="M202" s="226">
        <f t="shared" si="29"/>
        <v>4.1167013358778624</v>
      </c>
      <c r="N202" s="226">
        <v>5</v>
      </c>
    </row>
    <row r="203" spans="1:19" x14ac:dyDescent="0.25">
      <c r="A203" s="178"/>
      <c r="E203" s="656">
        <v>6</v>
      </c>
      <c r="F203" s="708" t="s">
        <v>2155</v>
      </c>
      <c r="G203" s="232">
        <v>1.62</v>
      </c>
      <c r="H203" s="213">
        <v>4192</v>
      </c>
      <c r="I203" s="232">
        <v>3417</v>
      </c>
      <c r="J203" s="232">
        <f t="shared" si="27"/>
        <v>1.3205009541984734</v>
      </c>
      <c r="K203" s="863">
        <f t="shared" si="28"/>
        <v>2.9405009541984732</v>
      </c>
      <c r="L203" s="864">
        <v>1.4</v>
      </c>
      <c r="M203" s="232">
        <f t="shared" si="29"/>
        <v>4.1167013358778624</v>
      </c>
      <c r="N203" s="232">
        <v>5</v>
      </c>
      <c r="Q203" s="178" t="s">
        <v>12</v>
      </c>
      <c r="R203" s="229">
        <v>45437</v>
      </c>
      <c r="S203" s="178">
        <f>+N203*20000</f>
        <v>100000</v>
      </c>
    </row>
    <row r="204" spans="1:19" x14ac:dyDescent="0.25">
      <c r="A204" s="178"/>
      <c r="E204" s="656">
        <v>6</v>
      </c>
      <c r="F204" s="708" t="s">
        <v>2155</v>
      </c>
      <c r="G204" s="232">
        <v>1.62</v>
      </c>
      <c r="H204" s="213">
        <v>4192</v>
      </c>
      <c r="I204" s="232">
        <v>3417</v>
      </c>
      <c r="J204" s="232">
        <f t="shared" si="27"/>
        <v>1.3205009541984734</v>
      </c>
      <c r="K204" s="863">
        <f t="shared" si="28"/>
        <v>2.9405009541984732</v>
      </c>
      <c r="L204" s="864">
        <v>1.4</v>
      </c>
      <c r="M204" s="232">
        <f t="shared" si="29"/>
        <v>4.1167013358778624</v>
      </c>
      <c r="N204" s="232">
        <v>5</v>
      </c>
      <c r="Q204" s="178" t="s">
        <v>12</v>
      </c>
      <c r="R204" s="229">
        <v>45437</v>
      </c>
      <c r="S204" s="178">
        <f>+N204*20000</f>
        <v>100000</v>
      </c>
    </row>
    <row r="205" spans="1:19" x14ac:dyDescent="0.25">
      <c r="A205" s="178"/>
      <c r="E205" s="656">
        <v>6</v>
      </c>
      <c r="F205" s="628" t="s">
        <v>2155</v>
      </c>
      <c r="G205" s="226">
        <v>1.62</v>
      </c>
      <c r="H205" s="178">
        <v>4192</v>
      </c>
      <c r="I205" s="226">
        <v>3417</v>
      </c>
      <c r="J205" s="226">
        <f t="shared" si="27"/>
        <v>1.3205009541984734</v>
      </c>
      <c r="K205" s="820">
        <f t="shared" si="28"/>
        <v>2.9405009541984732</v>
      </c>
      <c r="L205" s="228">
        <v>1.4</v>
      </c>
      <c r="M205" s="226">
        <f t="shared" si="29"/>
        <v>4.1167013358778624</v>
      </c>
      <c r="N205" s="226">
        <v>5</v>
      </c>
    </row>
    <row r="206" spans="1:19" x14ac:dyDescent="0.25">
      <c r="A206" s="178"/>
      <c r="E206" s="656">
        <v>6</v>
      </c>
      <c r="F206" s="628" t="s">
        <v>2155</v>
      </c>
      <c r="G206" s="226">
        <v>1.62</v>
      </c>
      <c r="H206" s="178">
        <v>4192</v>
      </c>
      <c r="I206" s="226">
        <v>3417</v>
      </c>
      <c r="J206" s="226">
        <f t="shared" si="27"/>
        <v>1.3205009541984734</v>
      </c>
      <c r="K206" s="820">
        <f t="shared" si="28"/>
        <v>2.9405009541984732</v>
      </c>
      <c r="L206" s="228">
        <v>1.4</v>
      </c>
      <c r="M206" s="226">
        <f t="shared" si="29"/>
        <v>4.1167013358778624</v>
      </c>
      <c r="N206" s="226">
        <v>5</v>
      </c>
    </row>
    <row r="207" spans="1:19" x14ac:dyDescent="0.25">
      <c r="A207" s="178"/>
      <c r="E207" s="656">
        <v>6</v>
      </c>
      <c r="F207" s="628" t="s">
        <v>2155</v>
      </c>
      <c r="G207" s="226">
        <v>1.62</v>
      </c>
      <c r="H207" s="178">
        <v>4192</v>
      </c>
      <c r="I207" s="226">
        <v>3417</v>
      </c>
      <c r="J207" s="226">
        <f t="shared" si="27"/>
        <v>1.3205009541984734</v>
      </c>
      <c r="K207" s="820">
        <f t="shared" si="28"/>
        <v>2.9405009541984732</v>
      </c>
      <c r="L207" s="228">
        <v>1.4</v>
      </c>
      <c r="M207" s="226">
        <f t="shared" si="29"/>
        <v>4.1167013358778624</v>
      </c>
      <c r="N207" s="226">
        <v>5</v>
      </c>
    </row>
    <row r="208" spans="1:19" x14ac:dyDescent="0.25">
      <c r="A208" s="178"/>
      <c r="E208" s="656">
        <v>6</v>
      </c>
      <c r="F208" s="628" t="s">
        <v>2155</v>
      </c>
      <c r="G208" s="226">
        <v>1.62</v>
      </c>
      <c r="H208" s="178">
        <v>4192</v>
      </c>
      <c r="I208" s="226">
        <v>3417</v>
      </c>
      <c r="J208" s="226">
        <f t="shared" si="27"/>
        <v>1.3205009541984734</v>
      </c>
      <c r="K208" s="820">
        <f t="shared" si="28"/>
        <v>2.9405009541984732</v>
      </c>
      <c r="L208" s="228">
        <v>1.4</v>
      </c>
      <c r="M208" s="226">
        <f t="shared" si="29"/>
        <v>4.1167013358778624</v>
      </c>
      <c r="N208" s="226">
        <v>5</v>
      </c>
    </row>
    <row r="209" spans="1:19" x14ac:dyDescent="0.25">
      <c r="A209" s="178"/>
      <c r="E209" s="656">
        <v>6</v>
      </c>
      <c r="F209" s="628" t="s">
        <v>2155</v>
      </c>
      <c r="G209" s="226">
        <v>1.62</v>
      </c>
      <c r="H209" s="178">
        <v>4192</v>
      </c>
      <c r="I209" s="226">
        <v>3417</v>
      </c>
      <c r="J209" s="226">
        <f t="shared" si="27"/>
        <v>1.3205009541984734</v>
      </c>
      <c r="K209" s="820">
        <f t="shared" si="28"/>
        <v>2.9405009541984732</v>
      </c>
      <c r="L209" s="228">
        <v>1.4</v>
      </c>
      <c r="M209" s="226">
        <f t="shared" si="29"/>
        <v>4.1167013358778624</v>
      </c>
      <c r="N209" s="226">
        <v>5</v>
      </c>
    </row>
    <row r="210" spans="1:19" x14ac:dyDescent="0.25">
      <c r="A210" s="178"/>
      <c r="E210" s="656">
        <v>6</v>
      </c>
      <c r="F210" s="628" t="s">
        <v>2155</v>
      </c>
      <c r="G210" s="226">
        <v>1.62</v>
      </c>
      <c r="H210" s="178">
        <v>4192</v>
      </c>
      <c r="I210" s="226">
        <v>3417</v>
      </c>
      <c r="J210" s="226">
        <f t="shared" si="27"/>
        <v>1.3205009541984734</v>
      </c>
      <c r="K210" s="820">
        <f t="shared" si="28"/>
        <v>2.9405009541984732</v>
      </c>
      <c r="L210" s="228">
        <v>1.4</v>
      </c>
      <c r="M210" s="226">
        <f t="shared" si="29"/>
        <v>4.1167013358778624</v>
      </c>
      <c r="N210" s="226">
        <v>5</v>
      </c>
    </row>
    <row r="211" spans="1:19" x14ac:dyDescent="0.25">
      <c r="A211" s="178"/>
      <c r="E211" s="656">
        <v>6</v>
      </c>
      <c r="F211" s="628" t="s">
        <v>2155</v>
      </c>
      <c r="G211" s="226">
        <v>1.62</v>
      </c>
      <c r="H211" s="178">
        <v>4192</v>
      </c>
      <c r="I211" s="226">
        <v>3417</v>
      </c>
      <c r="J211" s="226">
        <f t="shared" si="27"/>
        <v>1.3205009541984734</v>
      </c>
      <c r="K211" s="820">
        <f t="shared" si="28"/>
        <v>2.9405009541984732</v>
      </c>
      <c r="L211" s="228">
        <v>1.4</v>
      </c>
      <c r="M211" s="226">
        <f t="shared" si="29"/>
        <v>4.1167013358778624</v>
      </c>
      <c r="N211" s="226">
        <v>5</v>
      </c>
    </row>
    <row r="212" spans="1:19" x14ac:dyDescent="0.25">
      <c r="A212" s="178"/>
      <c r="E212" s="656">
        <v>6</v>
      </c>
      <c r="F212" s="628" t="s">
        <v>2155</v>
      </c>
      <c r="G212" s="226">
        <v>1.62</v>
      </c>
      <c r="H212" s="178">
        <v>4192</v>
      </c>
      <c r="I212" s="226">
        <v>3417</v>
      </c>
      <c r="J212" s="226">
        <f t="shared" si="27"/>
        <v>1.3205009541984734</v>
      </c>
      <c r="K212" s="820">
        <f t="shared" si="28"/>
        <v>2.9405009541984732</v>
      </c>
      <c r="L212" s="228">
        <v>1.4</v>
      </c>
      <c r="M212" s="226">
        <f t="shared" si="29"/>
        <v>4.1167013358778624</v>
      </c>
      <c r="N212" s="226">
        <v>5</v>
      </c>
    </row>
    <row r="213" spans="1:19" x14ac:dyDescent="0.25">
      <c r="A213" s="178"/>
      <c r="E213" s="656">
        <v>6</v>
      </c>
      <c r="F213" s="628" t="s">
        <v>2155</v>
      </c>
      <c r="G213" s="226">
        <v>1.62</v>
      </c>
      <c r="H213" s="178">
        <v>4192</v>
      </c>
      <c r="I213" s="226">
        <v>3417</v>
      </c>
      <c r="J213" s="226">
        <f t="shared" si="27"/>
        <v>1.3205009541984734</v>
      </c>
      <c r="K213" s="820">
        <f t="shared" si="28"/>
        <v>2.9405009541984732</v>
      </c>
      <c r="L213" s="228">
        <v>1.4</v>
      </c>
      <c r="M213" s="226">
        <f t="shared" si="29"/>
        <v>4.1167013358778624</v>
      </c>
      <c r="N213" s="226">
        <v>5</v>
      </c>
    </row>
    <row r="214" spans="1:19" x14ac:dyDescent="0.25">
      <c r="A214" s="178"/>
      <c r="E214" s="656">
        <v>6</v>
      </c>
      <c r="F214" s="628" t="s">
        <v>2155</v>
      </c>
      <c r="G214" s="226">
        <v>1.62</v>
      </c>
      <c r="H214" s="178">
        <v>4192</v>
      </c>
      <c r="I214" s="226">
        <v>3417</v>
      </c>
      <c r="J214" s="226">
        <f t="shared" si="27"/>
        <v>1.3205009541984734</v>
      </c>
      <c r="K214" s="820">
        <f t="shared" si="28"/>
        <v>2.9405009541984732</v>
      </c>
      <c r="L214" s="228">
        <v>1.4</v>
      </c>
      <c r="M214" s="226">
        <f t="shared" si="29"/>
        <v>4.1167013358778624</v>
      </c>
      <c r="N214" s="226">
        <v>5</v>
      </c>
    </row>
    <row r="215" spans="1:19" x14ac:dyDescent="0.25">
      <c r="A215" s="178"/>
      <c r="E215" s="656">
        <v>8</v>
      </c>
      <c r="F215" s="708" t="s">
        <v>2154</v>
      </c>
      <c r="G215" s="232">
        <v>2.16</v>
      </c>
      <c r="H215" s="213">
        <v>4192</v>
      </c>
      <c r="I215" s="232">
        <v>3417</v>
      </c>
      <c r="J215" s="232">
        <f t="shared" si="27"/>
        <v>1.7606679389312978</v>
      </c>
      <c r="K215" s="863">
        <f t="shared" si="28"/>
        <v>3.9206679389312979</v>
      </c>
      <c r="L215" s="864">
        <v>1.4</v>
      </c>
      <c r="M215" s="232">
        <f t="shared" si="29"/>
        <v>5.4889351145038168</v>
      </c>
      <c r="N215" s="232">
        <v>6</v>
      </c>
      <c r="Q215" s="178" t="s">
        <v>12</v>
      </c>
      <c r="R215" s="229">
        <v>45410</v>
      </c>
      <c r="S215" s="178">
        <f>+N215*30000</f>
        <v>180000</v>
      </c>
    </row>
    <row r="216" spans="1:19" x14ac:dyDescent="0.25">
      <c r="A216" s="178"/>
      <c r="E216" s="656">
        <v>8</v>
      </c>
      <c r="F216" s="708" t="s">
        <v>2154</v>
      </c>
      <c r="G216" s="232">
        <v>2.16</v>
      </c>
      <c r="H216" s="213">
        <v>4192</v>
      </c>
      <c r="I216" s="232">
        <v>3417</v>
      </c>
      <c r="J216" s="232">
        <f t="shared" si="27"/>
        <v>1.7606679389312978</v>
      </c>
      <c r="K216" s="863">
        <f t="shared" si="28"/>
        <v>3.9206679389312979</v>
      </c>
      <c r="L216" s="864">
        <v>1.4</v>
      </c>
      <c r="M216" s="232">
        <f t="shared" si="29"/>
        <v>5.4889351145038168</v>
      </c>
      <c r="N216" s="232">
        <v>6</v>
      </c>
      <c r="R216" s="229">
        <v>45410</v>
      </c>
      <c r="S216" s="178">
        <f t="shared" ref="S216:S217" si="31">+N216*30000</f>
        <v>180000</v>
      </c>
    </row>
    <row r="217" spans="1:19" x14ac:dyDescent="0.25">
      <c r="A217" s="178"/>
      <c r="E217" s="656">
        <v>8</v>
      </c>
      <c r="F217" s="708" t="s">
        <v>2154</v>
      </c>
      <c r="G217" s="232">
        <v>2.16</v>
      </c>
      <c r="H217" s="213">
        <v>4192</v>
      </c>
      <c r="I217" s="232">
        <v>3417</v>
      </c>
      <c r="J217" s="232">
        <f t="shared" si="27"/>
        <v>1.7606679389312978</v>
      </c>
      <c r="K217" s="863">
        <f t="shared" si="28"/>
        <v>3.9206679389312979</v>
      </c>
      <c r="L217" s="864">
        <v>1.4</v>
      </c>
      <c r="M217" s="232">
        <f t="shared" si="29"/>
        <v>5.4889351145038168</v>
      </c>
      <c r="N217" s="232">
        <v>6</v>
      </c>
      <c r="R217" s="229">
        <v>45410</v>
      </c>
      <c r="S217" s="178">
        <f t="shared" si="31"/>
        <v>180000</v>
      </c>
    </row>
    <row r="218" spans="1:19" x14ac:dyDescent="0.25">
      <c r="A218" s="178"/>
      <c r="E218" s="656">
        <v>8</v>
      </c>
      <c r="F218" s="628" t="s">
        <v>2154</v>
      </c>
      <c r="G218" s="226">
        <v>2.16</v>
      </c>
      <c r="H218" s="178">
        <v>4192</v>
      </c>
      <c r="I218" s="226">
        <v>3417</v>
      </c>
      <c r="J218" s="226">
        <f t="shared" si="27"/>
        <v>1.7606679389312978</v>
      </c>
      <c r="K218" s="820">
        <f t="shared" si="28"/>
        <v>3.9206679389312979</v>
      </c>
      <c r="L218" s="228">
        <v>1.4</v>
      </c>
      <c r="M218" s="226">
        <f t="shared" si="29"/>
        <v>5.4889351145038168</v>
      </c>
      <c r="N218" s="226">
        <v>6</v>
      </c>
    </row>
    <row r="219" spans="1:19" x14ac:dyDescent="0.25">
      <c r="A219" s="178"/>
      <c r="E219" s="656">
        <v>8</v>
      </c>
      <c r="F219" s="628" t="s">
        <v>2154</v>
      </c>
      <c r="G219" s="226">
        <v>2.16</v>
      </c>
      <c r="H219" s="178">
        <v>4192</v>
      </c>
      <c r="I219" s="226">
        <v>3417</v>
      </c>
      <c r="J219" s="226">
        <f t="shared" ref="J219:J262" si="32">+I219/H219*G219</f>
        <v>1.7606679389312978</v>
      </c>
      <c r="K219" s="820">
        <f t="shared" ref="K219:K262" si="33">+G219+J219</f>
        <v>3.9206679389312979</v>
      </c>
      <c r="L219" s="228">
        <v>1.4</v>
      </c>
      <c r="M219" s="226">
        <f t="shared" ref="M219:M262" si="34">+K219*L219</f>
        <v>5.4889351145038168</v>
      </c>
      <c r="N219" s="226">
        <v>6</v>
      </c>
    </row>
    <row r="220" spans="1:19" x14ac:dyDescent="0.25">
      <c r="A220" s="178"/>
      <c r="E220" s="656">
        <v>8</v>
      </c>
      <c r="F220" s="628" t="s">
        <v>2154</v>
      </c>
      <c r="G220" s="226">
        <v>2.16</v>
      </c>
      <c r="H220" s="178">
        <v>4192</v>
      </c>
      <c r="I220" s="226">
        <v>3417</v>
      </c>
      <c r="J220" s="226">
        <f t="shared" si="32"/>
        <v>1.7606679389312978</v>
      </c>
      <c r="K220" s="820">
        <f t="shared" si="33"/>
        <v>3.9206679389312979</v>
      </c>
      <c r="L220" s="228">
        <v>1.4</v>
      </c>
      <c r="M220" s="226">
        <f t="shared" si="34"/>
        <v>5.4889351145038168</v>
      </c>
      <c r="N220" s="226">
        <v>6</v>
      </c>
    </row>
    <row r="221" spans="1:19" x14ac:dyDescent="0.25">
      <c r="A221" s="178"/>
      <c r="E221" s="656">
        <v>8</v>
      </c>
      <c r="F221" s="628" t="s">
        <v>2154</v>
      </c>
      <c r="G221" s="226">
        <v>2.16</v>
      </c>
      <c r="H221" s="178">
        <v>4192</v>
      </c>
      <c r="I221" s="226">
        <v>3417</v>
      </c>
      <c r="J221" s="226">
        <f t="shared" si="32"/>
        <v>1.7606679389312978</v>
      </c>
      <c r="K221" s="820">
        <f t="shared" si="33"/>
        <v>3.9206679389312979</v>
      </c>
      <c r="L221" s="228">
        <v>1.4</v>
      </c>
      <c r="M221" s="226">
        <f t="shared" si="34"/>
        <v>5.4889351145038168</v>
      </c>
      <c r="N221" s="226">
        <v>6</v>
      </c>
    </row>
    <row r="222" spans="1:19" x14ac:dyDescent="0.25">
      <c r="A222" s="178"/>
      <c r="C222" s="318"/>
      <c r="E222" s="656">
        <v>8</v>
      </c>
      <c r="F222" s="628" t="s">
        <v>2154</v>
      </c>
      <c r="G222" s="226">
        <v>2.16</v>
      </c>
      <c r="H222" s="178">
        <v>4192</v>
      </c>
      <c r="I222" s="226">
        <v>3417</v>
      </c>
      <c r="J222" s="226">
        <f t="shared" si="32"/>
        <v>1.7606679389312978</v>
      </c>
      <c r="K222" s="820">
        <f t="shared" si="33"/>
        <v>3.9206679389312979</v>
      </c>
      <c r="L222" s="228">
        <v>1.4</v>
      </c>
      <c r="M222" s="226">
        <f t="shared" si="34"/>
        <v>5.4889351145038168</v>
      </c>
      <c r="N222" s="226">
        <v>6</v>
      </c>
    </row>
    <row r="223" spans="1:19" x14ac:dyDescent="0.25">
      <c r="A223" s="178"/>
      <c r="E223" s="656">
        <v>8</v>
      </c>
      <c r="F223" s="628" t="s">
        <v>2154</v>
      </c>
      <c r="G223" s="226">
        <v>2.16</v>
      </c>
      <c r="H223" s="178">
        <v>4192</v>
      </c>
      <c r="I223" s="226">
        <v>3417</v>
      </c>
      <c r="J223" s="226">
        <f t="shared" si="32"/>
        <v>1.7606679389312978</v>
      </c>
      <c r="K223" s="820">
        <f t="shared" si="33"/>
        <v>3.9206679389312979</v>
      </c>
      <c r="L223" s="228">
        <v>1.4</v>
      </c>
      <c r="M223" s="226">
        <f t="shared" si="34"/>
        <v>5.4889351145038168</v>
      </c>
      <c r="N223" s="226">
        <v>6</v>
      </c>
    </row>
    <row r="224" spans="1:19" x14ac:dyDescent="0.25">
      <c r="A224" s="178"/>
      <c r="E224" s="656">
        <v>8</v>
      </c>
      <c r="F224" s="628" t="s">
        <v>2154</v>
      </c>
      <c r="G224" s="226">
        <v>2.16</v>
      </c>
      <c r="H224" s="178">
        <v>4192</v>
      </c>
      <c r="I224" s="226">
        <v>3417</v>
      </c>
      <c r="J224" s="226">
        <f t="shared" si="32"/>
        <v>1.7606679389312978</v>
      </c>
      <c r="K224" s="820">
        <f t="shared" si="33"/>
        <v>3.9206679389312979</v>
      </c>
      <c r="L224" s="228">
        <v>1.4</v>
      </c>
      <c r="M224" s="226">
        <f t="shared" si="34"/>
        <v>5.4889351145038168</v>
      </c>
      <c r="N224" s="226">
        <v>6</v>
      </c>
    </row>
    <row r="225" spans="1:19" x14ac:dyDescent="0.25">
      <c r="A225" s="178"/>
      <c r="E225" s="656">
        <v>8</v>
      </c>
      <c r="F225" s="628" t="s">
        <v>2154</v>
      </c>
      <c r="G225" s="226">
        <v>2.16</v>
      </c>
      <c r="H225" s="178">
        <v>4192</v>
      </c>
      <c r="I225" s="226">
        <v>3417</v>
      </c>
      <c r="J225" s="226">
        <f t="shared" si="32"/>
        <v>1.7606679389312978</v>
      </c>
      <c r="K225" s="820">
        <f t="shared" si="33"/>
        <v>3.9206679389312979</v>
      </c>
      <c r="L225" s="228">
        <v>1.4</v>
      </c>
      <c r="M225" s="226">
        <f t="shared" si="34"/>
        <v>5.4889351145038168</v>
      </c>
      <c r="N225" s="226">
        <v>6</v>
      </c>
    </row>
    <row r="226" spans="1:19" x14ac:dyDescent="0.25">
      <c r="A226" s="178"/>
      <c r="E226" s="656">
        <v>8</v>
      </c>
      <c r="F226" s="628" t="s">
        <v>2154</v>
      </c>
      <c r="G226" s="226">
        <v>2.16</v>
      </c>
      <c r="H226" s="178">
        <v>4192</v>
      </c>
      <c r="I226" s="226">
        <v>3417</v>
      </c>
      <c r="J226" s="226">
        <f t="shared" si="32"/>
        <v>1.7606679389312978</v>
      </c>
      <c r="K226" s="820">
        <f t="shared" si="33"/>
        <v>3.9206679389312979</v>
      </c>
      <c r="L226" s="228">
        <v>1.4</v>
      </c>
      <c r="M226" s="226">
        <f t="shared" si="34"/>
        <v>5.4889351145038168</v>
      </c>
      <c r="N226" s="226">
        <v>6</v>
      </c>
    </row>
    <row r="227" spans="1:19" x14ac:dyDescent="0.25">
      <c r="A227" s="178"/>
      <c r="E227" s="656">
        <v>8</v>
      </c>
      <c r="F227" s="628" t="s">
        <v>101</v>
      </c>
      <c r="G227" s="226">
        <v>2.16</v>
      </c>
      <c r="H227" s="178">
        <v>4192</v>
      </c>
      <c r="I227" s="226">
        <v>3417</v>
      </c>
      <c r="J227" s="226">
        <f t="shared" si="32"/>
        <v>1.7606679389312978</v>
      </c>
      <c r="K227" s="820">
        <f t="shared" si="33"/>
        <v>3.9206679389312979</v>
      </c>
      <c r="L227" s="228">
        <v>1.4</v>
      </c>
      <c r="M227" s="226">
        <f t="shared" si="34"/>
        <v>5.4889351145038168</v>
      </c>
      <c r="N227" s="226">
        <v>6</v>
      </c>
    </row>
    <row r="228" spans="1:19" x14ac:dyDescent="0.25">
      <c r="A228" s="178"/>
      <c r="E228" s="656">
        <v>8</v>
      </c>
      <c r="F228" s="628" t="s">
        <v>101</v>
      </c>
      <c r="G228" s="226">
        <v>2.16</v>
      </c>
      <c r="H228" s="178">
        <v>4192</v>
      </c>
      <c r="I228" s="226">
        <v>3417</v>
      </c>
      <c r="J228" s="226">
        <f t="shared" si="32"/>
        <v>1.7606679389312978</v>
      </c>
      <c r="K228" s="820">
        <f t="shared" si="33"/>
        <v>3.9206679389312979</v>
      </c>
      <c r="L228" s="228">
        <v>1.4</v>
      </c>
      <c r="M228" s="226">
        <f t="shared" si="34"/>
        <v>5.4889351145038168</v>
      </c>
      <c r="N228" s="226">
        <v>6</v>
      </c>
    </row>
    <row r="229" spans="1:19" x14ac:dyDescent="0.25">
      <c r="A229" s="178"/>
      <c r="E229" s="656">
        <v>8</v>
      </c>
      <c r="F229" s="628" t="s">
        <v>101</v>
      </c>
      <c r="G229" s="226">
        <v>2.16</v>
      </c>
      <c r="H229" s="178">
        <v>4192</v>
      </c>
      <c r="I229" s="226">
        <v>3417</v>
      </c>
      <c r="J229" s="226">
        <f t="shared" si="32"/>
        <v>1.7606679389312978</v>
      </c>
      <c r="K229" s="820">
        <f t="shared" si="33"/>
        <v>3.9206679389312979</v>
      </c>
      <c r="L229" s="228">
        <v>1.4</v>
      </c>
      <c r="M229" s="226">
        <f t="shared" si="34"/>
        <v>5.4889351145038168</v>
      </c>
      <c r="N229" s="226">
        <v>6</v>
      </c>
    </row>
    <row r="230" spans="1:19" x14ac:dyDescent="0.25">
      <c r="A230" s="178"/>
      <c r="E230" s="656">
        <v>8</v>
      </c>
      <c r="F230" s="628" t="s">
        <v>101</v>
      </c>
      <c r="G230" s="226">
        <v>2.16</v>
      </c>
      <c r="H230" s="178">
        <v>4192</v>
      </c>
      <c r="I230" s="226">
        <v>3417</v>
      </c>
      <c r="J230" s="226">
        <f t="shared" si="32"/>
        <v>1.7606679389312978</v>
      </c>
      <c r="K230" s="820">
        <f t="shared" si="33"/>
        <v>3.9206679389312979</v>
      </c>
      <c r="L230" s="228">
        <v>1.4</v>
      </c>
      <c r="M230" s="226">
        <f t="shared" si="34"/>
        <v>5.4889351145038168</v>
      </c>
      <c r="N230" s="226">
        <v>6</v>
      </c>
    </row>
    <row r="231" spans="1:19" x14ac:dyDescent="0.25">
      <c r="A231" s="178"/>
      <c r="E231" s="656">
        <v>8</v>
      </c>
      <c r="F231" s="628" t="s">
        <v>101</v>
      </c>
      <c r="G231" s="226">
        <v>2.16</v>
      </c>
      <c r="H231" s="178">
        <v>4192</v>
      </c>
      <c r="I231" s="226">
        <v>3417</v>
      </c>
      <c r="J231" s="226">
        <f t="shared" si="32"/>
        <v>1.7606679389312978</v>
      </c>
      <c r="K231" s="820">
        <f t="shared" si="33"/>
        <v>3.9206679389312979</v>
      </c>
      <c r="L231" s="228">
        <v>1.4</v>
      </c>
      <c r="M231" s="226">
        <f t="shared" si="34"/>
        <v>5.4889351145038168</v>
      </c>
      <c r="N231" s="226">
        <v>6</v>
      </c>
    </row>
    <row r="232" spans="1:19" x14ac:dyDescent="0.25">
      <c r="A232" s="178"/>
      <c r="E232" s="656">
        <v>8</v>
      </c>
      <c r="F232" s="628" t="s">
        <v>101</v>
      </c>
      <c r="G232" s="226">
        <v>2.16</v>
      </c>
      <c r="H232" s="178">
        <v>4192</v>
      </c>
      <c r="I232" s="226">
        <v>3417</v>
      </c>
      <c r="J232" s="226">
        <f t="shared" si="32"/>
        <v>1.7606679389312978</v>
      </c>
      <c r="K232" s="820">
        <f t="shared" si="33"/>
        <v>3.9206679389312979</v>
      </c>
      <c r="L232" s="228">
        <v>1.4</v>
      </c>
      <c r="M232" s="226">
        <f t="shared" si="34"/>
        <v>5.4889351145038168</v>
      </c>
      <c r="N232" s="226">
        <v>6</v>
      </c>
    </row>
    <row r="233" spans="1:19" x14ac:dyDescent="0.25">
      <c r="A233" s="178"/>
      <c r="E233" s="656">
        <v>8</v>
      </c>
      <c r="F233" s="628" t="s">
        <v>101</v>
      </c>
      <c r="G233" s="226">
        <v>2.16</v>
      </c>
      <c r="H233" s="178">
        <v>4192</v>
      </c>
      <c r="I233" s="226">
        <v>3417</v>
      </c>
      <c r="J233" s="226">
        <f t="shared" si="32"/>
        <v>1.7606679389312978</v>
      </c>
      <c r="K233" s="820">
        <f t="shared" si="33"/>
        <v>3.9206679389312979</v>
      </c>
      <c r="L233" s="228">
        <v>1.4</v>
      </c>
      <c r="M233" s="226">
        <f t="shared" si="34"/>
        <v>5.4889351145038168</v>
      </c>
      <c r="N233" s="226">
        <v>6</v>
      </c>
    </row>
    <row r="234" spans="1:19" x14ac:dyDescent="0.25">
      <c r="A234" s="178"/>
      <c r="E234" s="656">
        <v>8</v>
      </c>
      <c r="F234" s="628" t="s">
        <v>101</v>
      </c>
      <c r="G234" s="226">
        <v>2.16</v>
      </c>
      <c r="H234" s="178">
        <v>4192</v>
      </c>
      <c r="I234" s="226">
        <v>3417</v>
      </c>
      <c r="J234" s="226">
        <f t="shared" si="32"/>
        <v>1.7606679389312978</v>
      </c>
      <c r="K234" s="820">
        <f t="shared" si="33"/>
        <v>3.9206679389312979</v>
      </c>
      <c r="L234" s="228">
        <v>1.4</v>
      </c>
      <c r="M234" s="226">
        <f t="shared" si="34"/>
        <v>5.4889351145038168</v>
      </c>
      <c r="N234" s="226">
        <v>6</v>
      </c>
    </row>
    <row r="235" spans="1:19" x14ac:dyDescent="0.25">
      <c r="A235" s="178"/>
      <c r="E235" s="656">
        <v>8</v>
      </c>
      <c r="F235" s="628" t="s">
        <v>101</v>
      </c>
      <c r="G235" s="226">
        <v>2.16</v>
      </c>
      <c r="H235" s="178">
        <v>4192</v>
      </c>
      <c r="I235" s="226">
        <v>3417</v>
      </c>
      <c r="J235" s="226">
        <f t="shared" si="32"/>
        <v>1.7606679389312978</v>
      </c>
      <c r="K235" s="820">
        <f t="shared" si="33"/>
        <v>3.9206679389312979</v>
      </c>
      <c r="L235" s="228">
        <v>1.4</v>
      </c>
      <c r="M235" s="226">
        <f t="shared" si="34"/>
        <v>5.4889351145038168</v>
      </c>
      <c r="N235" s="226">
        <v>6</v>
      </c>
    </row>
    <row r="236" spans="1:19" x14ac:dyDescent="0.25">
      <c r="A236" s="178"/>
      <c r="E236" s="656">
        <v>8</v>
      </c>
      <c r="F236" s="628" t="s">
        <v>101</v>
      </c>
      <c r="G236" s="226">
        <v>2.16</v>
      </c>
      <c r="H236" s="178">
        <v>4192</v>
      </c>
      <c r="I236" s="226">
        <v>3417</v>
      </c>
      <c r="J236" s="226">
        <f t="shared" si="32"/>
        <v>1.7606679389312978</v>
      </c>
      <c r="K236" s="820">
        <f t="shared" si="33"/>
        <v>3.9206679389312979</v>
      </c>
      <c r="L236" s="228">
        <v>1.4</v>
      </c>
      <c r="M236" s="226">
        <f t="shared" si="34"/>
        <v>5.4889351145038168</v>
      </c>
      <c r="N236" s="226">
        <v>6</v>
      </c>
    </row>
    <row r="237" spans="1:19" x14ac:dyDescent="0.25">
      <c r="A237" s="178"/>
      <c r="E237" s="656">
        <v>8</v>
      </c>
      <c r="F237" s="628" t="s">
        <v>101</v>
      </c>
      <c r="G237" s="226">
        <v>2.16</v>
      </c>
      <c r="H237" s="178">
        <v>4192</v>
      </c>
      <c r="I237" s="226">
        <v>3417</v>
      </c>
      <c r="J237" s="226">
        <f t="shared" si="32"/>
        <v>1.7606679389312978</v>
      </c>
      <c r="K237" s="820">
        <f t="shared" si="33"/>
        <v>3.9206679389312979</v>
      </c>
      <c r="L237" s="228">
        <v>1.4</v>
      </c>
      <c r="M237" s="226">
        <f t="shared" si="34"/>
        <v>5.4889351145038168</v>
      </c>
      <c r="N237" s="226">
        <v>6</v>
      </c>
    </row>
    <row r="238" spans="1:19" x14ac:dyDescent="0.25">
      <c r="A238" s="178"/>
      <c r="E238" s="656">
        <v>8</v>
      </c>
      <c r="F238" s="628" t="s">
        <v>101</v>
      </c>
      <c r="G238" s="226">
        <v>2.16</v>
      </c>
      <c r="H238" s="178">
        <v>4192</v>
      </c>
      <c r="I238" s="226">
        <v>3417</v>
      </c>
      <c r="J238" s="226">
        <f t="shared" si="32"/>
        <v>1.7606679389312978</v>
      </c>
      <c r="K238" s="820">
        <f t="shared" si="33"/>
        <v>3.9206679389312979</v>
      </c>
      <c r="L238" s="228">
        <v>1.4</v>
      </c>
      <c r="M238" s="226">
        <f t="shared" si="34"/>
        <v>5.4889351145038168</v>
      </c>
      <c r="N238" s="226">
        <v>6</v>
      </c>
    </row>
    <row r="239" spans="1:19" x14ac:dyDescent="0.25">
      <c r="E239" s="656">
        <v>10</v>
      </c>
      <c r="F239" s="708" t="s">
        <v>2154</v>
      </c>
      <c r="G239" s="232">
        <v>2.16</v>
      </c>
      <c r="H239" s="213">
        <v>4192</v>
      </c>
      <c r="I239" s="232">
        <v>3417</v>
      </c>
      <c r="J239" s="232">
        <f t="shared" si="32"/>
        <v>1.7606679389312978</v>
      </c>
      <c r="K239" s="863">
        <f t="shared" si="33"/>
        <v>3.9206679389312979</v>
      </c>
      <c r="L239" s="864">
        <v>1.4</v>
      </c>
      <c r="M239" s="232">
        <f t="shared" si="34"/>
        <v>5.4889351145038168</v>
      </c>
      <c r="N239" s="232">
        <v>6</v>
      </c>
      <c r="Q239" s="178" t="s">
        <v>12</v>
      </c>
      <c r="R239" s="229">
        <v>45377</v>
      </c>
      <c r="S239" s="178">
        <f t="shared" ref="S239:S241" si="35">+N239*20000</f>
        <v>120000</v>
      </c>
    </row>
    <row r="240" spans="1:19" x14ac:dyDescent="0.25">
      <c r="E240" s="656">
        <v>10</v>
      </c>
      <c r="F240" s="708" t="s">
        <v>2154</v>
      </c>
      <c r="G240" s="232">
        <v>2.16</v>
      </c>
      <c r="H240" s="213">
        <v>4192</v>
      </c>
      <c r="I240" s="232">
        <v>3417</v>
      </c>
      <c r="J240" s="232">
        <f t="shared" si="32"/>
        <v>1.7606679389312978</v>
      </c>
      <c r="K240" s="863">
        <f t="shared" si="33"/>
        <v>3.9206679389312979</v>
      </c>
      <c r="L240" s="864">
        <v>1.4</v>
      </c>
      <c r="M240" s="232">
        <f t="shared" si="34"/>
        <v>5.4889351145038168</v>
      </c>
      <c r="N240" s="232">
        <v>6</v>
      </c>
      <c r="Q240" s="178" t="s">
        <v>12</v>
      </c>
      <c r="R240" s="229">
        <v>45377</v>
      </c>
      <c r="S240" s="178">
        <f t="shared" si="35"/>
        <v>120000</v>
      </c>
    </row>
    <row r="241" spans="1:19" x14ac:dyDescent="0.25">
      <c r="E241" s="656">
        <v>10</v>
      </c>
      <c r="F241" s="708" t="s">
        <v>2154</v>
      </c>
      <c r="G241" s="232">
        <v>2.16</v>
      </c>
      <c r="H241" s="213">
        <v>4192</v>
      </c>
      <c r="I241" s="232">
        <v>3417</v>
      </c>
      <c r="J241" s="232">
        <f t="shared" si="32"/>
        <v>1.7606679389312978</v>
      </c>
      <c r="K241" s="863">
        <f t="shared" si="33"/>
        <v>3.9206679389312979</v>
      </c>
      <c r="L241" s="864">
        <v>1.4</v>
      </c>
      <c r="M241" s="232">
        <f t="shared" si="34"/>
        <v>5.4889351145038168</v>
      </c>
      <c r="N241" s="232">
        <v>6</v>
      </c>
      <c r="Q241" s="178" t="s">
        <v>12</v>
      </c>
      <c r="R241" s="229">
        <v>45377</v>
      </c>
      <c r="S241" s="178">
        <f t="shared" si="35"/>
        <v>120000</v>
      </c>
    </row>
    <row r="242" spans="1:19" x14ac:dyDescent="0.25">
      <c r="E242" s="656">
        <v>10</v>
      </c>
      <c r="F242" s="628" t="s">
        <v>2154</v>
      </c>
      <c r="G242" s="226">
        <v>2.16</v>
      </c>
      <c r="H242" s="178">
        <v>4192</v>
      </c>
      <c r="I242" s="226">
        <v>3417</v>
      </c>
      <c r="J242" s="226">
        <f t="shared" si="32"/>
        <v>1.7606679389312978</v>
      </c>
      <c r="K242" s="820">
        <f t="shared" si="33"/>
        <v>3.9206679389312979</v>
      </c>
      <c r="L242" s="228">
        <v>1.4</v>
      </c>
      <c r="M242" s="226">
        <f t="shared" si="34"/>
        <v>5.4889351145038168</v>
      </c>
      <c r="N242" s="226">
        <v>6</v>
      </c>
    </row>
    <row r="243" spans="1:19" x14ac:dyDescent="0.25">
      <c r="A243" s="178"/>
      <c r="E243" s="656">
        <v>10</v>
      </c>
      <c r="F243" s="628" t="s">
        <v>2154</v>
      </c>
      <c r="G243" s="226">
        <v>2.16</v>
      </c>
      <c r="H243" s="178">
        <v>4192</v>
      </c>
      <c r="I243" s="226">
        <v>3417</v>
      </c>
      <c r="J243" s="226">
        <f t="shared" si="32"/>
        <v>1.7606679389312978</v>
      </c>
      <c r="K243" s="820">
        <f t="shared" si="33"/>
        <v>3.9206679389312979</v>
      </c>
      <c r="L243" s="228">
        <v>1.4</v>
      </c>
      <c r="M243" s="226">
        <f t="shared" si="34"/>
        <v>5.4889351145038168</v>
      </c>
      <c r="N243" s="226">
        <v>6</v>
      </c>
    </row>
    <row r="244" spans="1:19" x14ac:dyDescent="0.25">
      <c r="A244" s="178"/>
      <c r="C244" s="318"/>
      <c r="E244" s="656">
        <v>10</v>
      </c>
      <c r="F244" s="628" t="s">
        <v>2154</v>
      </c>
      <c r="G244" s="226">
        <v>2.16</v>
      </c>
      <c r="H244" s="178">
        <v>4192</v>
      </c>
      <c r="I244" s="226">
        <v>3417</v>
      </c>
      <c r="J244" s="226">
        <f t="shared" si="32"/>
        <v>1.7606679389312978</v>
      </c>
      <c r="K244" s="820">
        <f t="shared" si="33"/>
        <v>3.9206679389312979</v>
      </c>
      <c r="L244" s="228">
        <v>1.4</v>
      </c>
      <c r="M244" s="226">
        <f t="shared" si="34"/>
        <v>5.4889351145038168</v>
      </c>
      <c r="N244" s="226">
        <v>6</v>
      </c>
    </row>
    <row r="245" spans="1:19" x14ac:dyDescent="0.25">
      <c r="A245" s="178"/>
      <c r="E245" s="656">
        <v>10</v>
      </c>
      <c r="F245" s="628" t="s">
        <v>2154</v>
      </c>
      <c r="G245" s="226">
        <v>2.16</v>
      </c>
      <c r="H245" s="178">
        <v>4192</v>
      </c>
      <c r="I245" s="226">
        <v>3417</v>
      </c>
      <c r="J245" s="226">
        <f t="shared" si="32"/>
        <v>1.7606679389312978</v>
      </c>
      <c r="K245" s="820">
        <f t="shared" si="33"/>
        <v>3.9206679389312979</v>
      </c>
      <c r="L245" s="228">
        <v>1.4</v>
      </c>
      <c r="M245" s="226">
        <f t="shared" si="34"/>
        <v>5.4889351145038168</v>
      </c>
      <c r="N245" s="226">
        <v>6</v>
      </c>
    </row>
    <row r="246" spans="1:19" x14ac:dyDescent="0.25">
      <c r="A246" s="178"/>
      <c r="E246" s="656">
        <v>10</v>
      </c>
      <c r="F246" s="628" t="s">
        <v>2154</v>
      </c>
      <c r="G246" s="226">
        <v>2.16</v>
      </c>
      <c r="H246" s="178">
        <v>4192</v>
      </c>
      <c r="I246" s="226">
        <v>3417</v>
      </c>
      <c r="J246" s="226">
        <f t="shared" si="32"/>
        <v>1.7606679389312978</v>
      </c>
      <c r="K246" s="820">
        <f t="shared" si="33"/>
        <v>3.9206679389312979</v>
      </c>
      <c r="L246" s="228">
        <v>1.4</v>
      </c>
      <c r="M246" s="226">
        <f t="shared" si="34"/>
        <v>5.4889351145038168</v>
      </c>
      <c r="N246" s="226">
        <v>6</v>
      </c>
    </row>
    <row r="247" spans="1:19" x14ac:dyDescent="0.25">
      <c r="A247" s="178"/>
      <c r="E247" s="656">
        <v>10</v>
      </c>
      <c r="F247" s="628" t="s">
        <v>2154</v>
      </c>
      <c r="G247" s="226">
        <v>2.16</v>
      </c>
      <c r="H247" s="178">
        <v>4192</v>
      </c>
      <c r="I247" s="226">
        <v>3417</v>
      </c>
      <c r="J247" s="226">
        <f t="shared" si="32"/>
        <v>1.7606679389312978</v>
      </c>
      <c r="K247" s="820">
        <f t="shared" si="33"/>
        <v>3.9206679389312979</v>
      </c>
      <c r="L247" s="228">
        <v>1.4</v>
      </c>
      <c r="M247" s="226">
        <f t="shared" si="34"/>
        <v>5.4889351145038168</v>
      </c>
      <c r="N247" s="226">
        <v>6</v>
      </c>
    </row>
    <row r="248" spans="1:19" x14ac:dyDescent="0.25">
      <c r="A248" s="178"/>
      <c r="E248" s="656">
        <v>10</v>
      </c>
      <c r="F248" s="628" t="s">
        <v>2154</v>
      </c>
      <c r="G248" s="226">
        <v>2.16</v>
      </c>
      <c r="H248" s="178">
        <v>4192</v>
      </c>
      <c r="I248" s="226">
        <v>3417</v>
      </c>
      <c r="J248" s="226">
        <f t="shared" si="32"/>
        <v>1.7606679389312978</v>
      </c>
      <c r="K248" s="820">
        <f t="shared" si="33"/>
        <v>3.9206679389312979</v>
      </c>
      <c r="L248" s="228">
        <v>1.4</v>
      </c>
      <c r="M248" s="226">
        <f t="shared" si="34"/>
        <v>5.4889351145038168</v>
      </c>
      <c r="N248" s="226">
        <v>6</v>
      </c>
    </row>
    <row r="249" spans="1:19" x14ac:dyDescent="0.25">
      <c r="A249" s="178"/>
      <c r="E249" s="656">
        <v>10</v>
      </c>
      <c r="F249" s="628" t="s">
        <v>2154</v>
      </c>
      <c r="G249" s="226">
        <v>2.16</v>
      </c>
      <c r="H249" s="178">
        <v>4192</v>
      </c>
      <c r="I249" s="226">
        <v>3417</v>
      </c>
      <c r="J249" s="226">
        <f t="shared" si="32"/>
        <v>1.7606679389312978</v>
      </c>
      <c r="K249" s="820">
        <f t="shared" si="33"/>
        <v>3.9206679389312979</v>
      </c>
      <c r="L249" s="228">
        <v>1.4</v>
      </c>
      <c r="M249" s="226">
        <f t="shared" si="34"/>
        <v>5.4889351145038168</v>
      </c>
      <c r="N249" s="226">
        <v>6</v>
      </c>
    </row>
    <row r="250" spans="1:19" x14ac:dyDescent="0.25">
      <c r="A250" s="178"/>
      <c r="E250" s="656">
        <v>10</v>
      </c>
      <c r="F250" s="628" t="s">
        <v>2154</v>
      </c>
      <c r="G250" s="226">
        <v>2.16</v>
      </c>
      <c r="H250" s="178">
        <v>4192</v>
      </c>
      <c r="I250" s="226">
        <v>3417</v>
      </c>
      <c r="J250" s="226">
        <f t="shared" si="32"/>
        <v>1.7606679389312978</v>
      </c>
      <c r="K250" s="820">
        <f t="shared" si="33"/>
        <v>3.9206679389312979</v>
      </c>
      <c r="L250" s="228">
        <v>1.4</v>
      </c>
      <c r="M250" s="226">
        <f t="shared" si="34"/>
        <v>5.4889351145038168</v>
      </c>
      <c r="N250" s="226">
        <v>6</v>
      </c>
    </row>
    <row r="251" spans="1:19" x14ac:dyDescent="0.25">
      <c r="A251" s="178"/>
      <c r="E251" s="656">
        <v>10</v>
      </c>
      <c r="F251" s="708" t="s">
        <v>101</v>
      </c>
      <c r="G251" s="232">
        <v>2.16</v>
      </c>
      <c r="H251" s="213">
        <v>4192</v>
      </c>
      <c r="I251" s="232">
        <v>3417</v>
      </c>
      <c r="J251" s="232">
        <f t="shared" si="32"/>
        <v>1.7606679389312978</v>
      </c>
      <c r="K251" s="863">
        <f t="shared" si="33"/>
        <v>3.9206679389312979</v>
      </c>
      <c r="L251" s="864">
        <v>1.4</v>
      </c>
      <c r="M251" s="232">
        <f t="shared" si="34"/>
        <v>5.4889351145038168</v>
      </c>
      <c r="N251" s="232">
        <v>6</v>
      </c>
      <c r="Q251" s="178" t="s">
        <v>12</v>
      </c>
      <c r="R251" s="229">
        <v>45377</v>
      </c>
      <c r="S251" s="178">
        <f>+N251*20000</f>
        <v>120000</v>
      </c>
    </row>
    <row r="252" spans="1:19" x14ac:dyDescent="0.25">
      <c r="A252" s="178"/>
      <c r="E252" s="656">
        <v>10</v>
      </c>
      <c r="F252" s="708" t="s">
        <v>101</v>
      </c>
      <c r="G252" s="232">
        <v>2.16</v>
      </c>
      <c r="H252" s="213">
        <v>4192</v>
      </c>
      <c r="I252" s="232">
        <v>3417</v>
      </c>
      <c r="J252" s="232">
        <f t="shared" si="32"/>
        <v>1.7606679389312978</v>
      </c>
      <c r="K252" s="863">
        <f t="shared" si="33"/>
        <v>3.9206679389312979</v>
      </c>
      <c r="L252" s="864">
        <v>1.4</v>
      </c>
      <c r="M252" s="232">
        <f t="shared" si="34"/>
        <v>5.4889351145038168</v>
      </c>
      <c r="N252" s="232">
        <v>6</v>
      </c>
      <c r="Q252" s="178" t="s">
        <v>12</v>
      </c>
      <c r="R252" s="229">
        <v>45377</v>
      </c>
      <c r="S252" s="178">
        <f>+N252*20000</f>
        <v>120000</v>
      </c>
    </row>
    <row r="253" spans="1:19" x14ac:dyDescent="0.25">
      <c r="A253" s="178"/>
      <c r="E253" s="656">
        <v>10</v>
      </c>
      <c r="F253" s="628" t="s">
        <v>101</v>
      </c>
      <c r="G253" s="226">
        <v>2.16</v>
      </c>
      <c r="H253" s="178">
        <v>4192</v>
      </c>
      <c r="I253" s="226">
        <v>3417</v>
      </c>
      <c r="J253" s="226">
        <f t="shared" si="32"/>
        <v>1.7606679389312978</v>
      </c>
      <c r="K253" s="820">
        <f t="shared" si="33"/>
        <v>3.9206679389312979</v>
      </c>
      <c r="L253" s="228">
        <v>1.4</v>
      </c>
      <c r="M253" s="226">
        <f t="shared" si="34"/>
        <v>5.4889351145038168</v>
      </c>
      <c r="N253" s="226">
        <v>6</v>
      </c>
    </row>
    <row r="254" spans="1:19" x14ac:dyDescent="0.25">
      <c r="A254" s="178"/>
      <c r="E254" s="656">
        <v>10</v>
      </c>
      <c r="F254" s="628" t="s">
        <v>101</v>
      </c>
      <c r="G254" s="226">
        <v>2.16</v>
      </c>
      <c r="H254" s="178">
        <v>4192</v>
      </c>
      <c r="I254" s="226">
        <v>3417</v>
      </c>
      <c r="J254" s="226">
        <f t="shared" si="32"/>
        <v>1.7606679389312978</v>
      </c>
      <c r="K254" s="820">
        <f t="shared" si="33"/>
        <v>3.9206679389312979</v>
      </c>
      <c r="L254" s="228">
        <v>1.4</v>
      </c>
      <c r="M254" s="226">
        <f t="shared" si="34"/>
        <v>5.4889351145038168</v>
      </c>
      <c r="N254" s="226">
        <v>6</v>
      </c>
    </row>
    <row r="255" spans="1:19" x14ac:dyDescent="0.25">
      <c r="A255" s="178"/>
      <c r="E255" s="656">
        <v>10</v>
      </c>
      <c r="F255" s="628" t="s">
        <v>101</v>
      </c>
      <c r="G255" s="226">
        <v>2.16</v>
      </c>
      <c r="H255" s="178">
        <v>4192</v>
      </c>
      <c r="I255" s="226">
        <v>3417</v>
      </c>
      <c r="J255" s="226">
        <f t="shared" si="32"/>
        <v>1.7606679389312978</v>
      </c>
      <c r="K255" s="820">
        <f t="shared" si="33"/>
        <v>3.9206679389312979</v>
      </c>
      <c r="L255" s="228">
        <v>1.4</v>
      </c>
      <c r="M255" s="226">
        <f t="shared" si="34"/>
        <v>5.4889351145038168</v>
      </c>
      <c r="N255" s="226">
        <v>6</v>
      </c>
    </row>
    <row r="256" spans="1:19" x14ac:dyDescent="0.25">
      <c r="A256" s="178"/>
      <c r="E256" s="656">
        <v>10</v>
      </c>
      <c r="F256" s="628" t="s">
        <v>101</v>
      </c>
      <c r="G256" s="226">
        <v>2.16</v>
      </c>
      <c r="H256" s="178">
        <v>4192</v>
      </c>
      <c r="I256" s="226">
        <v>3417</v>
      </c>
      <c r="J256" s="226">
        <f t="shared" si="32"/>
        <v>1.7606679389312978</v>
      </c>
      <c r="K256" s="820">
        <f t="shared" si="33"/>
        <v>3.9206679389312979</v>
      </c>
      <c r="L256" s="228">
        <v>1.4</v>
      </c>
      <c r="M256" s="226">
        <f t="shared" si="34"/>
        <v>5.4889351145038168</v>
      </c>
      <c r="N256" s="226">
        <v>6</v>
      </c>
    </row>
    <row r="257" spans="1:14" x14ac:dyDescent="0.25">
      <c r="A257" s="178"/>
      <c r="E257" s="656">
        <v>10</v>
      </c>
      <c r="F257" s="628" t="s">
        <v>101</v>
      </c>
      <c r="G257" s="226">
        <v>2.16</v>
      </c>
      <c r="H257" s="178">
        <v>4192</v>
      </c>
      <c r="I257" s="226">
        <v>3417</v>
      </c>
      <c r="J257" s="226">
        <f t="shared" si="32"/>
        <v>1.7606679389312978</v>
      </c>
      <c r="K257" s="820">
        <f t="shared" si="33"/>
        <v>3.9206679389312979</v>
      </c>
      <c r="L257" s="228">
        <v>1.4</v>
      </c>
      <c r="M257" s="226">
        <f t="shared" si="34"/>
        <v>5.4889351145038168</v>
      </c>
      <c r="N257" s="226">
        <v>6</v>
      </c>
    </row>
    <row r="258" spans="1:14" x14ac:dyDescent="0.25">
      <c r="A258" s="178"/>
      <c r="E258" s="656">
        <v>10</v>
      </c>
      <c r="F258" s="628" t="s">
        <v>101</v>
      </c>
      <c r="G258" s="226">
        <v>2.16</v>
      </c>
      <c r="H258" s="178">
        <v>4192</v>
      </c>
      <c r="I258" s="226">
        <v>3417</v>
      </c>
      <c r="J258" s="226">
        <f t="shared" si="32"/>
        <v>1.7606679389312978</v>
      </c>
      <c r="K258" s="820">
        <f t="shared" si="33"/>
        <v>3.9206679389312979</v>
      </c>
      <c r="L258" s="228">
        <v>1.4</v>
      </c>
      <c r="M258" s="226">
        <f t="shared" si="34"/>
        <v>5.4889351145038168</v>
      </c>
      <c r="N258" s="226">
        <v>6</v>
      </c>
    </row>
    <row r="259" spans="1:14" x14ac:dyDescent="0.25">
      <c r="A259" s="178"/>
      <c r="E259" s="656">
        <v>10</v>
      </c>
      <c r="F259" s="628" t="s">
        <v>101</v>
      </c>
      <c r="G259" s="226">
        <v>2.16</v>
      </c>
      <c r="H259" s="178">
        <v>4192</v>
      </c>
      <c r="I259" s="226">
        <v>3417</v>
      </c>
      <c r="J259" s="226">
        <f t="shared" si="32"/>
        <v>1.7606679389312978</v>
      </c>
      <c r="K259" s="820">
        <f t="shared" si="33"/>
        <v>3.9206679389312979</v>
      </c>
      <c r="L259" s="228">
        <v>1.4</v>
      </c>
      <c r="M259" s="226">
        <f t="shared" si="34"/>
        <v>5.4889351145038168</v>
      </c>
      <c r="N259" s="226">
        <v>6</v>
      </c>
    </row>
    <row r="260" spans="1:14" x14ac:dyDescent="0.25">
      <c r="A260" s="178"/>
      <c r="E260" s="656">
        <v>10</v>
      </c>
      <c r="F260" s="628" t="s">
        <v>101</v>
      </c>
      <c r="G260" s="226">
        <v>2.16</v>
      </c>
      <c r="H260" s="178">
        <v>4192</v>
      </c>
      <c r="I260" s="226">
        <v>3417</v>
      </c>
      <c r="J260" s="226">
        <f t="shared" si="32"/>
        <v>1.7606679389312978</v>
      </c>
      <c r="K260" s="820">
        <f t="shared" si="33"/>
        <v>3.9206679389312979</v>
      </c>
      <c r="L260" s="228">
        <v>1.4</v>
      </c>
      <c r="M260" s="226">
        <f t="shared" si="34"/>
        <v>5.4889351145038168</v>
      </c>
      <c r="N260" s="226">
        <v>6</v>
      </c>
    </row>
    <row r="261" spans="1:14" x14ac:dyDescent="0.25">
      <c r="A261" s="178"/>
      <c r="E261" s="656">
        <v>10</v>
      </c>
      <c r="F261" s="628" t="s">
        <v>101</v>
      </c>
      <c r="G261" s="226">
        <v>2.16</v>
      </c>
      <c r="H261" s="178">
        <v>4192</v>
      </c>
      <c r="I261" s="226">
        <v>3417</v>
      </c>
      <c r="J261" s="226">
        <f t="shared" si="32"/>
        <v>1.7606679389312978</v>
      </c>
      <c r="K261" s="820">
        <f t="shared" si="33"/>
        <v>3.9206679389312979</v>
      </c>
      <c r="L261" s="228">
        <v>1.4</v>
      </c>
      <c r="M261" s="226">
        <f t="shared" si="34"/>
        <v>5.4889351145038168</v>
      </c>
      <c r="N261" s="226">
        <v>6</v>
      </c>
    </row>
    <row r="262" spans="1:14" x14ac:dyDescent="0.25">
      <c r="A262" s="178"/>
      <c r="E262" s="656">
        <v>10</v>
      </c>
      <c r="F262" s="628" t="s">
        <v>101</v>
      </c>
      <c r="G262" s="226">
        <v>2.16</v>
      </c>
      <c r="H262" s="178">
        <v>4192</v>
      </c>
      <c r="I262" s="226">
        <v>3417</v>
      </c>
      <c r="J262" s="226">
        <f t="shared" si="32"/>
        <v>1.7606679389312978</v>
      </c>
      <c r="K262" s="820">
        <f t="shared" si="33"/>
        <v>3.9206679389312979</v>
      </c>
      <c r="L262" s="228">
        <v>1.4</v>
      </c>
      <c r="M262" s="226">
        <f t="shared" si="34"/>
        <v>5.4889351145038168</v>
      </c>
      <c r="N262" s="226">
        <v>6</v>
      </c>
    </row>
    <row r="263" spans="1:14" x14ac:dyDescent="0.25">
      <c r="A263" s="178"/>
      <c r="G263" s="174">
        <f>SUM(G155:G262)</f>
        <v>200.87999999999991</v>
      </c>
      <c r="H263" s="819"/>
      <c r="I263" s="819"/>
      <c r="J263" s="819"/>
      <c r="K263" s="819"/>
      <c r="L263" s="819"/>
      <c r="M263" s="819"/>
      <c r="N263" s="819">
        <f t="shared" ref="N263" si="36">SUM(N155:N262)</f>
        <v>588</v>
      </c>
    </row>
    <row r="264" spans="1:14" x14ac:dyDescent="0.25">
      <c r="A264" s="178"/>
      <c r="G264" s="174"/>
      <c r="L264" s="228"/>
    </row>
    <row r="265" spans="1:14" hidden="1" x14ac:dyDescent="0.25">
      <c r="A265" s="178"/>
      <c r="F265" s="628" t="s">
        <v>31</v>
      </c>
      <c r="G265" s="174">
        <f t="shared" ref="G265:N265" si="37">+G45+G131+G136+G138+G153+G263</f>
        <v>4191.88</v>
      </c>
      <c r="H265" s="819">
        <f t="shared" si="37"/>
        <v>4192</v>
      </c>
      <c r="I265" s="819">
        <f t="shared" si="37"/>
        <v>3417</v>
      </c>
      <c r="J265" s="819">
        <f t="shared" si="37"/>
        <v>12.226860687022901</v>
      </c>
      <c r="K265" s="819">
        <f t="shared" si="37"/>
        <v>27.226860687022899</v>
      </c>
      <c r="L265" s="819">
        <f t="shared" si="37"/>
        <v>1.4</v>
      </c>
      <c r="M265" s="819">
        <f t="shared" si="37"/>
        <v>38.117604961832058</v>
      </c>
      <c r="N265" s="819">
        <f t="shared" si="37"/>
        <v>14258</v>
      </c>
    </row>
    <row r="266" spans="1:14" hidden="1" x14ac:dyDescent="0.25">
      <c r="A266" s="178"/>
      <c r="F266" s="628" t="s">
        <v>71</v>
      </c>
      <c r="G266" s="174">
        <v>270</v>
      </c>
      <c r="L266" s="228"/>
      <c r="N266" s="818">
        <f>+N265/G265</f>
        <v>3.4013378245560464</v>
      </c>
    </row>
    <row r="267" spans="1:14" hidden="1" x14ac:dyDescent="0.25">
      <c r="A267" s="178"/>
      <c r="F267" s="628" t="s">
        <v>2156</v>
      </c>
      <c r="G267" s="174">
        <v>50</v>
      </c>
      <c r="L267" s="228"/>
    </row>
    <row r="268" spans="1:14" hidden="1" x14ac:dyDescent="0.25">
      <c r="A268" s="178"/>
      <c r="F268" s="628" t="s">
        <v>1823</v>
      </c>
      <c r="G268" s="174">
        <f>80+50+20+9+33+11+245/19+586/19+600/19+450/19</f>
        <v>302</v>
      </c>
      <c r="L268" s="228"/>
    </row>
    <row r="269" spans="1:14" hidden="1" x14ac:dyDescent="0.25">
      <c r="A269" s="178"/>
      <c r="F269" s="628" t="s">
        <v>2157</v>
      </c>
      <c r="G269" s="174">
        <v>65</v>
      </c>
      <c r="L269" s="228"/>
    </row>
    <row r="270" spans="1:14" hidden="1" x14ac:dyDescent="0.25">
      <c r="A270" s="178"/>
      <c r="F270" s="628" t="s">
        <v>40</v>
      </c>
      <c r="G270" s="174">
        <v>10</v>
      </c>
      <c r="L270" s="228"/>
      <c r="M270" s="175"/>
      <c r="N270" s="175"/>
    </row>
    <row r="271" spans="1:14" hidden="1" x14ac:dyDescent="0.25">
      <c r="A271" s="178"/>
      <c r="F271" s="628" t="s">
        <v>1149</v>
      </c>
      <c r="G271" s="175">
        <f>50+50+100+50+40+20</f>
        <v>310</v>
      </c>
    </row>
    <row r="272" spans="1:14" hidden="1" x14ac:dyDescent="0.25">
      <c r="A272" s="178"/>
      <c r="G272" s="175">
        <f>SUM(G265:G271)</f>
        <v>5198.88</v>
      </c>
    </row>
    <row r="273" spans="1:14" hidden="1" x14ac:dyDescent="0.25">
      <c r="A273" s="178"/>
      <c r="F273" s="628" t="s">
        <v>2158</v>
      </c>
      <c r="G273" s="175">
        <v>616</v>
      </c>
    </row>
    <row r="274" spans="1:14" x14ac:dyDescent="0.25">
      <c r="A274" s="178"/>
      <c r="G274" s="175">
        <f>85+71</f>
        <v>156</v>
      </c>
      <c r="H274" s="175"/>
      <c r="I274" s="175"/>
      <c r="J274" s="175"/>
      <c r="K274" s="175"/>
      <c r="L274" s="175"/>
      <c r="M274" s="175"/>
      <c r="N274" s="175"/>
    </row>
    <row r="275" spans="1:14" x14ac:dyDescent="0.25">
      <c r="A275" s="178"/>
      <c r="G275" s="226">
        <v>206</v>
      </c>
    </row>
    <row r="276" spans="1:14" x14ac:dyDescent="0.25">
      <c r="C276" s="318"/>
      <c r="G276" s="226">
        <v>75</v>
      </c>
    </row>
    <row r="277" spans="1:14" x14ac:dyDescent="0.25">
      <c r="A277" s="178"/>
      <c r="G277" s="226">
        <f>SUM(G272:G276)</f>
        <v>6251.88</v>
      </c>
      <c r="L277" s="228"/>
    </row>
    <row r="278" spans="1:14" x14ac:dyDescent="0.25">
      <c r="A278" s="178"/>
      <c r="L278" s="228"/>
    </row>
    <row r="279" spans="1:14" x14ac:dyDescent="0.25">
      <c r="A279" s="178"/>
      <c r="F279" s="379" t="s">
        <v>2159</v>
      </c>
      <c r="L279" s="228"/>
    </row>
    <row r="280" spans="1:14" x14ac:dyDescent="0.25">
      <c r="A280" s="178"/>
      <c r="C280" s="654">
        <v>45383</v>
      </c>
      <c r="L280" s="228"/>
    </row>
    <row r="281" spans="1:14" x14ac:dyDescent="0.25">
      <c r="A281" s="178"/>
      <c r="B281" s="225" t="s">
        <v>259</v>
      </c>
      <c r="C281" s="319" t="s">
        <v>1440</v>
      </c>
      <c r="F281" s="628" t="s">
        <v>2316</v>
      </c>
      <c r="G281" s="226">
        <v>27</v>
      </c>
      <c r="H281" s="178">
        <v>872</v>
      </c>
      <c r="I281" s="226">
        <f>872+38+272</f>
        <v>1182</v>
      </c>
      <c r="J281" s="820">
        <f>+G281/H281*I281</f>
        <v>36.598623853211009</v>
      </c>
      <c r="K281" s="820">
        <f>+J281+G281</f>
        <v>63.598623853211009</v>
      </c>
      <c r="L281" s="228">
        <v>0.4</v>
      </c>
      <c r="M281" s="226">
        <f>+K281*1.4</f>
        <v>89.038073394495413</v>
      </c>
      <c r="N281" s="226">
        <v>110</v>
      </c>
    </row>
    <row r="282" spans="1:14" x14ac:dyDescent="0.25">
      <c r="A282" s="178"/>
      <c r="B282" s="225" t="s">
        <v>259</v>
      </c>
      <c r="C282" s="319" t="s">
        <v>1440</v>
      </c>
      <c r="F282" s="628" t="s">
        <v>2316</v>
      </c>
      <c r="G282" s="226">
        <v>27</v>
      </c>
      <c r="H282" s="178">
        <v>872</v>
      </c>
      <c r="I282" s="226">
        <f t="shared" ref="I282:I304" si="38">872+38+272</f>
        <v>1182</v>
      </c>
      <c r="J282" s="820">
        <f t="shared" ref="J282:J304" si="39">+G282/H282*I282</f>
        <v>36.598623853211009</v>
      </c>
      <c r="K282" s="820">
        <f t="shared" ref="K282:K304" si="40">+J282+G282</f>
        <v>63.598623853211009</v>
      </c>
      <c r="L282" s="228">
        <v>0.4</v>
      </c>
      <c r="M282" s="226">
        <f t="shared" ref="M282:M304" si="41">+K282*1.4</f>
        <v>89.038073394495413</v>
      </c>
      <c r="N282" s="226">
        <v>110</v>
      </c>
    </row>
    <row r="283" spans="1:14" x14ac:dyDescent="0.25">
      <c r="A283" s="178"/>
      <c r="B283" s="225" t="s">
        <v>259</v>
      </c>
      <c r="C283" s="319" t="s">
        <v>1440</v>
      </c>
      <c r="F283" s="628" t="s">
        <v>2316</v>
      </c>
      <c r="G283" s="226">
        <v>27</v>
      </c>
      <c r="H283" s="178">
        <v>872</v>
      </c>
      <c r="I283" s="226">
        <f t="shared" si="38"/>
        <v>1182</v>
      </c>
      <c r="J283" s="820">
        <f t="shared" si="39"/>
        <v>36.598623853211009</v>
      </c>
      <c r="K283" s="820">
        <f t="shared" si="40"/>
        <v>63.598623853211009</v>
      </c>
      <c r="L283" s="228">
        <v>0.4</v>
      </c>
      <c r="M283" s="226">
        <f t="shared" si="41"/>
        <v>89.038073394495413</v>
      </c>
      <c r="N283" s="226">
        <v>110</v>
      </c>
    </row>
    <row r="284" spans="1:14" x14ac:dyDescent="0.25">
      <c r="A284" s="178"/>
      <c r="B284" s="225" t="s">
        <v>259</v>
      </c>
      <c r="C284" s="319" t="s">
        <v>1440</v>
      </c>
      <c r="F284" s="628" t="s">
        <v>2316</v>
      </c>
      <c r="G284" s="226">
        <v>27</v>
      </c>
      <c r="H284" s="178">
        <v>872</v>
      </c>
      <c r="I284" s="226">
        <f t="shared" si="38"/>
        <v>1182</v>
      </c>
      <c r="J284" s="820">
        <f t="shared" si="39"/>
        <v>36.598623853211009</v>
      </c>
      <c r="K284" s="820">
        <f t="shared" si="40"/>
        <v>63.598623853211009</v>
      </c>
      <c r="L284" s="228">
        <v>0.4</v>
      </c>
      <c r="M284" s="226">
        <f t="shared" si="41"/>
        <v>89.038073394495413</v>
      </c>
      <c r="N284" s="226">
        <v>110</v>
      </c>
    </row>
    <row r="285" spans="1:14" x14ac:dyDescent="0.25">
      <c r="A285" s="178"/>
      <c r="B285" s="225" t="s">
        <v>259</v>
      </c>
      <c r="C285" s="319" t="s">
        <v>1322</v>
      </c>
      <c r="E285" s="656">
        <v>38</v>
      </c>
      <c r="F285" s="628" t="s">
        <v>2330</v>
      </c>
      <c r="G285" s="226">
        <v>36</v>
      </c>
      <c r="H285" s="178">
        <v>872</v>
      </c>
      <c r="I285" s="226">
        <f t="shared" si="38"/>
        <v>1182</v>
      </c>
      <c r="J285" s="820">
        <f t="shared" si="39"/>
        <v>48.798165137614681</v>
      </c>
      <c r="K285" s="820">
        <f t="shared" si="40"/>
        <v>84.798165137614689</v>
      </c>
      <c r="L285" s="228">
        <v>0.4</v>
      </c>
      <c r="M285" s="226">
        <f t="shared" si="41"/>
        <v>118.71743119266056</v>
      </c>
      <c r="N285" s="226">
        <v>125</v>
      </c>
    </row>
    <row r="286" spans="1:14" x14ac:dyDescent="0.25">
      <c r="A286" s="178"/>
      <c r="B286" s="225" t="s">
        <v>259</v>
      </c>
      <c r="C286" s="319" t="s">
        <v>1322</v>
      </c>
      <c r="E286" s="656">
        <v>40</v>
      </c>
      <c r="F286" s="628" t="s">
        <v>2330</v>
      </c>
      <c r="G286" s="226">
        <v>36</v>
      </c>
      <c r="H286" s="178">
        <v>872</v>
      </c>
      <c r="I286" s="226">
        <f t="shared" si="38"/>
        <v>1182</v>
      </c>
      <c r="J286" s="820">
        <f t="shared" si="39"/>
        <v>48.798165137614681</v>
      </c>
      <c r="K286" s="820">
        <f t="shared" si="40"/>
        <v>84.798165137614689</v>
      </c>
      <c r="L286" s="228">
        <v>0.4</v>
      </c>
      <c r="M286" s="226">
        <f t="shared" si="41"/>
        <v>118.71743119266056</v>
      </c>
      <c r="N286" s="226">
        <v>125</v>
      </c>
    </row>
    <row r="287" spans="1:14" x14ac:dyDescent="0.25">
      <c r="A287" s="178"/>
      <c r="B287" s="225" t="s">
        <v>259</v>
      </c>
      <c r="C287" s="319" t="s">
        <v>1322</v>
      </c>
      <c r="E287" s="656">
        <v>42</v>
      </c>
      <c r="F287" s="628" t="s">
        <v>2330</v>
      </c>
      <c r="G287" s="226">
        <v>36</v>
      </c>
      <c r="H287" s="178">
        <v>872</v>
      </c>
      <c r="I287" s="226">
        <f t="shared" si="38"/>
        <v>1182</v>
      </c>
      <c r="J287" s="820">
        <f t="shared" si="39"/>
        <v>48.798165137614681</v>
      </c>
      <c r="K287" s="820">
        <f t="shared" si="40"/>
        <v>84.798165137614689</v>
      </c>
      <c r="L287" s="228">
        <v>0.4</v>
      </c>
      <c r="M287" s="226">
        <f t="shared" si="41"/>
        <v>118.71743119266056</v>
      </c>
      <c r="N287" s="226">
        <v>125</v>
      </c>
    </row>
    <row r="288" spans="1:14" x14ac:dyDescent="0.25">
      <c r="A288" s="178"/>
      <c r="B288" s="225" t="s">
        <v>259</v>
      </c>
      <c r="C288" s="319" t="s">
        <v>1322</v>
      </c>
      <c r="E288" s="656">
        <v>44</v>
      </c>
      <c r="F288" s="628" t="s">
        <v>2330</v>
      </c>
      <c r="G288" s="226">
        <v>36</v>
      </c>
      <c r="H288" s="178">
        <v>872</v>
      </c>
      <c r="I288" s="226">
        <f t="shared" si="38"/>
        <v>1182</v>
      </c>
      <c r="J288" s="820">
        <f t="shared" si="39"/>
        <v>48.798165137614681</v>
      </c>
      <c r="K288" s="820">
        <f t="shared" si="40"/>
        <v>84.798165137614689</v>
      </c>
      <c r="L288" s="228">
        <v>0.4</v>
      </c>
      <c r="M288" s="226">
        <f t="shared" si="41"/>
        <v>118.71743119266056</v>
      </c>
      <c r="N288" s="226">
        <v>110</v>
      </c>
    </row>
    <row r="289" spans="1:14" x14ac:dyDescent="0.25">
      <c r="A289" s="178"/>
      <c r="B289" s="225" t="s">
        <v>259</v>
      </c>
      <c r="C289" s="319" t="s">
        <v>2317</v>
      </c>
      <c r="E289" s="656">
        <v>42</v>
      </c>
      <c r="F289" s="628" t="s">
        <v>2318</v>
      </c>
      <c r="G289" s="226">
        <v>31</v>
      </c>
      <c r="H289" s="178">
        <v>872</v>
      </c>
      <c r="I289" s="226">
        <f t="shared" si="38"/>
        <v>1182</v>
      </c>
      <c r="J289" s="820">
        <f t="shared" si="39"/>
        <v>42.020642201834868</v>
      </c>
      <c r="K289" s="820">
        <f t="shared" si="40"/>
        <v>73.020642201834875</v>
      </c>
      <c r="L289" s="228">
        <v>0.4</v>
      </c>
      <c r="M289" s="226">
        <f t="shared" si="41"/>
        <v>102.22889908256882</v>
      </c>
      <c r="N289" s="226">
        <v>110</v>
      </c>
    </row>
    <row r="290" spans="1:14" x14ac:dyDescent="0.25">
      <c r="A290" s="178"/>
      <c r="B290" s="225" t="s">
        <v>259</v>
      </c>
      <c r="C290" s="319" t="s">
        <v>2317</v>
      </c>
      <c r="E290" s="656">
        <v>44</v>
      </c>
      <c r="F290" s="628" t="s">
        <v>2318</v>
      </c>
      <c r="G290" s="226">
        <v>31</v>
      </c>
      <c r="H290" s="178">
        <v>872</v>
      </c>
      <c r="I290" s="226">
        <f t="shared" si="38"/>
        <v>1182</v>
      </c>
      <c r="J290" s="820">
        <f t="shared" si="39"/>
        <v>42.020642201834868</v>
      </c>
      <c r="K290" s="820">
        <f t="shared" si="40"/>
        <v>73.020642201834875</v>
      </c>
      <c r="L290" s="228">
        <v>0.4</v>
      </c>
      <c r="M290" s="226">
        <f t="shared" si="41"/>
        <v>102.22889908256882</v>
      </c>
      <c r="N290" s="226">
        <v>110</v>
      </c>
    </row>
    <row r="291" spans="1:14" x14ac:dyDescent="0.25">
      <c r="A291" s="178"/>
      <c r="B291" s="225" t="s">
        <v>259</v>
      </c>
      <c r="C291" s="319" t="s">
        <v>2317</v>
      </c>
      <c r="E291" s="656">
        <v>46</v>
      </c>
      <c r="F291" s="628" t="s">
        <v>2318</v>
      </c>
      <c r="G291" s="226">
        <v>31</v>
      </c>
      <c r="H291" s="178">
        <v>872</v>
      </c>
      <c r="I291" s="226">
        <f t="shared" si="38"/>
        <v>1182</v>
      </c>
      <c r="J291" s="820">
        <f t="shared" si="39"/>
        <v>42.020642201834868</v>
      </c>
      <c r="K291" s="820">
        <f t="shared" si="40"/>
        <v>73.020642201834875</v>
      </c>
      <c r="L291" s="228">
        <v>0.4</v>
      </c>
      <c r="M291" s="226">
        <f t="shared" si="41"/>
        <v>102.22889908256882</v>
      </c>
      <c r="N291" s="226">
        <v>110</v>
      </c>
    </row>
    <row r="292" spans="1:14" x14ac:dyDescent="0.25">
      <c r="A292" s="178"/>
      <c r="B292" s="225" t="s">
        <v>259</v>
      </c>
      <c r="C292" s="319" t="s">
        <v>2317</v>
      </c>
      <c r="E292" s="656">
        <v>48</v>
      </c>
      <c r="F292" s="628" t="s">
        <v>2318</v>
      </c>
      <c r="G292" s="226">
        <v>31</v>
      </c>
      <c r="H292" s="178">
        <v>872</v>
      </c>
      <c r="I292" s="226">
        <f t="shared" si="38"/>
        <v>1182</v>
      </c>
      <c r="J292" s="820">
        <f t="shared" si="39"/>
        <v>42.020642201834868</v>
      </c>
      <c r="K292" s="820">
        <f t="shared" si="40"/>
        <v>73.020642201834875</v>
      </c>
      <c r="L292" s="228">
        <v>0.4</v>
      </c>
      <c r="M292" s="226">
        <f t="shared" si="41"/>
        <v>102.22889908256882</v>
      </c>
      <c r="N292" s="226">
        <v>110</v>
      </c>
    </row>
    <row r="293" spans="1:14" x14ac:dyDescent="0.25">
      <c r="A293" s="178"/>
      <c r="B293" s="225" t="s">
        <v>259</v>
      </c>
      <c r="C293" s="319" t="s">
        <v>2320</v>
      </c>
      <c r="E293" s="656">
        <v>36</v>
      </c>
      <c r="F293" s="628" t="s">
        <v>2319</v>
      </c>
      <c r="G293" s="226">
        <v>45</v>
      </c>
      <c r="H293" s="178">
        <v>872</v>
      </c>
      <c r="I293" s="226">
        <f t="shared" si="38"/>
        <v>1182</v>
      </c>
      <c r="J293" s="820">
        <f t="shared" si="39"/>
        <v>60.997706422018354</v>
      </c>
      <c r="K293" s="820">
        <f t="shared" si="40"/>
        <v>105.99770642201835</v>
      </c>
      <c r="L293" s="228">
        <v>0.4</v>
      </c>
      <c r="M293" s="226">
        <f t="shared" si="41"/>
        <v>148.39678899082568</v>
      </c>
      <c r="N293" s="226">
        <v>150</v>
      </c>
    </row>
    <row r="294" spans="1:14" x14ac:dyDescent="0.25">
      <c r="A294" s="178"/>
      <c r="B294" s="225" t="s">
        <v>259</v>
      </c>
      <c r="C294" s="319" t="s">
        <v>2320</v>
      </c>
      <c r="E294" s="656">
        <v>38</v>
      </c>
      <c r="F294" s="628" t="s">
        <v>2319</v>
      </c>
      <c r="G294" s="226">
        <v>45</v>
      </c>
      <c r="H294" s="178">
        <v>872</v>
      </c>
      <c r="I294" s="226">
        <f t="shared" si="38"/>
        <v>1182</v>
      </c>
      <c r="J294" s="820">
        <f t="shared" si="39"/>
        <v>60.997706422018354</v>
      </c>
      <c r="K294" s="820">
        <f t="shared" si="40"/>
        <v>105.99770642201835</v>
      </c>
      <c r="L294" s="228">
        <v>0.4</v>
      </c>
      <c r="M294" s="226">
        <f t="shared" si="41"/>
        <v>148.39678899082568</v>
      </c>
      <c r="N294" s="226">
        <v>150</v>
      </c>
    </row>
    <row r="295" spans="1:14" x14ac:dyDescent="0.25">
      <c r="A295" s="178"/>
      <c r="B295" s="225" t="s">
        <v>259</v>
      </c>
      <c r="C295" s="319" t="s">
        <v>2320</v>
      </c>
      <c r="E295" s="656">
        <v>40</v>
      </c>
      <c r="F295" s="628" t="s">
        <v>2319</v>
      </c>
      <c r="G295" s="226">
        <v>45</v>
      </c>
      <c r="H295" s="178">
        <v>872</v>
      </c>
      <c r="I295" s="226">
        <f t="shared" si="38"/>
        <v>1182</v>
      </c>
      <c r="J295" s="820">
        <f t="shared" si="39"/>
        <v>60.997706422018354</v>
      </c>
      <c r="K295" s="820">
        <f t="shared" si="40"/>
        <v>105.99770642201835</v>
      </c>
      <c r="L295" s="228">
        <v>0.4</v>
      </c>
      <c r="M295" s="226">
        <f t="shared" si="41"/>
        <v>148.39678899082568</v>
      </c>
      <c r="N295" s="226">
        <v>150</v>
      </c>
    </row>
    <row r="296" spans="1:14" x14ac:dyDescent="0.25">
      <c r="A296" s="178"/>
      <c r="B296" s="225" t="s">
        <v>259</v>
      </c>
      <c r="C296" s="319" t="s">
        <v>2320</v>
      </c>
      <c r="E296" s="656">
        <v>42</v>
      </c>
      <c r="F296" s="628" t="s">
        <v>2319</v>
      </c>
      <c r="G296" s="226">
        <v>45</v>
      </c>
      <c r="H296" s="178">
        <v>872</v>
      </c>
      <c r="I296" s="226">
        <f t="shared" si="38"/>
        <v>1182</v>
      </c>
      <c r="J296" s="820">
        <f t="shared" si="39"/>
        <v>60.997706422018354</v>
      </c>
      <c r="K296" s="820">
        <f t="shared" si="40"/>
        <v>105.99770642201835</v>
      </c>
      <c r="L296" s="228">
        <v>0.4</v>
      </c>
      <c r="M296" s="226">
        <f t="shared" si="41"/>
        <v>148.39678899082568</v>
      </c>
      <c r="N296" s="226">
        <v>150</v>
      </c>
    </row>
    <row r="297" spans="1:14" x14ac:dyDescent="0.25">
      <c r="A297" s="178"/>
      <c r="B297" s="225" t="s">
        <v>259</v>
      </c>
      <c r="C297" s="319" t="s">
        <v>2321</v>
      </c>
      <c r="E297" s="656">
        <v>42</v>
      </c>
      <c r="F297" s="628" t="s">
        <v>2322</v>
      </c>
      <c r="G297" s="226">
        <v>32</v>
      </c>
      <c r="H297" s="178">
        <v>872</v>
      </c>
      <c r="I297" s="226">
        <f t="shared" si="38"/>
        <v>1182</v>
      </c>
      <c r="J297" s="820">
        <f t="shared" si="39"/>
        <v>43.37614678899083</v>
      </c>
      <c r="K297" s="820">
        <f t="shared" si="40"/>
        <v>75.376146788990837</v>
      </c>
      <c r="L297" s="228">
        <v>0.4</v>
      </c>
      <c r="M297" s="226">
        <f t="shared" si="41"/>
        <v>105.52660550458717</v>
      </c>
      <c r="N297" s="226">
        <v>110</v>
      </c>
    </row>
    <row r="298" spans="1:14" x14ac:dyDescent="0.25">
      <c r="A298" s="178"/>
      <c r="B298" s="225" t="s">
        <v>259</v>
      </c>
      <c r="C298" s="319" t="s">
        <v>2321</v>
      </c>
      <c r="E298" s="656">
        <v>44</v>
      </c>
      <c r="F298" s="628" t="s">
        <v>2322</v>
      </c>
      <c r="G298" s="226">
        <v>32</v>
      </c>
      <c r="H298" s="178">
        <v>872</v>
      </c>
      <c r="I298" s="226">
        <f t="shared" si="38"/>
        <v>1182</v>
      </c>
      <c r="J298" s="820">
        <f t="shared" si="39"/>
        <v>43.37614678899083</v>
      </c>
      <c r="K298" s="820">
        <f t="shared" si="40"/>
        <v>75.376146788990837</v>
      </c>
      <c r="L298" s="228">
        <v>0.4</v>
      </c>
      <c r="M298" s="226">
        <f t="shared" si="41"/>
        <v>105.52660550458717</v>
      </c>
      <c r="N298" s="226">
        <v>110</v>
      </c>
    </row>
    <row r="299" spans="1:14" x14ac:dyDescent="0.25">
      <c r="A299" s="178"/>
      <c r="B299" s="225" t="s">
        <v>259</v>
      </c>
      <c r="C299" s="319" t="s">
        <v>2321</v>
      </c>
      <c r="E299" s="656">
        <v>46</v>
      </c>
      <c r="F299" s="628" t="s">
        <v>2322</v>
      </c>
      <c r="G299" s="226">
        <v>32</v>
      </c>
      <c r="H299" s="178">
        <v>872</v>
      </c>
      <c r="I299" s="226">
        <f t="shared" si="38"/>
        <v>1182</v>
      </c>
      <c r="J299" s="820">
        <f t="shared" si="39"/>
        <v>43.37614678899083</v>
      </c>
      <c r="K299" s="820">
        <f t="shared" si="40"/>
        <v>75.376146788990837</v>
      </c>
      <c r="L299" s="228">
        <v>0.4</v>
      </c>
      <c r="M299" s="226">
        <f t="shared" si="41"/>
        <v>105.52660550458717</v>
      </c>
      <c r="N299" s="226">
        <v>110</v>
      </c>
    </row>
    <row r="300" spans="1:14" x14ac:dyDescent="0.25">
      <c r="A300" s="178"/>
      <c r="B300" s="225" t="s">
        <v>259</v>
      </c>
      <c r="C300" s="319" t="s">
        <v>2321</v>
      </c>
      <c r="E300" s="656">
        <v>48</v>
      </c>
      <c r="F300" s="628" t="s">
        <v>2322</v>
      </c>
      <c r="G300" s="226">
        <v>32</v>
      </c>
      <c r="H300" s="178">
        <v>872</v>
      </c>
      <c r="I300" s="226">
        <f t="shared" si="38"/>
        <v>1182</v>
      </c>
      <c r="J300" s="820">
        <f t="shared" si="39"/>
        <v>43.37614678899083</v>
      </c>
      <c r="K300" s="820">
        <f t="shared" si="40"/>
        <v>75.376146788990837</v>
      </c>
      <c r="L300" s="228">
        <v>0.4</v>
      </c>
      <c r="M300" s="226">
        <f t="shared" si="41"/>
        <v>105.52660550458717</v>
      </c>
      <c r="N300" s="226">
        <v>110</v>
      </c>
    </row>
    <row r="301" spans="1:14" x14ac:dyDescent="0.25">
      <c r="A301" s="178"/>
      <c r="B301" s="225" t="s">
        <v>259</v>
      </c>
      <c r="C301" s="319" t="s">
        <v>223</v>
      </c>
      <c r="E301" s="656">
        <v>50</v>
      </c>
      <c r="F301" s="628" t="s">
        <v>2323</v>
      </c>
      <c r="G301" s="226">
        <v>47</v>
      </c>
      <c r="H301" s="178">
        <v>872</v>
      </c>
      <c r="I301" s="226">
        <f t="shared" si="38"/>
        <v>1182</v>
      </c>
      <c r="J301" s="820">
        <f t="shared" si="39"/>
        <v>63.708715596330279</v>
      </c>
      <c r="K301" s="820">
        <f t="shared" si="40"/>
        <v>110.70871559633028</v>
      </c>
      <c r="L301" s="228">
        <v>0.4</v>
      </c>
      <c r="M301" s="226">
        <f t="shared" si="41"/>
        <v>154.99220183486239</v>
      </c>
      <c r="N301" s="226">
        <v>150</v>
      </c>
    </row>
    <row r="302" spans="1:14" x14ac:dyDescent="0.25">
      <c r="A302" s="178"/>
      <c r="B302" s="225" t="s">
        <v>259</v>
      </c>
      <c r="C302" s="319" t="s">
        <v>223</v>
      </c>
      <c r="E302" s="656">
        <v>52</v>
      </c>
      <c r="F302" s="628" t="s">
        <v>2323</v>
      </c>
      <c r="G302" s="226">
        <v>47</v>
      </c>
      <c r="H302" s="178">
        <v>872</v>
      </c>
      <c r="I302" s="226">
        <f t="shared" si="38"/>
        <v>1182</v>
      </c>
      <c r="J302" s="820">
        <f t="shared" si="39"/>
        <v>63.708715596330279</v>
      </c>
      <c r="K302" s="820">
        <f t="shared" si="40"/>
        <v>110.70871559633028</v>
      </c>
      <c r="L302" s="228">
        <v>0.4</v>
      </c>
      <c r="M302" s="226">
        <f t="shared" si="41"/>
        <v>154.99220183486239</v>
      </c>
      <c r="N302" s="226">
        <v>150</v>
      </c>
    </row>
    <row r="303" spans="1:14" x14ac:dyDescent="0.25">
      <c r="A303" s="178"/>
      <c r="B303" s="225" t="s">
        <v>259</v>
      </c>
      <c r="C303" s="319" t="s">
        <v>223</v>
      </c>
      <c r="E303" s="656">
        <v>54</v>
      </c>
      <c r="F303" s="628" t="s">
        <v>2323</v>
      </c>
      <c r="G303" s="226">
        <v>47</v>
      </c>
      <c r="H303" s="178">
        <v>872</v>
      </c>
      <c r="I303" s="226">
        <f t="shared" si="38"/>
        <v>1182</v>
      </c>
      <c r="J303" s="820">
        <f t="shared" si="39"/>
        <v>63.708715596330279</v>
      </c>
      <c r="K303" s="820">
        <f t="shared" si="40"/>
        <v>110.70871559633028</v>
      </c>
      <c r="L303" s="228">
        <v>0.4</v>
      </c>
      <c r="M303" s="226">
        <f t="shared" si="41"/>
        <v>154.99220183486239</v>
      </c>
      <c r="N303" s="226">
        <v>150</v>
      </c>
    </row>
    <row r="304" spans="1:14" x14ac:dyDescent="0.25">
      <c r="A304" s="178"/>
      <c r="B304" s="225" t="s">
        <v>259</v>
      </c>
      <c r="C304" s="319" t="s">
        <v>223</v>
      </c>
      <c r="E304" s="656">
        <v>56</v>
      </c>
      <c r="F304" s="628" t="s">
        <v>2323</v>
      </c>
      <c r="G304" s="226">
        <v>47</v>
      </c>
      <c r="H304" s="178">
        <v>872</v>
      </c>
      <c r="I304" s="226">
        <f t="shared" si="38"/>
        <v>1182</v>
      </c>
      <c r="J304" s="820">
        <f t="shared" si="39"/>
        <v>63.708715596330279</v>
      </c>
      <c r="K304" s="820">
        <f t="shared" si="40"/>
        <v>110.70871559633028</v>
      </c>
      <c r="L304" s="228">
        <v>0.4</v>
      </c>
      <c r="M304" s="226">
        <f t="shared" si="41"/>
        <v>154.99220183486239</v>
      </c>
      <c r="N304" s="226">
        <v>150</v>
      </c>
    </row>
    <row r="305" spans="1:14" x14ac:dyDescent="0.25">
      <c r="A305" s="178"/>
      <c r="H305" s="226"/>
      <c r="L305" s="226"/>
    </row>
    <row r="306" spans="1:14" x14ac:dyDescent="0.25">
      <c r="A306" s="178"/>
      <c r="L306" s="228"/>
      <c r="N306" s="820"/>
    </row>
    <row r="307" spans="1:14" x14ac:dyDescent="0.25">
      <c r="A307" s="178"/>
      <c r="B307" s="653">
        <v>45413</v>
      </c>
      <c r="L307" s="228"/>
    </row>
    <row r="308" spans="1:14" x14ac:dyDescent="0.25">
      <c r="A308" s="178"/>
      <c r="B308" s="628" t="s">
        <v>1243</v>
      </c>
      <c r="C308" s="628" t="s">
        <v>1243</v>
      </c>
      <c r="E308" s="656">
        <v>42</v>
      </c>
      <c r="F308" s="628" t="s">
        <v>2160</v>
      </c>
      <c r="G308" s="226">
        <v>55</v>
      </c>
      <c r="H308" s="226">
        <f>825+725*0.045</f>
        <v>857.625</v>
      </c>
      <c r="I308" s="226">
        <v>370</v>
      </c>
      <c r="J308" s="226">
        <f>+G308/H308*I308</f>
        <v>23.728319486955254</v>
      </c>
      <c r="K308" s="226">
        <f>+J308+G308</f>
        <v>78.728319486955257</v>
      </c>
      <c r="L308" s="228">
        <v>0.4</v>
      </c>
      <c r="M308" s="226">
        <f>+K308*1.4</f>
        <v>110.21964728173735</v>
      </c>
      <c r="N308" s="226">
        <v>150</v>
      </c>
    </row>
    <row r="309" spans="1:14" x14ac:dyDescent="0.25">
      <c r="A309" s="178"/>
      <c r="B309" s="628" t="s">
        <v>1243</v>
      </c>
      <c r="C309" s="628" t="s">
        <v>1243</v>
      </c>
      <c r="E309" s="656">
        <v>44</v>
      </c>
      <c r="F309" s="628" t="s">
        <v>2160</v>
      </c>
      <c r="G309" s="226">
        <v>55</v>
      </c>
      <c r="H309" s="226">
        <f t="shared" ref="H309:H322" si="42">825+725*0.045</f>
        <v>857.625</v>
      </c>
      <c r="I309" s="226">
        <v>370</v>
      </c>
      <c r="J309" s="226">
        <f t="shared" ref="J309:J322" si="43">+G309/H309*I309</f>
        <v>23.728319486955254</v>
      </c>
      <c r="K309" s="226">
        <f t="shared" ref="K309:K322" si="44">+J309+G309</f>
        <v>78.728319486955257</v>
      </c>
      <c r="L309" s="228">
        <v>0.4</v>
      </c>
      <c r="M309" s="226">
        <f t="shared" ref="M309:M323" si="45">+K309*1.4</f>
        <v>110.21964728173735</v>
      </c>
      <c r="N309" s="226">
        <v>150</v>
      </c>
    </row>
    <row r="310" spans="1:14" x14ac:dyDescent="0.25">
      <c r="A310" s="178"/>
      <c r="B310" s="628" t="s">
        <v>1243</v>
      </c>
      <c r="C310" s="628" t="s">
        <v>1243</v>
      </c>
      <c r="E310" s="656">
        <v>46</v>
      </c>
      <c r="F310" s="628" t="s">
        <v>2160</v>
      </c>
      <c r="G310" s="226">
        <v>55</v>
      </c>
      <c r="H310" s="226">
        <f t="shared" si="42"/>
        <v>857.625</v>
      </c>
      <c r="I310" s="226">
        <v>370</v>
      </c>
      <c r="J310" s="226">
        <f t="shared" si="43"/>
        <v>23.728319486955254</v>
      </c>
      <c r="K310" s="226">
        <f t="shared" si="44"/>
        <v>78.728319486955257</v>
      </c>
      <c r="L310" s="228">
        <v>0.4</v>
      </c>
      <c r="M310" s="226">
        <f t="shared" si="45"/>
        <v>110.21964728173735</v>
      </c>
      <c r="N310" s="226">
        <v>150</v>
      </c>
    </row>
    <row r="311" spans="1:14" x14ac:dyDescent="0.25">
      <c r="A311" s="178"/>
      <c r="B311" s="628" t="s">
        <v>1243</v>
      </c>
      <c r="C311" s="628" t="s">
        <v>1243</v>
      </c>
      <c r="E311" s="656">
        <v>48</v>
      </c>
      <c r="F311" s="628" t="s">
        <v>2160</v>
      </c>
      <c r="G311" s="226">
        <v>55</v>
      </c>
      <c r="H311" s="226">
        <f t="shared" si="42"/>
        <v>857.625</v>
      </c>
      <c r="I311" s="226">
        <v>370</v>
      </c>
      <c r="J311" s="226">
        <f t="shared" si="43"/>
        <v>23.728319486955254</v>
      </c>
      <c r="K311" s="226">
        <f t="shared" si="44"/>
        <v>78.728319486955257</v>
      </c>
      <c r="L311" s="228">
        <v>0.4</v>
      </c>
      <c r="M311" s="226">
        <f t="shared" si="45"/>
        <v>110.21964728173735</v>
      </c>
      <c r="N311" s="226">
        <v>150</v>
      </c>
    </row>
    <row r="312" spans="1:14" x14ac:dyDescent="0.25">
      <c r="A312" s="178"/>
      <c r="B312" s="628" t="s">
        <v>1243</v>
      </c>
      <c r="C312" s="628" t="s">
        <v>1243</v>
      </c>
      <c r="E312" s="656">
        <v>50</v>
      </c>
      <c r="F312" s="628" t="s">
        <v>2160</v>
      </c>
      <c r="G312" s="226">
        <v>55</v>
      </c>
      <c r="H312" s="226">
        <f t="shared" si="42"/>
        <v>857.625</v>
      </c>
      <c r="I312" s="226">
        <v>370</v>
      </c>
      <c r="J312" s="226">
        <f t="shared" si="43"/>
        <v>23.728319486955254</v>
      </c>
      <c r="K312" s="226">
        <f t="shared" si="44"/>
        <v>78.728319486955257</v>
      </c>
      <c r="L312" s="228">
        <v>0.4</v>
      </c>
      <c r="M312" s="226">
        <f t="shared" si="45"/>
        <v>110.21964728173735</v>
      </c>
      <c r="N312" s="226">
        <v>150</v>
      </c>
    </row>
    <row r="313" spans="1:14" x14ac:dyDescent="0.25">
      <c r="A313" s="178"/>
      <c r="B313" s="628" t="s">
        <v>1243</v>
      </c>
      <c r="C313" s="628" t="s">
        <v>1243</v>
      </c>
      <c r="E313" s="656">
        <v>38</v>
      </c>
      <c r="F313" s="628" t="s">
        <v>2483</v>
      </c>
      <c r="G313" s="226">
        <v>55</v>
      </c>
      <c r="H313" s="226">
        <f t="shared" si="42"/>
        <v>857.625</v>
      </c>
      <c r="I313" s="226">
        <v>370</v>
      </c>
      <c r="J313" s="226">
        <f t="shared" si="43"/>
        <v>23.728319486955254</v>
      </c>
      <c r="K313" s="226">
        <f t="shared" si="44"/>
        <v>78.728319486955257</v>
      </c>
      <c r="L313" s="228">
        <v>0.4</v>
      </c>
      <c r="M313" s="226">
        <f t="shared" si="45"/>
        <v>110.21964728173735</v>
      </c>
      <c r="N313" s="226">
        <v>150</v>
      </c>
    </row>
    <row r="314" spans="1:14" x14ac:dyDescent="0.25">
      <c r="A314" s="178"/>
      <c r="B314" s="628" t="s">
        <v>1243</v>
      </c>
      <c r="C314" s="628" t="s">
        <v>1243</v>
      </c>
      <c r="E314" s="656">
        <v>40</v>
      </c>
      <c r="F314" s="628" t="s">
        <v>2483</v>
      </c>
      <c r="G314" s="226">
        <v>55</v>
      </c>
      <c r="H314" s="226">
        <f t="shared" si="42"/>
        <v>857.625</v>
      </c>
      <c r="I314" s="226">
        <v>370</v>
      </c>
      <c r="J314" s="226">
        <f t="shared" si="43"/>
        <v>23.728319486955254</v>
      </c>
      <c r="K314" s="226">
        <f t="shared" si="44"/>
        <v>78.728319486955257</v>
      </c>
      <c r="L314" s="228">
        <v>0.4</v>
      </c>
      <c r="M314" s="226">
        <f t="shared" si="45"/>
        <v>110.21964728173735</v>
      </c>
      <c r="N314" s="226">
        <v>150</v>
      </c>
    </row>
    <row r="315" spans="1:14" x14ac:dyDescent="0.25">
      <c r="A315" s="178"/>
      <c r="B315" s="628" t="s">
        <v>1243</v>
      </c>
      <c r="C315" s="628" t="s">
        <v>1243</v>
      </c>
      <c r="E315" s="656">
        <v>42</v>
      </c>
      <c r="F315" s="628" t="s">
        <v>2483</v>
      </c>
      <c r="G315" s="226">
        <v>55</v>
      </c>
      <c r="H315" s="226">
        <f t="shared" si="42"/>
        <v>857.625</v>
      </c>
      <c r="I315" s="226">
        <v>370</v>
      </c>
      <c r="J315" s="226">
        <f t="shared" si="43"/>
        <v>23.728319486955254</v>
      </c>
      <c r="K315" s="226">
        <f t="shared" si="44"/>
        <v>78.728319486955257</v>
      </c>
      <c r="L315" s="228">
        <v>0.4</v>
      </c>
      <c r="M315" s="226">
        <f t="shared" si="45"/>
        <v>110.21964728173735</v>
      </c>
      <c r="N315" s="226">
        <v>150</v>
      </c>
    </row>
    <row r="316" spans="1:14" x14ac:dyDescent="0.25">
      <c r="A316" s="178"/>
      <c r="B316" s="628" t="s">
        <v>1243</v>
      </c>
      <c r="C316" s="628" t="s">
        <v>1243</v>
      </c>
      <c r="E316" s="656">
        <v>44</v>
      </c>
      <c r="F316" s="628" t="s">
        <v>2483</v>
      </c>
      <c r="G316" s="226">
        <v>55</v>
      </c>
      <c r="H316" s="226">
        <f t="shared" si="42"/>
        <v>857.625</v>
      </c>
      <c r="I316" s="226">
        <v>370</v>
      </c>
      <c r="J316" s="226">
        <f t="shared" si="43"/>
        <v>23.728319486955254</v>
      </c>
      <c r="K316" s="226">
        <f t="shared" si="44"/>
        <v>78.728319486955257</v>
      </c>
      <c r="L316" s="228">
        <v>0.4</v>
      </c>
      <c r="M316" s="226">
        <f t="shared" si="45"/>
        <v>110.21964728173735</v>
      </c>
      <c r="N316" s="226">
        <v>150</v>
      </c>
    </row>
    <row r="317" spans="1:14" x14ac:dyDescent="0.25">
      <c r="A317" s="178"/>
      <c r="B317" s="628" t="s">
        <v>1243</v>
      </c>
      <c r="C317" s="628" t="s">
        <v>1243</v>
      </c>
      <c r="E317" s="656">
        <v>46</v>
      </c>
      <c r="F317" s="628" t="s">
        <v>2483</v>
      </c>
      <c r="G317" s="226">
        <v>55</v>
      </c>
      <c r="H317" s="226">
        <f t="shared" si="42"/>
        <v>857.625</v>
      </c>
      <c r="I317" s="226">
        <v>370</v>
      </c>
      <c r="J317" s="226">
        <f t="shared" si="43"/>
        <v>23.728319486955254</v>
      </c>
      <c r="K317" s="226">
        <f t="shared" si="44"/>
        <v>78.728319486955257</v>
      </c>
      <c r="L317" s="228">
        <v>0.4</v>
      </c>
      <c r="M317" s="226">
        <f t="shared" si="45"/>
        <v>110.21964728173735</v>
      </c>
      <c r="N317" s="226">
        <v>150</v>
      </c>
    </row>
    <row r="318" spans="1:14" x14ac:dyDescent="0.25">
      <c r="A318" s="178"/>
      <c r="B318" s="628" t="s">
        <v>1243</v>
      </c>
      <c r="C318" s="628" t="s">
        <v>1243</v>
      </c>
      <c r="E318" s="656">
        <v>38</v>
      </c>
      <c r="F318" s="628" t="s">
        <v>2484</v>
      </c>
      <c r="G318" s="226">
        <v>55</v>
      </c>
      <c r="H318" s="226">
        <f t="shared" si="42"/>
        <v>857.625</v>
      </c>
      <c r="I318" s="226">
        <v>370</v>
      </c>
      <c r="J318" s="226">
        <f t="shared" si="43"/>
        <v>23.728319486955254</v>
      </c>
      <c r="K318" s="226">
        <f t="shared" si="44"/>
        <v>78.728319486955257</v>
      </c>
      <c r="L318" s="228">
        <v>0.4</v>
      </c>
      <c r="M318" s="226">
        <f t="shared" si="45"/>
        <v>110.21964728173735</v>
      </c>
      <c r="N318" s="226">
        <v>150</v>
      </c>
    </row>
    <row r="319" spans="1:14" x14ac:dyDescent="0.25">
      <c r="A319" s="178"/>
      <c r="B319" s="628" t="s">
        <v>1243</v>
      </c>
      <c r="C319" s="628" t="s">
        <v>1243</v>
      </c>
      <c r="E319" s="656">
        <v>40</v>
      </c>
      <c r="F319" s="628" t="s">
        <v>2484</v>
      </c>
      <c r="G319" s="226">
        <v>55</v>
      </c>
      <c r="H319" s="226">
        <f t="shared" si="42"/>
        <v>857.625</v>
      </c>
      <c r="I319" s="226">
        <v>370</v>
      </c>
      <c r="J319" s="226">
        <f t="shared" si="43"/>
        <v>23.728319486955254</v>
      </c>
      <c r="K319" s="226">
        <f t="shared" si="44"/>
        <v>78.728319486955257</v>
      </c>
      <c r="L319" s="228">
        <v>0.4</v>
      </c>
      <c r="M319" s="226">
        <f t="shared" si="45"/>
        <v>110.21964728173735</v>
      </c>
      <c r="N319" s="226">
        <v>150</v>
      </c>
    </row>
    <row r="320" spans="1:14" x14ac:dyDescent="0.25">
      <c r="A320" s="178"/>
      <c r="B320" s="628" t="s">
        <v>1243</v>
      </c>
      <c r="C320" s="628" t="s">
        <v>1243</v>
      </c>
      <c r="E320" s="656">
        <v>42</v>
      </c>
      <c r="F320" s="628" t="s">
        <v>2484</v>
      </c>
      <c r="G320" s="226">
        <v>55</v>
      </c>
      <c r="H320" s="226">
        <f t="shared" si="42"/>
        <v>857.625</v>
      </c>
      <c r="I320" s="226">
        <v>370</v>
      </c>
      <c r="J320" s="226">
        <f t="shared" si="43"/>
        <v>23.728319486955254</v>
      </c>
      <c r="K320" s="226">
        <f t="shared" si="44"/>
        <v>78.728319486955257</v>
      </c>
      <c r="L320" s="228">
        <v>0.4</v>
      </c>
      <c r="M320" s="226">
        <f t="shared" si="45"/>
        <v>110.21964728173735</v>
      </c>
      <c r="N320" s="226">
        <v>150</v>
      </c>
    </row>
    <row r="321" spans="1:20" x14ac:dyDescent="0.25">
      <c r="A321" s="178"/>
      <c r="B321" s="628" t="s">
        <v>1243</v>
      </c>
      <c r="C321" s="628" t="s">
        <v>1243</v>
      </c>
      <c r="E321" s="656">
        <v>44</v>
      </c>
      <c r="F321" s="628" t="s">
        <v>2484</v>
      </c>
      <c r="G321" s="226">
        <v>55</v>
      </c>
      <c r="H321" s="226">
        <f t="shared" si="42"/>
        <v>857.625</v>
      </c>
      <c r="I321" s="226">
        <v>370</v>
      </c>
      <c r="J321" s="226">
        <f t="shared" si="43"/>
        <v>23.728319486955254</v>
      </c>
      <c r="K321" s="226">
        <f t="shared" si="44"/>
        <v>78.728319486955257</v>
      </c>
      <c r="L321" s="228">
        <v>0.4</v>
      </c>
      <c r="M321" s="226">
        <f t="shared" si="45"/>
        <v>110.21964728173735</v>
      </c>
      <c r="N321" s="226">
        <v>150</v>
      </c>
    </row>
    <row r="322" spans="1:20" x14ac:dyDescent="0.25">
      <c r="A322" s="178"/>
      <c r="B322" s="628" t="s">
        <v>1243</v>
      </c>
      <c r="C322" s="628" t="s">
        <v>1243</v>
      </c>
      <c r="E322" s="656">
        <v>46</v>
      </c>
      <c r="F322" s="628" t="s">
        <v>2484</v>
      </c>
      <c r="G322" s="226">
        <v>55</v>
      </c>
      <c r="H322" s="226">
        <f t="shared" si="42"/>
        <v>857.625</v>
      </c>
      <c r="I322" s="226">
        <v>370</v>
      </c>
      <c r="J322" s="226">
        <f t="shared" si="43"/>
        <v>23.728319486955254</v>
      </c>
      <c r="K322" s="226">
        <f t="shared" si="44"/>
        <v>78.728319486955257</v>
      </c>
      <c r="L322" s="228">
        <v>0.4</v>
      </c>
      <c r="M322" s="226">
        <f t="shared" si="45"/>
        <v>110.21964728173735</v>
      </c>
      <c r="N322" s="226">
        <v>150</v>
      </c>
    </row>
    <row r="323" spans="1:20" x14ac:dyDescent="0.25">
      <c r="A323" s="178"/>
      <c r="B323" s="225" t="s">
        <v>18</v>
      </c>
      <c r="C323" s="225" t="s">
        <v>18</v>
      </c>
      <c r="E323" s="656">
        <v>52</v>
      </c>
      <c r="F323" s="628" t="s">
        <v>2161</v>
      </c>
      <c r="G323" s="226">
        <v>40</v>
      </c>
      <c r="L323" s="228"/>
      <c r="M323" s="226">
        <f t="shared" si="45"/>
        <v>0</v>
      </c>
      <c r="N323" s="226">
        <v>125</v>
      </c>
    </row>
    <row r="324" spans="1:20" x14ac:dyDescent="0.25">
      <c r="A324" s="178"/>
      <c r="B324" s="225" t="s">
        <v>18</v>
      </c>
      <c r="C324" s="225" t="s">
        <v>18</v>
      </c>
      <c r="E324" s="656">
        <v>54</v>
      </c>
      <c r="F324" s="628" t="s">
        <v>2161</v>
      </c>
      <c r="G324" s="226">
        <v>40</v>
      </c>
      <c r="L324" s="228"/>
      <c r="N324" s="226">
        <v>125</v>
      </c>
    </row>
    <row r="325" spans="1:20" x14ac:dyDescent="0.25">
      <c r="A325" s="178"/>
      <c r="B325" s="225" t="s">
        <v>18</v>
      </c>
      <c r="C325" s="225" t="s">
        <v>18</v>
      </c>
      <c r="E325" s="656">
        <v>56</v>
      </c>
      <c r="F325" s="628" t="s">
        <v>2161</v>
      </c>
      <c r="G325" s="226">
        <v>40</v>
      </c>
      <c r="L325" s="228"/>
      <c r="N325" s="226">
        <v>125</v>
      </c>
    </row>
    <row r="326" spans="1:20" x14ac:dyDescent="0.25">
      <c r="A326" s="178"/>
      <c r="B326" s="225" t="s">
        <v>18</v>
      </c>
      <c r="C326" s="225" t="s">
        <v>18</v>
      </c>
      <c r="E326" s="656">
        <v>58</v>
      </c>
      <c r="F326" s="628" t="s">
        <v>2161</v>
      </c>
      <c r="G326" s="226">
        <v>40</v>
      </c>
      <c r="L326" s="228"/>
      <c r="N326" s="226">
        <v>125</v>
      </c>
    </row>
    <row r="327" spans="1:20" x14ac:dyDescent="0.25">
      <c r="A327" s="178"/>
      <c r="B327" s="225" t="s">
        <v>18</v>
      </c>
      <c r="C327" s="225" t="s">
        <v>18</v>
      </c>
      <c r="E327" s="656">
        <v>52</v>
      </c>
      <c r="F327" s="628" t="s">
        <v>1421</v>
      </c>
      <c r="G327" s="226">
        <v>40</v>
      </c>
      <c r="L327" s="228"/>
      <c r="N327" s="226">
        <v>125</v>
      </c>
    </row>
    <row r="328" spans="1:20" x14ac:dyDescent="0.25">
      <c r="A328" s="178"/>
      <c r="B328" s="225" t="s">
        <v>18</v>
      </c>
      <c r="C328" s="225" t="s">
        <v>18</v>
      </c>
      <c r="E328" s="656">
        <v>54</v>
      </c>
      <c r="F328" s="628" t="s">
        <v>1421</v>
      </c>
      <c r="G328" s="226">
        <v>40</v>
      </c>
      <c r="L328" s="228"/>
      <c r="N328" s="226">
        <v>125</v>
      </c>
    </row>
    <row r="329" spans="1:20" x14ac:dyDescent="0.25">
      <c r="A329" s="178"/>
      <c r="B329" s="225" t="s">
        <v>18</v>
      </c>
      <c r="C329" s="225" t="s">
        <v>18</v>
      </c>
      <c r="E329" s="656">
        <v>56</v>
      </c>
      <c r="F329" s="628" t="s">
        <v>1421</v>
      </c>
      <c r="G329" s="226">
        <v>40</v>
      </c>
      <c r="L329" s="228"/>
      <c r="N329" s="226">
        <v>125</v>
      </c>
    </row>
    <row r="330" spans="1:20" x14ac:dyDescent="0.25">
      <c r="A330" s="178"/>
      <c r="B330" s="225" t="s">
        <v>18</v>
      </c>
      <c r="C330" s="225" t="s">
        <v>18</v>
      </c>
      <c r="E330" s="656">
        <v>58</v>
      </c>
      <c r="F330" s="628" t="s">
        <v>1421</v>
      </c>
      <c r="G330" s="226">
        <v>40</v>
      </c>
      <c r="L330" s="228"/>
      <c r="N330" s="226">
        <v>125</v>
      </c>
    </row>
    <row r="331" spans="1:20" x14ac:dyDescent="0.25">
      <c r="A331" s="178"/>
      <c r="B331" s="225" t="s">
        <v>18</v>
      </c>
      <c r="C331" s="225" t="s">
        <v>18</v>
      </c>
      <c r="E331" s="656">
        <v>44</v>
      </c>
      <c r="F331" s="628" t="s">
        <v>2727</v>
      </c>
      <c r="G331" s="226">
        <v>45</v>
      </c>
      <c r="L331" s="228"/>
      <c r="N331" s="226">
        <v>125</v>
      </c>
    </row>
    <row r="332" spans="1:20" x14ac:dyDescent="0.25">
      <c r="A332" s="178"/>
      <c r="B332" s="225" t="s">
        <v>18</v>
      </c>
      <c r="C332" s="225" t="s">
        <v>18</v>
      </c>
      <c r="E332" s="656">
        <v>46</v>
      </c>
      <c r="F332" s="628" t="s">
        <v>2727</v>
      </c>
      <c r="G332" s="226">
        <v>45</v>
      </c>
      <c r="L332" s="228"/>
      <c r="N332" s="226">
        <v>125</v>
      </c>
    </row>
    <row r="333" spans="1:20" x14ac:dyDescent="0.25">
      <c r="A333" s="178"/>
      <c r="B333" s="225" t="s">
        <v>18</v>
      </c>
      <c r="C333" s="225" t="s">
        <v>18</v>
      </c>
      <c r="E333" s="656">
        <v>48</v>
      </c>
      <c r="F333" s="628" t="s">
        <v>2727</v>
      </c>
      <c r="G333" s="226">
        <v>45</v>
      </c>
      <c r="L333" s="228"/>
      <c r="N333" s="226">
        <v>125</v>
      </c>
    </row>
    <row r="334" spans="1:20" x14ac:dyDescent="0.25">
      <c r="A334" s="178"/>
      <c r="B334" s="225" t="s">
        <v>18</v>
      </c>
      <c r="C334" s="225" t="s">
        <v>18</v>
      </c>
      <c r="E334" s="656">
        <v>50</v>
      </c>
      <c r="F334" s="628" t="s">
        <v>2727</v>
      </c>
      <c r="G334" s="226">
        <v>45</v>
      </c>
      <c r="L334" s="228"/>
      <c r="N334" s="226">
        <v>125</v>
      </c>
    </row>
    <row r="335" spans="1:20" s="213" customFormat="1" x14ac:dyDescent="0.25">
      <c r="B335" s="862" t="s">
        <v>2162</v>
      </c>
      <c r="C335" s="319"/>
      <c r="D335" s="178"/>
      <c r="E335" s="656" t="s">
        <v>1167</v>
      </c>
      <c r="F335" s="628" t="s">
        <v>2163</v>
      </c>
      <c r="G335" s="226">
        <v>37</v>
      </c>
      <c r="H335" s="226">
        <f>432*1.045</f>
        <v>451.43999999999994</v>
      </c>
      <c r="I335" s="226">
        <v>535</v>
      </c>
      <c r="J335" s="226">
        <f>+G335/H335*I335</f>
        <v>43.848573453836615</v>
      </c>
      <c r="K335" s="226">
        <f>+G335+J335</f>
        <v>80.848573453836622</v>
      </c>
      <c r="L335" s="228">
        <v>0.4</v>
      </c>
      <c r="M335" s="226">
        <f>+K335*1.4</f>
        <v>113.18800283537126</v>
      </c>
      <c r="N335" s="226">
        <v>125</v>
      </c>
      <c r="O335" s="178"/>
      <c r="P335" s="178"/>
      <c r="Q335" s="178"/>
      <c r="R335" s="178"/>
      <c r="S335" s="178"/>
      <c r="T335" s="178"/>
    </row>
    <row r="336" spans="1:20" s="213" customFormat="1" x14ac:dyDescent="0.25">
      <c r="B336" s="862" t="s">
        <v>2162</v>
      </c>
      <c r="C336" s="319"/>
      <c r="D336" s="178"/>
      <c r="E336" s="656" t="s">
        <v>801</v>
      </c>
      <c r="F336" s="628" t="s">
        <v>2163</v>
      </c>
      <c r="G336" s="226">
        <v>37</v>
      </c>
      <c r="H336" s="226">
        <f t="shared" ref="H336:H348" si="46">432*1.045</f>
        <v>451.43999999999994</v>
      </c>
      <c r="I336" s="226">
        <v>535</v>
      </c>
      <c r="J336" s="226">
        <f t="shared" ref="J336:J348" si="47">+G336/H336*I336</f>
        <v>43.848573453836615</v>
      </c>
      <c r="K336" s="226">
        <f t="shared" ref="K336:K348" si="48">+G336+J336</f>
        <v>80.848573453836622</v>
      </c>
      <c r="L336" s="228">
        <v>0.4</v>
      </c>
      <c r="M336" s="226">
        <f t="shared" ref="M336:M348" si="49">+K336*1.4</f>
        <v>113.18800283537126</v>
      </c>
      <c r="N336" s="226">
        <v>125</v>
      </c>
      <c r="O336" s="178"/>
      <c r="P336" s="178"/>
      <c r="Q336" s="178"/>
      <c r="R336" s="178"/>
      <c r="S336" s="178"/>
      <c r="T336" s="178"/>
    </row>
    <row r="337" spans="2:20" s="213" customFormat="1" x14ac:dyDescent="0.25">
      <c r="B337" s="862" t="s">
        <v>2162</v>
      </c>
      <c r="C337" s="319"/>
      <c r="D337" s="178"/>
      <c r="E337" s="656" t="s">
        <v>802</v>
      </c>
      <c r="F337" s="628" t="s">
        <v>2163</v>
      </c>
      <c r="G337" s="226">
        <v>37</v>
      </c>
      <c r="H337" s="226">
        <f t="shared" si="46"/>
        <v>451.43999999999994</v>
      </c>
      <c r="I337" s="226">
        <v>535</v>
      </c>
      <c r="J337" s="226">
        <f t="shared" si="47"/>
        <v>43.848573453836615</v>
      </c>
      <c r="K337" s="226">
        <f t="shared" si="48"/>
        <v>80.848573453836622</v>
      </c>
      <c r="L337" s="228">
        <v>0.4</v>
      </c>
      <c r="M337" s="226">
        <f t="shared" si="49"/>
        <v>113.18800283537126</v>
      </c>
      <c r="N337" s="226">
        <v>125</v>
      </c>
      <c r="O337" s="178"/>
      <c r="P337" s="178"/>
      <c r="Q337" s="178"/>
      <c r="R337" s="178"/>
      <c r="S337" s="178"/>
      <c r="T337" s="178"/>
    </row>
    <row r="338" spans="2:20" s="213" customFormat="1" x14ac:dyDescent="0.25">
      <c r="B338" s="862" t="s">
        <v>2162</v>
      </c>
      <c r="C338" s="319"/>
      <c r="D338" s="178"/>
      <c r="E338" s="656" t="s">
        <v>802</v>
      </c>
      <c r="F338" s="628" t="s">
        <v>2163</v>
      </c>
      <c r="G338" s="226">
        <v>37</v>
      </c>
      <c r="H338" s="226">
        <f t="shared" si="46"/>
        <v>451.43999999999994</v>
      </c>
      <c r="I338" s="226">
        <v>535</v>
      </c>
      <c r="J338" s="226">
        <f t="shared" si="47"/>
        <v>43.848573453836615</v>
      </c>
      <c r="K338" s="226">
        <f t="shared" si="48"/>
        <v>80.848573453836622</v>
      </c>
      <c r="L338" s="228">
        <v>0.4</v>
      </c>
      <c r="M338" s="226">
        <f t="shared" si="49"/>
        <v>113.18800283537126</v>
      </c>
      <c r="N338" s="226">
        <v>125</v>
      </c>
      <c r="O338" s="178"/>
      <c r="P338" s="178"/>
      <c r="Q338" s="178"/>
      <c r="R338" s="178"/>
      <c r="S338" s="178"/>
      <c r="T338" s="178"/>
    </row>
    <row r="339" spans="2:20" s="213" customFormat="1" x14ac:dyDescent="0.25">
      <c r="B339" s="862" t="s">
        <v>2162</v>
      </c>
      <c r="C339" s="319"/>
      <c r="D339" s="178"/>
      <c r="E339" s="656" t="s">
        <v>501</v>
      </c>
      <c r="F339" s="628" t="s">
        <v>2569</v>
      </c>
      <c r="G339" s="226">
        <v>26</v>
      </c>
      <c r="H339" s="226">
        <f t="shared" si="46"/>
        <v>451.43999999999994</v>
      </c>
      <c r="I339" s="226">
        <v>535</v>
      </c>
      <c r="J339" s="226">
        <f t="shared" si="47"/>
        <v>30.812511075668972</v>
      </c>
      <c r="K339" s="226">
        <f t="shared" si="48"/>
        <v>56.812511075668972</v>
      </c>
      <c r="L339" s="228">
        <v>0.4</v>
      </c>
      <c r="M339" s="226">
        <f t="shared" si="49"/>
        <v>79.537515505936554</v>
      </c>
      <c r="N339" s="226">
        <v>125</v>
      </c>
      <c r="O339" s="178"/>
      <c r="P339" s="178"/>
      <c r="Q339" s="178"/>
      <c r="R339" s="178"/>
      <c r="S339" s="178"/>
      <c r="T339" s="178"/>
    </row>
    <row r="340" spans="2:20" s="213" customFormat="1" x14ac:dyDescent="0.25">
      <c r="B340" s="862" t="s">
        <v>2162</v>
      </c>
      <c r="C340" s="319"/>
      <c r="D340" s="178"/>
      <c r="E340" s="656" t="s">
        <v>504</v>
      </c>
      <c r="F340" s="628" t="s">
        <v>2569</v>
      </c>
      <c r="G340" s="226">
        <v>26</v>
      </c>
      <c r="H340" s="226">
        <f t="shared" si="46"/>
        <v>451.43999999999994</v>
      </c>
      <c r="I340" s="226">
        <v>535</v>
      </c>
      <c r="J340" s="226">
        <f t="shared" si="47"/>
        <v>30.812511075668972</v>
      </c>
      <c r="K340" s="226">
        <f t="shared" si="48"/>
        <v>56.812511075668972</v>
      </c>
      <c r="L340" s="228">
        <v>0.4</v>
      </c>
      <c r="M340" s="226">
        <f t="shared" si="49"/>
        <v>79.537515505936554</v>
      </c>
      <c r="N340" s="226">
        <v>125</v>
      </c>
      <c r="O340" s="178"/>
      <c r="P340" s="178"/>
      <c r="Q340" s="178"/>
      <c r="R340" s="178"/>
      <c r="S340" s="178"/>
      <c r="T340" s="178"/>
    </row>
    <row r="341" spans="2:20" s="213" customFormat="1" x14ac:dyDescent="0.25">
      <c r="B341" s="862" t="s">
        <v>2162</v>
      </c>
      <c r="C341" s="319"/>
      <c r="D341" s="178"/>
      <c r="E341" s="656" t="s">
        <v>505</v>
      </c>
      <c r="F341" s="628" t="s">
        <v>2569</v>
      </c>
      <c r="G341" s="226">
        <v>26</v>
      </c>
      <c r="H341" s="226">
        <f t="shared" si="46"/>
        <v>451.43999999999994</v>
      </c>
      <c r="I341" s="226">
        <v>535</v>
      </c>
      <c r="J341" s="226">
        <f t="shared" si="47"/>
        <v>30.812511075668972</v>
      </c>
      <c r="K341" s="226">
        <f t="shared" si="48"/>
        <v>56.812511075668972</v>
      </c>
      <c r="L341" s="228">
        <v>0.4</v>
      </c>
      <c r="M341" s="226">
        <f t="shared" si="49"/>
        <v>79.537515505936554</v>
      </c>
      <c r="N341" s="226">
        <v>125</v>
      </c>
      <c r="O341" s="178"/>
      <c r="P341" s="178"/>
      <c r="Q341" s="178"/>
      <c r="R341" s="178"/>
      <c r="S341" s="178"/>
      <c r="T341" s="178"/>
    </row>
    <row r="342" spans="2:20" s="213" customFormat="1" x14ac:dyDescent="0.25">
      <c r="B342" s="862" t="s">
        <v>2162</v>
      </c>
      <c r="C342" s="319"/>
      <c r="D342" s="178"/>
      <c r="E342" s="656" t="s">
        <v>1167</v>
      </c>
      <c r="F342" s="628" t="s">
        <v>2569</v>
      </c>
      <c r="G342" s="226">
        <v>26</v>
      </c>
      <c r="H342" s="226">
        <f t="shared" si="46"/>
        <v>451.43999999999994</v>
      </c>
      <c r="I342" s="226">
        <v>535</v>
      </c>
      <c r="J342" s="226">
        <f t="shared" si="47"/>
        <v>30.812511075668972</v>
      </c>
      <c r="K342" s="226">
        <f t="shared" si="48"/>
        <v>56.812511075668972</v>
      </c>
      <c r="L342" s="228">
        <v>0.4</v>
      </c>
      <c r="M342" s="226">
        <f t="shared" si="49"/>
        <v>79.537515505936554</v>
      </c>
      <c r="N342" s="226">
        <v>125</v>
      </c>
      <c r="O342" s="178"/>
      <c r="P342" s="178"/>
      <c r="Q342" s="178"/>
      <c r="R342" s="178"/>
      <c r="S342" s="178"/>
      <c r="T342" s="178"/>
    </row>
    <row r="343" spans="2:20" s="213" customFormat="1" x14ac:dyDescent="0.25">
      <c r="B343" s="862" t="s">
        <v>2162</v>
      </c>
      <c r="C343" s="319"/>
      <c r="D343" s="178"/>
      <c r="E343" s="656" t="s">
        <v>801</v>
      </c>
      <c r="F343" s="628" t="s">
        <v>2569</v>
      </c>
      <c r="G343" s="226">
        <v>26</v>
      </c>
      <c r="H343" s="226">
        <f t="shared" si="46"/>
        <v>451.43999999999994</v>
      </c>
      <c r="I343" s="226">
        <v>535</v>
      </c>
      <c r="J343" s="226">
        <f t="shared" si="47"/>
        <v>30.812511075668972</v>
      </c>
      <c r="K343" s="226">
        <f t="shared" si="48"/>
        <v>56.812511075668972</v>
      </c>
      <c r="L343" s="228">
        <v>0.4</v>
      </c>
      <c r="M343" s="226">
        <f t="shared" si="49"/>
        <v>79.537515505936554</v>
      </c>
      <c r="N343" s="226">
        <v>125</v>
      </c>
      <c r="O343" s="178"/>
      <c r="P343" s="178"/>
      <c r="Q343" s="178"/>
      <c r="R343" s="178"/>
      <c r="S343" s="178"/>
      <c r="T343" s="178"/>
    </row>
    <row r="344" spans="2:20" s="213" customFormat="1" x14ac:dyDescent="0.25">
      <c r="B344" s="862" t="s">
        <v>2162</v>
      </c>
      <c r="C344" s="319"/>
      <c r="D344" s="178"/>
      <c r="E344" s="656" t="s">
        <v>802</v>
      </c>
      <c r="F344" s="628" t="s">
        <v>2569</v>
      </c>
      <c r="G344" s="226">
        <v>26</v>
      </c>
      <c r="H344" s="226">
        <f t="shared" si="46"/>
        <v>451.43999999999994</v>
      </c>
      <c r="I344" s="226">
        <v>535</v>
      </c>
      <c r="J344" s="226">
        <f t="shared" si="47"/>
        <v>30.812511075668972</v>
      </c>
      <c r="K344" s="226">
        <f t="shared" si="48"/>
        <v>56.812511075668972</v>
      </c>
      <c r="L344" s="228">
        <v>0.4</v>
      </c>
      <c r="M344" s="226">
        <f t="shared" si="49"/>
        <v>79.537515505936554</v>
      </c>
      <c r="N344" s="226">
        <v>125</v>
      </c>
      <c r="O344" s="178"/>
      <c r="P344" s="178"/>
      <c r="Q344" s="178"/>
      <c r="R344" s="178"/>
      <c r="S344" s="178"/>
      <c r="T344" s="178"/>
    </row>
    <row r="345" spans="2:20" s="213" customFormat="1" x14ac:dyDescent="0.25">
      <c r="B345" s="862" t="s">
        <v>2162</v>
      </c>
      <c r="C345" s="319"/>
      <c r="D345" s="178"/>
      <c r="E345" s="656">
        <v>44</v>
      </c>
      <c r="F345" s="628" t="s">
        <v>2490</v>
      </c>
      <c r="G345" s="226">
        <v>32</v>
      </c>
      <c r="H345" s="226">
        <f t="shared" si="46"/>
        <v>451.43999999999994</v>
      </c>
      <c r="I345" s="226">
        <v>535</v>
      </c>
      <c r="J345" s="226">
        <f t="shared" si="47"/>
        <v>37.9230905546695</v>
      </c>
      <c r="K345" s="226">
        <f t="shared" si="48"/>
        <v>69.9230905546695</v>
      </c>
      <c r="L345" s="228">
        <v>0.4</v>
      </c>
      <c r="M345" s="226">
        <f t="shared" si="49"/>
        <v>97.892326776537288</v>
      </c>
      <c r="N345" s="226">
        <v>125</v>
      </c>
      <c r="O345" s="178"/>
      <c r="P345" s="178"/>
      <c r="Q345" s="178"/>
      <c r="R345" s="178"/>
      <c r="S345" s="178"/>
      <c r="T345" s="178"/>
    </row>
    <row r="346" spans="2:20" s="213" customFormat="1" x14ac:dyDescent="0.25">
      <c r="B346" s="862" t="s">
        <v>2162</v>
      </c>
      <c r="C346" s="319"/>
      <c r="D346" s="178"/>
      <c r="E346" s="656">
        <v>46</v>
      </c>
      <c r="F346" s="628" t="s">
        <v>2490</v>
      </c>
      <c r="G346" s="226">
        <v>32</v>
      </c>
      <c r="H346" s="226">
        <f t="shared" si="46"/>
        <v>451.43999999999994</v>
      </c>
      <c r="I346" s="226">
        <v>535</v>
      </c>
      <c r="J346" s="226">
        <f t="shared" si="47"/>
        <v>37.9230905546695</v>
      </c>
      <c r="K346" s="226">
        <f t="shared" si="48"/>
        <v>69.9230905546695</v>
      </c>
      <c r="L346" s="228">
        <v>0.4</v>
      </c>
      <c r="M346" s="226">
        <f t="shared" si="49"/>
        <v>97.892326776537288</v>
      </c>
      <c r="N346" s="226">
        <v>125</v>
      </c>
      <c r="O346" s="178"/>
      <c r="P346" s="178"/>
      <c r="Q346" s="178"/>
      <c r="R346" s="178"/>
      <c r="S346" s="178"/>
      <c r="T346" s="178"/>
    </row>
    <row r="347" spans="2:20" s="213" customFormat="1" x14ac:dyDescent="0.25">
      <c r="B347" s="862" t="s">
        <v>2162</v>
      </c>
      <c r="C347" s="319"/>
      <c r="D347" s="178"/>
      <c r="E347" s="656">
        <v>48</v>
      </c>
      <c r="F347" s="628" t="s">
        <v>2490</v>
      </c>
      <c r="G347" s="226">
        <v>32</v>
      </c>
      <c r="H347" s="226">
        <f t="shared" si="46"/>
        <v>451.43999999999994</v>
      </c>
      <c r="I347" s="226">
        <v>535</v>
      </c>
      <c r="J347" s="226">
        <f t="shared" si="47"/>
        <v>37.9230905546695</v>
      </c>
      <c r="K347" s="226">
        <f t="shared" si="48"/>
        <v>69.9230905546695</v>
      </c>
      <c r="L347" s="228">
        <v>0.4</v>
      </c>
      <c r="M347" s="226">
        <f t="shared" si="49"/>
        <v>97.892326776537288</v>
      </c>
      <c r="N347" s="226">
        <v>125</v>
      </c>
      <c r="O347" s="178"/>
      <c r="P347" s="178"/>
      <c r="Q347" s="178"/>
      <c r="R347" s="178"/>
      <c r="S347" s="178"/>
      <c r="T347" s="178"/>
    </row>
    <row r="348" spans="2:20" s="213" customFormat="1" x14ac:dyDescent="0.25">
      <c r="B348" s="862" t="s">
        <v>2162</v>
      </c>
      <c r="C348" s="319"/>
      <c r="D348" s="178"/>
      <c r="E348" s="656">
        <v>50</v>
      </c>
      <c r="F348" s="628" t="s">
        <v>2490</v>
      </c>
      <c r="G348" s="226">
        <v>32</v>
      </c>
      <c r="H348" s="226">
        <f t="shared" si="46"/>
        <v>451.43999999999994</v>
      </c>
      <c r="I348" s="226">
        <v>535</v>
      </c>
      <c r="J348" s="226">
        <f t="shared" si="47"/>
        <v>37.9230905546695</v>
      </c>
      <c r="K348" s="226">
        <f t="shared" si="48"/>
        <v>69.9230905546695</v>
      </c>
      <c r="L348" s="228">
        <v>0.4</v>
      </c>
      <c r="M348" s="226">
        <f t="shared" si="49"/>
        <v>97.892326776537288</v>
      </c>
      <c r="N348" s="226">
        <v>125</v>
      </c>
      <c r="O348" s="178"/>
      <c r="P348" s="178"/>
      <c r="Q348" s="178"/>
      <c r="R348" s="178"/>
      <c r="S348" s="178"/>
      <c r="T348" s="178"/>
    </row>
    <row r="349" spans="2:20" s="213" customFormat="1" x14ac:dyDescent="0.25">
      <c r="B349" s="862" t="s">
        <v>587</v>
      </c>
      <c r="C349" s="319" t="s">
        <v>2570</v>
      </c>
      <c r="D349" s="178"/>
      <c r="E349" s="656">
        <v>44</v>
      </c>
      <c r="F349" s="628" t="s">
        <v>2485</v>
      </c>
      <c r="G349" s="226">
        <v>27</v>
      </c>
      <c r="H349" s="178">
        <v>540</v>
      </c>
      <c r="I349" s="226">
        <v>535</v>
      </c>
      <c r="J349" s="226">
        <f t="shared" ref="J349" si="50">+G349/H349*I349</f>
        <v>26.75</v>
      </c>
      <c r="K349" s="226">
        <f t="shared" ref="K349" si="51">+G349+J349</f>
        <v>53.75</v>
      </c>
      <c r="L349" s="228">
        <v>0.4</v>
      </c>
      <c r="M349" s="226">
        <f t="shared" ref="M349" si="52">+K349*1.4</f>
        <v>75.25</v>
      </c>
      <c r="N349" s="226">
        <v>90</v>
      </c>
      <c r="O349" s="178"/>
      <c r="P349" s="178"/>
      <c r="Q349" s="178"/>
      <c r="R349" s="178"/>
      <c r="S349" s="178"/>
      <c r="T349" s="178"/>
    </row>
    <row r="350" spans="2:20" s="213" customFormat="1" x14ac:dyDescent="0.25">
      <c r="B350" s="862" t="s">
        <v>587</v>
      </c>
      <c r="C350" s="319" t="s">
        <v>2570</v>
      </c>
      <c r="D350" s="178"/>
      <c r="E350" s="656">
        <v>46</v>
      </c>
      <c r="F350" s="628" t="s">
        <v>2485</v>
      </c>
      <c r="G350" s="226">
        <v>27</v>
      </c>
      <c r="H350" s="178">
        <v>540</v>
      </c>
      <c r="I350" s="226">
        <v>535</v>
      </c>
      <c r="J350" s="226">
        <f t="shared" ref="J350:J368" si="53">+G350/H350*I350</f>
        <v>26.75</v>
      </c>
      <c r="K350" s="226">
        <f t="shared" ref="K350:K368" si="54">+G350+J350</f>
        <v>53.75</v>
      </c>
      <c r="L350" s="228">
        <v>0.4</v>
      </c>
      <c r="M350" s="226">
        <f t="shared" ref="M350:M368" si="55">+K350*1.4</f>
        <v>75.25</v>
      </c>
      <c r="N350" s="226">
        <v>90</v>
      </c>
      <c r="O350" s="178"/>
      <c r="P350" s="178"/>
      <c r="Q350" s="178"/>
      <c r="R350" s="178"/>
      <c r="S350" s="178"/>
      <c r="T350" s="178"/>
    </row>
    <row r="351" spans="2:20" s="213" customFormat="1" x14ac:dyDescent="0.25">
      <c r="B351" s="862" t="s">
        <v>587</v>
      </c>
      <c r="C351" s="319" t="s">
        <v>2570</v>
      </c>
      <c r="D351" s="178"/>
      <c r="E351" s="656">
        <v>48</v>
      </c>
      <c r="F351" s="628" t="s">
        <v>2485</v>
      </c>
      <c r="G351" s="226">
        <v>27</v>
      </c>
      <c r="H351" s="178">
        <v>540</v>
      </c>
      <c r="I351" s="226">
        <v>535</v>
      </c>
      <c r="J351" s="226">
        <f t="shared" si="53"/>
        <v>26.75</v>
      </c>
      <c r="K351" s="226">
        <f t="shared" si="54"/>
        <v>53.75</v>
      </c>
      <c r="L351" s="228">
        <v>0.4</v>
      </c>
      <c r="M351" s="226">
        <f t="shared" si="55"/>
        <v>75.25</v>
      </c>
      <c r="N351" s="226">
        <v>90</v>
      </c>
      <c r="O351" s="178"/>
      <c r="P351" s="178"/>
      <c r="Q351" s="178"/>
      <c r="R351" s="178"/>
      <c r="S351" s="178"/>
      <c r="T351" s="178"/>
    </row>
    <row r="352" spans="2:20" s="213" customFormat="1" x14ac:dyDescent="0.25">
      <c r="B352" s="862" t="s">
        <v>587</v>
      </c>
      <c r="C352" s="319" t="s">
        <v>2570</v>
      </c>
      <c r="D352" s="178"/>
      <c r="E352" s="656">
        <v>50</v>
      </c>
      <c r="F352" s="628" t="s">
        <v>2485</v>
      </c>
      <c r="G352" s="226">
        <v>27</v>
      </c>
      <c r="H352" s="178">
        <v>540</v>
      </c>
      <c r="I352" s="226">
        <v>535</v>
      </c>
      <c r="J352" s="226">
        <f t="shared" si="53"/>
        <v>26.75</v>
      </c>
      <c r="K352" s="226">
        <f t="shared" si="54"/>
        <v>53.75</v>
      </c>
      <c r="L352" s="228">
        <v>0.4</v>
      </c>
      <c r="M352" s="226">
        <f t="shared" si="55"/>
        <v>75.25</v>
      </c>
      <c r="N352" s="226">
        <v>90</v>
      </c>
      <c r="O352" s="178"/>
      <c r="P352" s="178"/>
      <c r="Q352" s="178"/>
      <c r="R352" s="178"/>
      <c r="S352" s="178"/>
      <c r="T352" s="178"/>
    </row>
    <row r="353" spans="2:20" s="213" customFormat="1" x14ac:dyDescent="0.25">
      <c r="B353" s="862" t="s">
        <v>587</v>
      </c>
      <c r="C353" s="319" t="s">
        <v>2570</v>
      </c>
      <c r="D353" s="178"/>
      <c r="E353" s="656">
        <v>44</v>
      </c>
      <c r="F353" s="628" t="s">
        <v>2571</v>
      </c>
      <c r="G353" s="226">
        <v>27</v>
      </c>
      <c r="H353" s="178">
        <v>540</v>
      </c>
      <c r="I353" s="226">
        <v>535</v>
      </c>
      <c r="J353" s="226">
        <f t="shared" si="53"/>
        <v>26.75</v>
      </c>
      <c r="K353" s="226">
        <f t="shared" si="54"/>
        <v>53.75</v>
      </c>
      <c r="L353" s="228">
        <v>0.4</v>
      </c>
      <c r="M353" s="226">
        <f t="shared" si="55"/>
        <v>75.25</v>
      </c>
      <c r="N353" s="226">
        <v>90</v>
      </c>
      <c r="O353" s="178"/>
      <c r="P353" s="178"/>
      <c r="Q353" s="178"/>
      <c r="R353" s="178"/>
      <c r="S353" s="178"/>
      <c r="T353" s="178"/>
    </row>
    <row r="354" spans="2:20" s="213" customFormat="1" x14ac:dyDescent="0.25">
      <c r="B354" s="862" t="s">
        <v>587</v>
      </c>
      <c r="C354" s="319" t="s">
        <v>2570</v>
      </c>
      <c r="D354" s="178"/>
      <c r="E354" s="656">
        <v>46</v>
      </c>
      <c r="F354" s="628" t="s">
        <v>2571</v>
      </c>
      <c r="G354" s="226">
        <v>27</v>
      </c>
      <c r="H354" s="178">
        <v>540</v>
      </c>
      <c r="I354" s="226">
        <v>535</v>
      </c>
      <c r="J354" s="226">
        <f t="shared" si="53"/>
        <v>26.75</v>
      </c>
      <c r="K354" s="226">
        <f t="shared" si="54"/>
        <v>53.75</v>
      </c>
      <c r="L354" s="228">
        <v>0.4</v>
      </c>
      <c r="M354" s="226">
        <f t="shared" si="55"/>
        <v>75.25</v>
      </c>
      <c r="N354" s="226">
        <v>90</v>
      </c>
      <c r="O354" s="178"/>
      <c r="P354" s="178"/>
      <c r="Q354" s="178"/>
      <c r="R354" s="178"/>
      <c r="S354" s="178"/>
      <c r="T354" s="178"/>
    </row>
    <row r="355" spans="2:20" s="213" customFormat="1" x14ac:dyDescent="0.25">
      <c r="B355" s="862" t="s">
        <v>587</v>
      </c>
      <c r="C355" s="319" t="s">
        <v>2570</v>
      </c>
      <c r="D355" s="178"/>
      <c r="E355" s="656">
        <v>48</v>
      </c>
      <c r="F355" s="628" t="s">
        <v>2571</v>
      </c>
      <c r="G355" s="226">
        <v>27</v>
      </c>
      <c r="H355" s="178">
        <v>540</v>
      </c>
      <c r="I355" s="226">
        <v>535</v>
      </c>
      <c r="J355" s="226">
        <f t="shared" si="53"/>
        <v>26.75</v>
      </c>
      <c r="K355" s="226">
        <f t="shared" si="54"/>
        <v>53.75</v>
      </c>
      <c r="L355" s="228">
        <v>0.4</v>
      </c>
      <c r="M355" s="226">
        <f t="shared" si="55"/>
        <v>75.25</v>
      </c>
      <c r="N355" s="226">
        <v>90</v>
      </c>
      <c r="O355" s="178"/>
      <c r="P355" s="178"/>
      <c r="Q355" s="178"/>
      <c r="R355" s="178"/>
      <c r="S355" s="178"/>
      <c r="T355" s="178"/>
    </row>
    <row r="356" spans="2:20" s="213" customFormat="1" x14ac:dyDescent="0.25">
      <c r="B356" s="862" t="s">
        <v>587</v>
      </c>
      <c r="C356" s="319" t="s">
        <v>2570</v>
      </c>
      <c r="D356" s="178"/>
      <c r="E356" s="656">
        <v>50</v>
      </c>
      <c r="F356" s="628" t="s">
        <v>2571</v>
      </c>
      <c r="G356" s="226">
        <v>27</v>
      </c>
      <c r="H356" s="178">
        <v>540</v>
      </c>
      <c r="I356" s="226">
        <v>535</v>
      </c>
      <c r="J356" s="226">
        <f t="shared" si="53"/>
        <v>26.75</v>
      </c>
      <c r="K356" s="226">
        <f t="shared" si="54"/>
        <v>53.75</v>
      </c>
      <c r="L356" s="228">
        <v>0.4</v>
      </c>
      <c r="M356" s="226">
        <f t="shared" si="55"/>
        <v>75.25</v>
      </c>
      <c r="N356" s="226">
        <v>90</v>
      </c>
      <c r="O356" s="178"/>
      <c r="P356" s="178"/>
      <c r="Q356" s="178"/>
      <c r="R356" s="178"/>
      <c r="S356" s="178"/>
      <c r="T356" s="178"/>
    </row>
    <row r="357" spans="2:20" s="213" customFormat="1" x14ac:dyDescent="0.25">
      <c r="B357" s="862" t="s">
        <v>587</v>
      </c>
      <c r="C357" s="319" t="s">
        <v>2572</v>
      </c>
      <c r="D357" s="178"/>
      <c r="E357" s="656">
        <v>50</v>
      </c>
      <c r="F357" s="628" t="s">
        <v>2486</v>
      </c>
      <c r="G357" s="226">
        <v>27</v>
      </c>
      <c r="H357" s="178">
        <v>540</v>
      </c>
      <c r="I357" s="226">
        <v>535</v>
      </c>
      <c r="J357" s="226">
        <f t="shared" si="53"/>
        <v>26.75</v>
      </c>
      <c r="K357" s="226">
        <f t="shared" si="54"/>
        <v>53.75</v>
      </c>
      <c r="L357" s="228">
        <v>0.4</v>
      </c>
      <c r="M357" s="226">
        <f t="shared" si="55"/>
        <v>75.25</v>
      </c>
      <c r="N357" s="226">
        <v>90</v>
      </c>
      <c r="O357" s="178"/>
      <c r="P357" s="178"/>
      <c r="Q357" s="178"/>
      <c r="R357" s="178"/>
      <c r="S357" s="178"/>
      <c r="T357" s="178"/>
    </row>
    <row r="358" spans="2:20" s="213" customFormat="1" x14ac:dyDescent="0.25">
      <c r="B358" s="862" t="s">
        <v>587</v>
      </c>
      <c r="C358" s="319" t="s">
        <v>2572</v>
      </c>
      <c r="D358" s="178"/>
      <c r="E358" s="656">
        <v>52</v>
      </c>
      <c r="F358" s="628" t="s">
        <v>2486</v>
      </c>
      <c r="G358" s="226">
        <v>27</v>
      </c>
      <c r="H358" s="178">
        <v>540</v>
      </c>
      <c r="I358" s="226">
        <v>535</v>
      </c>
      <c r="J358" s="226">
        <f t="shared" si="53"/>
        <v>26.75</v>
      </c>
      <c r="K358" s="226">
        <f t="shared" si="54"/>
        <v>53.75</v>
      </c>
      <c r="L358" s="228">
        <v>0.4</v>
      </c>
      <c r="M358" s="226">
        <f t="shared" si="55"/>
        <v>75.25</v>
      </c>
      <c r="N358" s="226">
        <v>90</v>
      </c>
      <c r="O358" s="178"/>
      <c r="P358" s="178"/>
      <c r="Q358" s="178"/>
      <c r="R358" s="178"/>
      <c r="S358" s="178"/>
      <c r="T358" s="178"/>
    </row>
    <row r="359" spans="2:20" s="213" customFormat="1" x14ac:dyDescent="0.25">
      <c r="B359" s="862" t="s">
        <v>587</v>
      </c>
      <c r="C359" s="319" t="s">
        <v>2572</v>
      </c>
      <c r="D359" s="178"/>
      <c r="E359" s="656">
        <v>54</v>
      </c>
      <c r="F359" s="628" t="s">
        <v>2486</v>
      </c>
      <c r="G359" s="226">
        <v>27</v>
      </c>
      <c r="H359" s="178">
        <v>540</v>
      </c>
      <c r="I359" s="226">
        <v>535</v>
      </c>
      <c r="J359" s="226">
        <f t="shared" si="53"/>
        <v>26.75</v>
      </c>
      <c r="K359" s="226">
        <f t="shared" si="54"/>
        <v>53.75</v>
      </c>
      <c r="L359" s="228">
        <v>0.4</v>
      </c>
      <c r="M359" s="226">
        <f t="shared" si="55"/>
        <v>75.25</v>
      </c>
      <c r="N359" s="226">
        <v>90</v>
      </c>
      <c r="O359" s="178"/>
      <c r="P359" s="178"/>
      <c r="Q359" s="178"/>
      <c r="R359" s="178"/>
      <c r="S359" s="178"/>
      <c r="T359" s="178"/>
    </row>
    <row r="360" spans="2:20" s="213" customFormat="1" x14ac:dyDescent="0.25">
      <c r="B360" s="862" t="s">
        <v>587</v>
      </c>
      <c r="C360" s="319" t="s">
        <v>2572</v>
      </c>
      <c r="D360" s="178"/>
      <c r="E360" s="656">
        <v>56</v>
      </c>
      <c r="F360" s="628" t="s">
        <v>2486</v>
      </c>
      <c r="G360" s="226">
        <v>27</v>
      </c>
      <c r="H360" s="178">
        <v>540</v>
      </c>
      <c r="I360" s="226">
        <v>535</v>
      </c>
      <c r="J360" s="226">
        <f t="shared" si="53"/>
        <v>26.75</v>
      </c>
      <c r="K360" s="226">
        <f t="shared" si="54"/>
        <v>53.75</v>
      </c>
      <c r="L360" s="228">
        <v>0.4</v>
      </c>
      <c r="M360" s="226">
        <f t="shared" si="55"/>
        <v>75.25</v>
      </c>
      <c r="N360" s="226">
        <v>90</v>
      </c>
      <c r="O360" s="178"/>
      <c r="P360" s="178"/>
      <c r="Q360" s="178"/>
      <c r="R360" s="178"/>
      <c r="S360" s="178"/>
      <c r="T360" s="178"/>
    </row>
    <row r="361" spans="2:20" s="213" customFormat="1" x14ac:dyDescent="0.25">
      <c r="B361" s="862" t="s">
        <v>587</v>
      </c>
      <c r="C361" s="319"/>
      <c r="D361" s="178"/>
      <c r="E361" s="656">
        <v>50</v>
      </c>
      <c r="F361" s="628" t="s">
        <v>2488</v>
      </c>
      <c r="G361" s="226">
        <v>27</v>
      </c>
      <c r="H361" s="178">
        <v>540</v>
      </c>
      <c r="I361" s="226">
        <v>535</v>
      </c>
      <c r="J361" s="226">
        <f t="shared" si="53"/>
        <v>26.75</v>
      </c>
      <c r="K361" s="226">
        <f t="shared" si="54"/>
        <v>53.75</v>
      </c>
      <c r="L361" s="228">
        <v>0.4</v>
      </c>
      <c r="M361" s="226">
        <f t="shared" si="55"/>
        <v>75.25</v>
      </c>
      <c r="N361" s="226">
        <v>90</v>
      </c>
      <c r="O361" s="178"/>
      <c r="P361" s="178"/>
      <c r="Q361" s="178"/>
      <c r="R361" s="178"/>
      <c r="S361" s="178"/>
      <c r="T361" s="178"/>
    </row>
    <row r="362" spans="2:20" s="213" customFormat="1" x14ac:dyDescent="0.25">
      <c r="B362" s="862" t="s">
        <v>587</v>
      </c>
      <c r="C362" s="319"/>
      <c r="D362" s="178"/>
      <c r="E362" s="656">
        <v>52</v>
      </c>
      <c r="F362" s="628" t="s">
        <v>2488</v>
      </c>
      <c r="G362" s="226">
        <v>27</v>
      </c>
      <c r="H362" s="178">
        <v>540</v>
      </c>
      <c r="I362" s="226">
        <v>535</v>
      </c>
      <c r="J362" s="226">
        <f t="shared" si="53"/>
        <v>26.75</v>
      </c>
      <c r="K362" s="226">
        <f t="shared" si="54"/>
        <v>53.75</v>
      </c>
      <c r="L362" s="228">
        <v>0.4</v>
      </c>
      <c r="M362" s="226">
        <f t="shared" si="55"/>
        <v>75.25</v>
      </c>
      <c r="N362" s="226">
        <v>90</v>
      </c>
      <c r="O362" s="178"/>
      <c r="P362" s="178"/>
      <c r="Q362" s="178"/>
      <c r="R362" s="178"/>
      <c r="S362" s="178"/>
      <c r="T362" s="178"/>
    </row>
    <row r="363" spans="2:20" s="213" customFormat="1" x14ac:dyDescent="0.25">
      <c r="B363" s="862" t="s">
        <v>587</v>
      </c>
      <c r="C363" s="319"/>
      <c r="D363" s="178"/>
      <c r="E363" s="656">
        <v>54</v>
      </c>
      <c r="F363" s="628" t="s">
        <v>2488</v>
      </c>
      <c r="G363" s="226">
        <v>27</v>
      </c>
      <c r="H363" s="178">
        <v>540</v>
      </c>
      <c r="I363" s="226">
        <v>535</v>
      </c>
      <c r="J363" s="226">
        <f t="shared" si="53"/>
        <v>26.75</v>
      </c>
      <c r="K363" s="226">
        <f t="shared" si="54"/>
        <v>53.75</v>
      </c>
      <c r="L363" s="228">
        <v>0.4</v>
      </c>
      <c r="M363" s="226">
        <f t="shared" si="55"/>
        <v>75.25</v>
      </c>
      <c r="N363" s="226">
        <v>90</v>
      </c>
      <c r="O363" s="178"/>
      <c r="P363" s="178"/>
      <c r="Q363" s="178"/>
      <c r="R363" s="178"/>
      <c r="S363" s="178"/>
      <c r="T363" s="178"/>
    </row>
    <row r="364" spans="2:20" s="213" customFormat="1" x14ac:dyDescent="0.25">
      <c r="B364" s="862" t="s">
        <v>587</v>
      </c>
      <c r="C364" s="319"/>
      <c r="D364" s="178"/>
      <c r="E364" s="656">
        <v>56</v>
      </c>
      <c r="F364" s="628" t="s">
        <v>2488</v>
      </c>
      <c r="G364" s="226">
        <v>27</v>
      </c>
      <c r="H364" s="178">
        <v>540</v>
      </c>
      <c r="I364" s="226">
        <v>535</v>
      </c>
      <c r="J364" s="226">
        <f t="shared" si="53"/>
        <v>26.75</v>
      </c>
      <c r="K364" s="226">
        <f t="shared" si="54"/>
        <v>53.75</v>
      </c>
      <c r="L364" s="228">
        <v>0.4</v>
      </c>
      <c r="M364" s="226">
        <f t="shared" si="55"/>
        <v>75.25</v>
      </c>
      <c r="N364" s="226">
        <v>90</v>
      </c>
      <c r="O364" s="178"/>
      <c r="P364" s="178"/>
      <c r="Q364" s="178"/>
      <c r="R364" s="178"/>
      <c r="S364" s="178"/>
      <c r="T364" s="178"/>
    </row>
    <row r="365" spans="2:20" s="213" customFormat="1" x14ac:dyDescent="0.25">
      <c r="B365" s="862" t="s">
        <v>587</v>
      </c>
      <c r="C365" s="319"/>
      <c r="D365" s="178"/>
      <c r="E365" s="656">
        <v>50</v>
      </c>
      <c r="F365" s="628" t="s">
        <v>2487</v>
      </c>
      <c r="G365" s="226">
        <v>27</v>
      </c>
      <c r="H365" s="178">
        <v>540</v>
      </c>
      <c r="I365" s="226">
        <v>535</v>
      </c>
      <c r="J365" s="226">
        <f t="shared" si="53"/>
        <v>26.75</v>
      </c>
      <c r="K365" s="226">
        <f t="shared" si="54"/>
        <v>53.75</v>
      </c>
      <c r="L365" s="228">
        <v>0.4</v>
      </c>
      <c r="M365" s="226">
        <f t="shared" si="55"/>
        <v>75.25</v>
      </c>
      <c r="N365" s="226">
        <v>90</v>
      </c>
      <c r="O365" s="178"/>
      <c r="P365" s="178"/>
      <c r="Q365" s="178"/>
      <c r="R365" s="178"/>
      <c r="S365" s="178"/>
      <c r="T365" s="178"/>
    </row>
    <row r="366" spans="2:20" s="213" customFormat="1" x14ac:dyDescent="0.25">
      <c r="B366" s="862" t="s">
        <v>587</v>
      </c>
      <c r="C366" s="319"/>
      <c r="D366" s="178"/>
      <c r="E366" s="656">
        <v>52</v>
      </c>
      <c r="F366" s="628" t="s">
        <v>2487</v>
      </c>
      <c r="G366" s="226">
        <v>27</v>
      </c>
      <c r="H366" s="178">
        <v>540</v>
      </c>
      <c r="I366" s="226">
        <v>535</v>
      </c>
      <c r="J366" s="226">
        <f t="shared" si="53"/>
        <v>26.75</v>
      </c>
      <c r="K366" s="226">
        <f t="shared" si="54"/>
        <v>53.75</v>
      </c>
      <c r="L366" s="228">
        <v>0.4</v>
      </c>
      <c r="M366" s="226">
        <f t="shared" si="55"/>
        <v>75.25</v>
      </c>
      <c r="N366" s="226">
        <v>90</v>
      </c>
      <c r="O366" s="178"/>
      <c r="P366" s="178"/>
      <c r="Q366" s="178"/>
      <c r="R366" s="178"/>
      <c r="S366" s="178"/>
      <c r="T366" s="178"/>
    </row>
    <row r="367" spans="2:20" s="213" customFormat="1" x14ac:dyDescent="0.25">
      <c r="B367" s="862" t="s">
        <v>587</v>
      </c>
      <c r="C367" s="319"/>
      <c r="D367" s="178"/>
      <c r="E367" s="656">
        <v>54</v>
      </c>
      <c r="F367" s="628" t="s">
        <v>2487</v>
      </c>
      <c r="G367" s="226">
        <v>27</v>
      </c>
      <c r="H367" s="178">
        <v>540</v>
      </c>
      <c r="I367" s="226">
        <v>535</v>
      </c>
      <c r="J367" s="226">
        <f t="shared" si="53"/>
        <v>26.75</v>
      </c>
      <c r="K367" s="226">
        <f t="shared" si="54"/>
        <v>53.75</v>
      </c>
      <c r="L367" s="228">
        <v>0.4</v>
      </c>
      <c r="M367" s="226">
        <f t="shared" si="55"/>
        <v>75.25</v>
      </c>
      <c r="N367" s="226">
        <v>90</v>
      </c>
      <c r="O367" s="178"/>
      <c r="P367" s="178"/>
      <c r="Q367" s="178"/>
      <c r="R367" s="178"/>
      <c r="S367" s="178"/>
      <c r="T367" s="178"/>
    </row>
    <row r="368" spans="2:20" s="213" customFormat="1" x14ac:dyDescent="0.25">
      <c r="B368" s="862" t="s">
        <v>587</v>
      </c>
      <c r="C368" s="319"/>
      <c r="D368" s="178"/>
      <c r="E368" s="656">
        <v>56</v>
      </c>
      <c r="F368" s="628" t="s">
        <v>2487</v>
      </c>
      <c r="G368" s="226">
        <v>27</v>
      </c>
      <c r="H368" s="178">
        <v>540</v>
      </c>
      <c r="I368" s="226">
        <v>535</v>
      </c>
      <c r="J368" s="226">
        <f t="shared" si="53"/>
        <v>26.75</v>
      </c>
      <c r="K368" s="226">
        <f t="shared" si="54"/>
        <v>53.75</v>
      </c>
      <c r="L368" s="228">
        <v>0.4</v>
      </c>
      <c r="M368" s="226">
        <f t="shared" si="55"/>
        <v>75.25</v>
      </c>
      <c r="N368" s="226">
        <v>90</v>
      </c>
      <c r="O368" s="178"/>
      <c r="P368" s="178"/>
      <c r="Q368" s="178"/>
      <c r="R368" s="178"/>
      <c r="S368" s="178"/>
      <c r="T368" s="178"/>
    </row>
    <row r="369" spans="1:20" x14ac:dyDescent="0.25">
      <c r="A369" s="178"/>
      <c r="L369" s="228"/>
    </row>
    <row r="370" spans="1:20" s="149" customFormat="1" ht="15" customHeight="1" outlineLevel="1" x14ac:dyDescent="0.25">
      <c r="A370" s="225"/>
      <c r="B370" s="318" t="s">
        <v>2541</v>
      </c>
      <c r="C370" s="347"/>
      <c r="D370" s="656"/>
      <c r="E370" s="628"/>
      <c r="F370" s="226"/>
      <c r="G370" s="178"/>
      <c r="H370" s="226"/>
      <c r="I370" s="820"/>
      <c r="J370" s="820"/>
      <c r="K370" s="228"/>
      <c r="L370" s="226"/>
      <c r="M370" s="226"/>
      <c r="N370" s="167"/>
      <c r="O370" s="395"/>
      <c r="P370" s="395"/>
      <c r="Q370" s="833"/>
      <c r="R370" s="395"/>
      <c r="S370" s="395"/>
      <c r="T370" s="395"/>
    </row>
    <row r="371" spans="1:20" s="149" customFormat="1" ht="15" customHeight="1" outlineLevel="1" x14ac:dyDescent="0.25">
      <c r="A371" s="225" t="s">
        <v>2542</v>
      </c>
      <c r="C371" s="319" t="s">
        <v>997</v>
      </c>
      <c r="D371" s="347"/>
      <c r="E371" s="656">
        <v>1</v>
      </c>
      <c r="F371" s="628" t="s">
        <v>2543</v>
      </c>
      <c r="G371" s="226">
        <v>20</v>
      </c>
      <c r="H371" s="178"/>
      <c r="I371" s="226"/>
      <c r="J371" s="820"/>
      <c r="K371" s="820"/>
      <c r="L371" s="228"/>
      <c r="M371" s="226"/>
      <c r="N371" s="226">
        <v>65</v>
      </c>
      <c r="O371" s="167"/>
      <c r="P371" s="395"/>
      <c r="Q371" s="395" t="s">
        <v>2540</v>
      </c>
      <c r="R371" s="833">
        <v>45418</v>
      </c>
      <c r="S371" s="395"/>
      <c r="T371" s="395"/>
    </row>
    <row r="372" spans="1:20" s="149" customFormat="1" ht="15" customHeight="1" outlineLevel="1" x14ac:dyDescent="0.25">
      <c r="A372" s="225"/>
      <c r="C372" s="319" t="s">
        <v>997</v>
      </c>
      <c r="D372" s="347"/>
      <c r="E372" s="656">
        <v>2</v>
      </c>
      <c r="F372" s="628" t="s">
        <v>2543</v>
      </c>
      <c r="G372" s="226">
        <v>20</v>
      </c>
      <c r="H372" s="178"/>
      <c r="I372" s="226"/>
      <c r="J372" s="820"/>
      <c r="K372" s="820"/>
      <c r="L372" s="228"/>
      <c r="M372" s="226"/>
      <c r="N372" s="226">
        <v>65</v>
      </c>
      <c r="O372" s="167"/>
      <c r="P372" s="395"/>
      <c r="Q372" s="395"/>
      <c r="R372" s="833"/>
      <c r="S372" s="395"/>
      <c r="T372" s="395"/>
    </row>
    <row r="373" spans="1:20" s="149" customFormat="1" ht="15" customHeight="1" outlineLevel="1" x14ac:dyDescent="0.25">
      <c r="A373" s="225"/>
      <c r="C373" s="319" t="s">
        <v>997</v>
      </c>
      <c r="D373" s="347"/>
      <c r="E373" s="656">
        <v>4</v>
      </c>
      <c r="F373" s="628" t="s">
        <v>2543</v>
      </c>
      <c r="G373" s="226">
        <v>20</v>
      </c>
      <c r="H373" s="178"/>
      <c r="I373" s="226"/>
      <c r="J373" s="820"/>
      <c r="K373" s="820"/>
      <c r="L373" s="228"/>
      <c r="M373" s="226"/>
      <c r="N373" s="226">
        <v>65</v>
      </c>
      <c r="O373" s="167"/>
      <c r="P373" s="395"/>
      <c r="Q373" s="395"/>
      <c r="R373" s="833"/>
      <c r="S373" s="395"/>
      <c r="T373" s="395"/>
    </row>
    <row r="374" spans="1:20" s="149" customFormat="1" ht="15" customHeight="1" outlineLevel="1" x14ac:dyDescent="0.25">
      <c r="A374" s="225"/>
      <c r="C374" s="319" t="s">
        <v>997</v>
      </c>
      <c r="D374" s="347"/>
      <c r="E374" s="656">
        <v>2</v>
      </c>
      <c r="F374" s="628" t="s">
        <v>2544</v>
      </c>
      <c r="G374" s="226">
        <v>20</v>
      </c>
      <c r="H374" s="178"/>
      <c r="I374" s="226"/>
      <c r="J374" s="820"/>
      <c r="K374" s="820"/>
      <c r="L374" s="228"/>
      <c r="M374" s="226"/>
      <c r="N374" s="226">
        <v>65</v>
      </c>
      <c r="O374" s="167"/>
      <c r="P374" s="395"/>
      <c r="Q374" s="395"/>
      <c r="R374" s="833"/>
      <c r="S374" s="395"/>
      <c r="T374" s="395"/>
    </row>
    <row r="375" spans="1:20" s="149" customFormat="1" ht="15" customHeight="1" outlineLevel="1" x14ac:dyDescent="0.25">
      <c r="A375" s="225"/>
      <c r="C375" s="319" t="s">
        <v>997</v>
      </c>
      <c r="D375" s="347"/>
      <c r="E375" s="656">
        <v>3</v>
      </c>
      <c r="F375" s="628" t="s">
        <v>2544</v>
      </c>
      <c r="G375" s="226">
        <v>20</v>
      </c>
      <c r="H375" s="178"/>
      <c r="I375" s="226"/>
      <c r="J375" s="820"/>
      <c r="K375" s="820"/>
      <c r="L375" s="228"/>
      <c r="M375" s="226"/>
      <c r="N375" s="226">
        <v>65</v>
      </c>
      <c r="O375" s="167"/>
      <c r="P375" s="395"/>
      <c r="Q375" s="395"/>
      <c r="R375" s="833"/>
      <c r="S375" s="395"/>
      <c r="T375" s="395"/>
    </row>
    <row r="376" spans="1:20" s="149" customFormat="1" ht="15" customHeight="1" outlineLevel="1" x14ac:dyDescent="0.25">
      <c r="A376" s="225"/>
      <c r="C376" s="319" t="s">
        <v>997</v>
      </c>
      <c r="D376" s="347"/>
      <c r="E376" s="656">
        <v>4</v>
      </c>
      <c r="F376" s="628" t="s">
        <v>2544</v>
      </c>
      <c r="G376" s="226">
        <v>20</v>
      </c>
      <c r="H376" s="178"/>
      <c r="I376" s="226"/>
      <c r="J376" s="820"/>
      <c r="K376" s="820"/>
      <c r="L376" s="228"/>
      <c r="M376" s="226"/>
      <c r="N376" s="226">
        <v>65</v>
      </c>
      <c r="O376" s="167"/>
      <c r="P376" s="395"/>
      <c r="Q376" s="395" t="s">
        <v>486</v>
      </c>
      <c r="R376" s="833">
        <v>45418</v>
      </c>
      <c r="S376" s="395"/>
      <c r="T376" s="395"/>
    </row>
    <row r="377" spans="1:20" s="149" customFormat="1" ht="15" customHeight="1" outlineLevel="1" x14ac:dyDescent="0.25">
      <c r="A377" s="225"/>
      <c r="C377" s="319" t="s">
        <v>997</v>
      </c>
      <c r="D377" s="347"/>
      <c r="E377" s="656">
        <v>48</v>
      </c>
      <c r="F377" s="628" t="s">
        <v>2545</v>
      </c>
      <c r="G377" s="226">
        <v>30</v>
      </c>
      <c r="H377" s="178"/>
      <c r="I377" s="226"/>
      <c r="J377" s="820"/>
      <c r="K377" s="820"/>
      <c r="L377" s="228"/>
      <c r="M377" s="226"/>
      <c r="N377" s="226">
        <v>75</v>
      </c>
      <c r="O377" s="167"/>
      <c r="P377" s="395"/>
      <c r="Q377" s="395"/>
      <c r="R377" s="833"/>
      <c r="S377" s="395"/>
      <c r="T377" s="395"/>
    </row>
    <row r="378" spans="1:20" s="149" customFormat="1" ht="15" customHeight="1" outlineLevel="1" x14ac:dyDescent="0.25">
      <c r="A378" s="225"/>
      <c r="B378" s="154" t="s">
        <v>2615</v>
      </c>
      <c r="C378" s="319"/>
      <c r="D378" s="347"/>
      <c r="E378" s="656"/>
      <c r="F378" s="628"/>
      <c r="G378" s="226"/>
      <c r="H378" s="178"/>
      <c r="I378" s="226"/>
      <c r="J378" s="820"/>
      <c r="K378" s="820"/>
      <c r="L378" s="228"/>
      <c r="M378" s="226"/>
      <c r="N378" s="226"/>
      <c r="O378" s="167"/>
      <c r="P378" s="395"/>
      <c r="Q378" s="395"/>
      <c r="R378" s="833"/>
      <c r="S378" s="395"/>
      <c r="T378" s="395"/>
    </row>
    <row r="379" spans="1:20" s="149" customFormat="1" ht="15" customHeight="1" outlineLevel="1" x14ac:dyDescent="0.25">
      <c r="A379" s="225"/>
      <c r="B379" s="154" t="s">
        <v>1360</v>
      </c>
      <c r="C379" s="319" t="s">
        <v>625</v>
      </c>
      <c r="D379" s="347"/>
      <c r="E379" s="656"/>
      <c r="F379" s="628" t="s">
        <v>2616</v>
      </c>
      <c r="G379" s="226">
        <v>22</v>
      </c>
      <c r="H379" s="178">
        <v>768</v>
      </c>
      <c r="I379" s="226">
        <v>515</v>
      </c>
      <c r="J379" s="820">
        <f>+G379/H379*I379</f>
        <v>14.752604166666666</v>
      </c>
      <c r="K379" s="820">
        <f>+G379+J379</f>
        <v>36.752604166666664</v>
      </c>
      <c r="L379" s="228"/>
      <c r="M379" s="226">
        <f>+K379*1.4</f>
        <v>51.453645833333326</v>
      </c>
      <c r="N379" s="226">
        <v>90</v>
      </c>
      <c r="O379" s="167"/>
      <c r="P379" s="395"/>
      <c r="Q379" s="395"/>
      <c r="R379" s="833"/>
      <c r="S379" s="395"/>
      <c r="T379" s="395"/>
    </row>
    <row r="380" spans="1:20" s="149" customFormat="1" ht="15" customHeight="1" outlineLevel="1" x14ac:dyDescent="0.25">
      <c r="A380" s="225"/>
      <c r="C380" s="319" t="s">
        <v>625</v>
      </c>
      <c r="D380" s="347"/>
      <c r="E380" s="656"/>
      <c r="F380" s="628" t="s">
        <v>2616</v>
      </c>
      <c r="G380" s="226">
        <v>22</v>
      </c>
      <c r="H380" s="178">
        <v>768</v>
      </c>
      <c r="I380" s="226">
        <v>515</v>
      </c>
      <c r="J380" s="820">
        <f t="shared" ref="J380:J402" si="56">+G380/H380*I380</f>
        <v>14.752604166666666</v>
      </c>
      <c r="K380" s="820">
        <f t="shared" ref="K380:K402" si="57">+G380+J380</f>
        <v>36.752604166666664</v>
      </c>
      <c r="L380" s="228"/>
      <c r="M380" s="226">
        <f t="shared" ref="M380:M402" si="58">+K380*1.4</f>
        <v>51.453645833333326</v>
      </c>
      <c r="N380" s="226">
        <v>90</v>
      </c>
      <c r="O380" s="167"/>
      <c r="P380" s="395"/>
      <c r="Q380" s="395"/>
      <c r="R380" s="833"/>
      <c r="S380" s="395"/>
      <c r="T380" s="395"/>
    </row>
    <row r="381" spans="1:20" s="149" customFormat="1" ht="15" customHeight="1" outlineLevel="1" x14ac:dyDescent="0.25">
      <c r="A381" s="225"/>
      <c r="C381" s="319" t="s">
        <v>625</v>
      </c>
      <c r="D381" s="347"/>
      <c r="E381" s="656"/>
      <c r="F381" s="628" t="s">
        <v>2616</v>
      </c>
      <c r="G381" s="226">
        <v>22</v>
      </c>
      <c r="H381" s="178">
        <v>768</v>
      </c>
      <c r="I381" s="226">
        <v>515</v>
      </c>
      <c r="J381" s="820">
        <f t="shared" si="56"/>
        <v>14.752604166666666</v>
      </c>
      <c r="K381" s="820">
        <f t="shared" si="57"/>
        <v>36.752604166666664</v>
      </c>
      <c r="L381" s="228"/>
      <c r="M381" s="226">
        <f t="shared" si="58"/>
        <v>51.453645833333326</v>
      </c>
      <c r="N381" s="226">
        <v>90</v>
      </c>
      <c r="O381" s="167"/>
      <c r="P381" s="395"/>
      <c r="Q381" s="395"/>
      <c r="R381" s="833"/>
      <c r="S381" s="395"/>
      <c r="T381" s="395"/>
    </row>
    <row r="382" spans="1:20" s="149" customFormat="1" ht="15" customHeight="1" outlineLevel="1" x14ac:dyDescent="0.25">
      <c r="A382" s="225"/>
      <c r="C382" s="319" t="s">
        <v>625</v>
      </c>
      <c r="D382" s="347"/>
      <c r="E382" s="656"/>
      <c r="F382" s="628" t="s">
        <v>2616</v>
      </c>
      <c r="G382" s="226">
        <v>22</v>
      </c>
      <c r="H382" s="178">
        <v>768</v>
      </c>
      <c r="I382" s="226">
        <v>515</v>
      </c>
      <c r="J382" s="820">
        <f t="shared" si="56"/>
        <v>14.752604166666666</v>
      </c>
      <c r="K382" s="820">
        <f t="shared" si="57"/>
        <v>36.752604166666664</v>
      </c>
      <c r="L382" s="228"/>
      <c r="M382" s="226">
        <f t="shared" si="58"/>
        <v>51.453645833333326</v>
      </c>
      <c r="N382" s="226">
        <v>90</v>
      </c>
      <c r="O382" s="167"/>
      <c r="P382" s="395"/>
      <c r="Q382" s="395"/>
      <c r="R382" s="833"/>
      <c r="S382" s="395"/>
      <c r="T382" s="395"/>
    </row>
    <row r="383" spans="1:20" s="149" customFormat="1" ht="15" customHeight="1" outlineLevel="1" x14ac:dyDescent="0.25">
      <c r="A383" s="225"/>
      <c r="C383" s="319" t="s">
        <v>2618</v>
      </c>
      <c r="D383" s="347"/>
      <c r="E383" s="656"/>
      <c r="F383" s="628" t="s">
        <v>2617</v>
      </c>
      <c r="G383" s="226">
        <v>22</v>
      </c>
      <c r="H383" s="178">
        <v>768</v>
      </c>
      <c r="I383" s="226">
        <v>515</v>
      </c>
      <c r="J383" s="820">
        <f t="shared" si="56"/>
        <v>14.752604166666666</v>
      </c>
      <c r="K383" s="820">
        <f t="shared" si="57"/>
        <v>36.752604166666664</v>
      </c>
      <c r="L383" s="228"/>
      <c r="M383" s="226">
        <f t="shared" si="58"/>
        <v>51.453645833333326</v>
      </c>
      <c r="N383" s="226">
        <v>90</v>
      </c>
      <c r="O383" s="167"/>
      <c r="P383" s="395"/>
      <c r="Q383" s="395"/>
      <c r="R383" s="833"/>
      <c r="S383" s="395"/>
      <c r="T383" s="395"/>
    </row>
    <row r="384" spans="1:20" s="149" customFormat="1" ht="15" customHeight="1" outlineLevel="1" x14ac:dyDescent="0.25">
      <c r="A384" s="225"/>
      <c r="C384" s="319" t="s">
        <v>2618</v>
      </c>
      <c r="D384" s="347"/>
      <c r="E384" s="656"/>
      <c r="F384" s="628" t="s">
        <v>2617</v>
      </c>
      <c r="G384" s="226">
        <v>22</v>
      </c>
      <c r="H384" s="178">
        <v>768</v>
      </c>
      <c r="I384" s="226">
        <v>515</v>
      </c>
      <c r="J384" s="820">
        <f t="shared" si="56"/>
        <v>14.752604166666666</v>
      </c>
      <c r="K384" s="820">
        <f t="shared" si="57"/>
        <v>36.752604166666664</v>
      </c>
      <c r="L384" s="228"/>
      <c r="M384" s="226">
        <f t="shared" si="58"/>
        <v>51.453645833333326</v>
      </c>
      <c r="N384" s="226">
        <v>90</v>
      </c>
      <c r="O384" s="167"/>
      <c r="P384" s="395"/>
      <c r="Q384" s="395"/>
      <c r="R384" s="833"/>
      <c r="S384" s="395"/>
      <c r="T384" s="395"/>
    </row>
    <row r="385" spans="1:20" s="149" customFormat="1" ht="15" customHeight="1" outlineLevel="1" x14ac:dyDescent="0.25">
      <c r="A385" s="225"/>
      <c r="C385" s="319" t="s">
        <v>2618</v>
      </c>
      <c r="D385" s="347"/>
      <c r="E385" s="656"/>
      <c r="F385" s="628" t="s">
        <v>2617</v>
      </c>
      <c r="G385" s="226">
        <v>22</v>
      </c>
      <c r="H385" s="178">
        <v>768</v>
      </c>
      <c r="I385" s="226">
        <v>515</v>
      </c>
      <c r="J385" s="820">
        <f t="shared" si="56"/>
        <v>14.752604166666666</v>
      </c>
      <c r="K385" s="820">
        <f t="shared" si="57"/>
        <v>36.752604166666664</v>
      </c>
      <c r="L385" s="228"/>
      <c r="M385" s="226">
        <f t="shared" si="58"/>
        <v>51.453645833333326</v>
      </c>
      <c r="N385" s="226">
        <v>90</v>
      </c>
      <c r="O385" s="167"/>
      <c r="P385" s="395"/>
      <c r="Q385" s="395"/>
      <c r="R385" s="833"/>
      <c r="S385" s="395"/>
      <c r="T385" s="395"/>
    </row>
    <row r="386" spans="1:20" s="149" customFormat="1" ht="15" customHeight="1" outlineLevel="1" x14ac:dyDescent="0.25">
      <c r="A386" s="225"/>
      <c r="C386" s="319" t="s">
        <v>2618</v>
      </c>
      <c r="D386" s="347"/>
      <c r="E386" s="656"/>
      <c r="F386" s="628" t="s">
        <v>2617</v>
      </c>
      <c r="G386" s="226">
        <v>22</v>
      </c>
      <c r="H386" s="178">
        <v>768</v>
      </c>
      <c r="I386" s="226">
        <v>515</v>
      </c>
      <c r="J386" s="820">
        <f t="shared" si="56"/>
        <v>14.752604166666666</v>
      </c>
      <c r="K386" s="820">
        <f t="shared" si="57"/>
        <v>36.752604166666664</v>
      </c>
      <c r="L386" s="228"/>
      <c r="M386" s="226">
        <f t="shared" si="58"/>
        <v>51.453645833333326</v>
      </c>
      <c r="N386" s="226">
        <v>90</v>
      </c>
      <c r="O386" s="167"/>
      <c r="P386" s="395"/>
      <c r="Q386" s="395"/>
      <c r="R386" s="833"/>
      <c r="S386" s="395"/>
      <c r="T386" s="395"/>
    </row>
    <row r="387" spans="1:20" s="149" customFormat="1" ht="15" customHeight="1" outlineLevel="1" x14ac:dyDescent="0.25">
      <c r="A387" s="225"/>
      <c r="C387" s="319" t="s">
        <v>2618</v>
      </c>
      <c r="D387" s="347"/>
      <c r="E387" s="656"/>
      <c r="F387" s="628" t="s">
        <v>2619</v>
      </c>
      <c r="G387" s="226">
        <v>22</v>
      </c>
      <c r="H387" s="178">
        <v>768</v>
      </c>
      <c r="I387" s="226">
        <v>515</v>
      </c>
      <c r="J387" s="820">
        <f t="shared" si="56"/>
        <v>14.752604166666666</v>
      </c>
      <c r="K387" s="820">
        <f t="shared" si="57"/>
        <v>36.752604166666664</v>
      </c>
      <c r="L387" s="228"/>
      <c r="M387" s="226">
        <f t="shared" si="58"/>
        <v>51.453645833333326</v>
      </c>
      <c r="N387" s="226">
        <v>90</v>
      </c>
      <c r="O387" s="167"/>
      <c r="P387" s="395"/>
      <c r="Q387" s="395"/>
      <c r="R387" s="833"/>
      <c r="S387" s="395"/>
      <c r="T387" s="395"/>
    </row>
    <row r="388" spans="1:20" s="149" customFormat="1" ht="15" customHeight="1" outlineLevel="1" x14ac:dyDescent="0.25">
      <c r="A388" s="225"/>
      <c r="C388" s="319" t="s">
        <v>2618</v>
      </c>
      <c r="D388" s="347"/>
      <c r="E388" s="656"/>
      <c r="F388" s="628" t="s">
        <v>2619</v>
      </c>
      <c r="G388" s="226">
        <v>22</v>
      </c>
      <c r="H388" s="178">
        <v>768</v>
      </c>
      <c r="I388" s="226">
        <v>515</v>
      </c>
      <c r="J388" s="820">
        <f t="shared" si="56"/>
        <v>14.752604166666666</v>
      </c>
      <c r="K388" s="820">
        <f t="shared" si="57"/>
        <v>36.752604166666664</v>
      </c>
      <c r="L388" s="228"/>
      <c r="M388" s="226">
        <f t="shared" si="58"/>
        <v>51.453645833333326</v>
      </c>
      <c r="N388" s="226">
        <v>90</v>
      </c>
      <c r="O388" s="167"/>
      <c r="P388" s="395"/>
      <c r="Q388" s="395"/>
      <c r="R388" s="833"/>
      <c r="S388" s="395"/>
      <c r="T388" s="395"/>
    </row>
    <row r="389" spans="1:20" s="149" customFormat="1" ht="15" customHeight="1" outlineLevel="1" x14ac:dyDescent="0.25">
      <c r="A389" s="225"/>
      <c r="C389" s="319" t="s">
        <v>2618</v>
      </c>
      <c r="D389" s="347"/>
      <c r="E389" s="656"/>
      <c r="F389" s="628" t="s">
        <v>2619</v>
      </c>
      <c r="G389" s="226">
        <v>22</v>
      </c>
      <c r="H389" s="178">
        <v>768</v>
      </c>
      <c r="I389" s="226">
        <v>515</v>
      </c>
      <c r="J389" s="820">
        <f t="shared" si="56"/>
        <v>14.752604166666666</v>
      </c>
      <c r="K389" s="820">
        <f t="shared" si="57"/>
        <v>36.752604166666664</v>
      </c>
      <c r="L389" s="228"/>
      <c r="M389" s="226">
        <f t="shared" si="58"/>
        <v>51.453645833333326</v>
      </c>
      <c r="N389" s="226">
        <v>90</v>
      </c>
      <c r="O389" s="167"/>
      <c r="P389" s="395"/>
      <c r="Q389" s="395"/>
      <c r="R389" s="833"/>
      <c r="S389" s="395"/>
      <c r="T389" s="395"/>
    </row>
    <row r="390" spans="1:20" s="149" customFormat="1" ht="15" customHeight="1" outlineLevel="1" x14ac:dyDescent="0.25">
      <c r="A390" s="225"/>
      <c r="C390" s="319" t="s">
        <v>2618</v>
      </c>
      <c r="D390" s="347"/>
      <c r="E390" s="656"/>
      <c r="F390" s="628" t="s">
        <v>2619</v>
      </c>
      <c r="G390" s="226">
        <v>22</v>
      </c>
      <c r="H390" s="178">
        <v>768</v>
      </c>
      <c r="I390" s="226">
        <v>515</v>
      </c>
      <c r="J390" s="820">
        <f t="shared" si="56"/>
        <v>14.752604166666666</v>
      </c>
      <c r="K390" s="820">
        <f t="shared" si="57"/>
        <v>36.752604166666664</v>
      </c>
      <c r="L390" s="228"/>
      <c r="M390" s="226">
        <f t="shared" si="58"/>
        <v>51.453645833333326</v>
      </c>
      <c r="N390" s="226">
        <v>90</v>
      </c>
      <c r="O390" s="167"/>
      <c r="P390" s="395"/>
      <c r="Q390" s="395"/>
      <c r="R390" s="833"/>
      <c r="S390" s="395"/>
      <c r="T390" s="395"/>
    </row>
    <row r="391" spans="1:20" s="149" customFormat="1" ht="15" customHeight="1" outlineLevel="1" x14ac:dyDescent="0.25">
      <c r="A391" s="225"/>
      <c r="C391" s="319" t="s">
        <v>18</v>
      </c>
      <c r="D391" s="347"/>
      <c r="E391" s="656">
        <v>42</v>
      </c>
      <c r="F391" s="628" t="s">
        <v>2667</v>
      </c>
      <c r="G391" s="226">
        <v>42</v>
      </c>
      <c r="H391" s="178">
        <v>768</v>
      </c>
      <c r="I391" s="226">
        <v>515</v>
      </c>
      <c r="J391" s="820">
        <f t="shared" si="56"/>
        <v>28.1640625</v>
      </c>
      <c r="K391" s="820">
        <f t="shared" si="57"/>
        <v>70.1640625</v>
      </c>
      <c r="L391" s="228"/>
      <c r="M391" s="226">
        <f t="shared" si="58"/>
        <v>98.229687499999997</v>
      </c>
      <c r="N391" s="226">
        <v>125</v>
      </c>
      <c r="O391" s="167"/>
      <c r="P391" s="395"/>
      <c r="Q391" s="395"/>
      <c r="R391" s="833"/>
      <c r="S391" s="395"/>
      <c r="T391" s="395"/>
    </row>
    <row r="392" spans="1:20" s="149" customFormat="1" ht="15" customHeight="1" outlineLevel="1" x14ac:dyDescent="0.25">
      <c r="A392" s="225"/>
      <c r="C392" s="319" t="s">
        <v>18</v>
      </c>
      <c r="D392" s="347"/>
      <c r="E392" s="656">
        <v>44</v>
      </c>
      <c r="F392" s="628" t="s">
        <v>2667</v>
      </c>
      <c r="G392" s="226">
        <v>42</v>
      </c>
      <c r="H392" s="178">
        <v>768</v>
      </c>
      <c r="I392" s="226">
        <v>515</v>
      </c>
      <c r="J392" s="820">
        <f t="shared" si="56"/>
        <v>28.1640625</v>
      </c>
      <c r="K392" s="820">
        <f t="shared" si="57"/>
        <v>70.1640625</v>
      </c>
      <c r="L392" s="228"/>
      <c r="M392" s="226">
        <f t="shared" si="58"/>
        <v>98.229687499999997</v>
      </c>
      <c r="N392" s="226">
        <v>125</v>
      </c>
      <c r="O392" s="167"/>
      <c r="P392" s="395"/>
      <c r="Q392" s="395"/>
      <c r="R392" s="833"/>
      <c r="S392" s="395"/>
      <c r="T392" s="395"/>
    </row>
    <row r="393" spans="1:20" s="149" customFormat="1" ht="15" customHeight="1" outlineLevel="1" x14ac:dyDescent="0.25">
      <c r="A393" s="225"/>
      <c r="C393" s="319" t="s">
        <v>18</v>
      </c>
      <c r="D393" s="347"/>
      <c r="E393" s="656">
        <v>46</v>
      </c>
      <c r="F393" s="628" t="s">
        <v>2667</v>
      </c>
      <c r="G393" s="226">
        <v>42</v>
      </c>
      <c r="H393" s="178">
        <v>768</v>
      </c>
      <c r="I393" s="226">
        <v>515</v>
      </c>
      <c r="J393" s="820">
        <f t="shared" si="56"/>
        <v>28.1640625</v>
      </c>
      <c r="K393" s="820">
        <f t="shared" si="57"/>
        <v>70.1640625</v>
      </c>
      <c r="L393" s="228"/>
      <c r="M393" s="226">
        <f t="shared" si="58"/>
        <v>98.229687499999997</v>
      </c>
      <c r="N393" s="226">
        <v>125</v>
      </c>
      <c r="O393" s="167"/>
      <c r="P393" s="395"/>
      <c r="Q393" s="395"/>
      <c r="R393" s="833"/>
      <c r="S393" s="395"/>
      <c r="T393" s="395"/>
    </row>
    <row r="394" spans="1:20" s="149" customFormat="1" ht="15" customHeight="1" outlineLevel="1" x14ac:dyDescent="0.25">
      <c r="A394" s="225"/>
      <c r="C394" s="319" t="s">
        <v>18</v>
      </c>
      <c r="D394" s="347"/>
      <c r="E394" s="656">
        <v>48</v>
      </c>
      <c r="F394" s="628" t="s">
        <v>2667</v>
      </c>
      <c r="G394" s="226">
        <v>42</v>
      </c>
      <c r="H394" s="178">
        <v>768</v>
      </c>
      <c r="I394" s="226">
        <v>515</v>
      </c>
      <c r="J394" s="820">
        <f t="shared" si="56"/>
        <v>28.1640625</v>
      </c>
      <c r="K394" s="820">
        <f t="shared" si="57"/>
        <v>70.1640625</v>
      </c>
      <c r="L394" s="228"/>
      <c r="M394" s="226">
        <f t="shared" si="58"/>
        <v>98.229687499999997</v>
      </c>
      <c r="N394" s="226">
        <v>125</v>
      </c>
      <c r="O394" s="167"/>
      <c r="P394" s="395"/>
      <c r="Q394" s="395"/>
      <c r="R394" s="833"/>
      <c r="S394" s="395"/>
      <c r="T394" s="395"/>
    </row>
    <row r="395" spans="1:20" s="149" customFormat="1" ht="15" customHeight="1" outlineLevel="1" x14ac:dyDescent="0.25">
      <c r="A395" s="225"/>
      <c r="C395" s="319" t="s">
        <v>18</v>
      </c>
      <c r="D395" s="347"/>
      <c r="E395" s="656">
        <v>42</v>
      </c>
      <c r="F395" s="628" t="s">
        <v>2668</v>
      </c>
      <c r="G395" s="226">
        <v>42</v>
      </c>
      <c r="H395" s="178">
        <v>768</v>
      </c>
      <c r="I395" s="226">
        <v>515</v>
      </c>
      <c r="J395" s="820">
        <f t="shared" si="56"/>
        <v>28.1640625</v>
      </c>
      <c r="K395" s="820">
        <f t="shared" si="57"/>
        <v>70.1640625</v>
      </c>
      <c r="L395" s="228"/>
      <c r="M395" s="226">
        <f t="shared" si="58"/>
        <v>98.229687499999997</v>
      </c>
      <c r="N395" s="226">
        <v>125</v>
      </c>
      <c r="O395" s="167"/>
      <c r="P395" s="395"/>
      <c r="Q395" s="395"/>
      <c r="R395" s="833"/>
      <c r="S395" s="395"/>
      <c r="T395" s="395"/>
    </row>
    <row r="396" spans="1:20" s="149" customFormat="1" ht="15" customHeight="1" outlineLevel="1" x14ac:dyDescent="0.25">
      <c r="A396" s="225"/>
      <c r="C396" s="319" t="s">
        <v>18</v>
      </c>
      <c r="D396" s="347"/>
      <c r="E396" s="656">
        <v>44</v>
      </c>
      <c r="F396" s="628" t="s">
        <v>2668</v>
      </c>
      <c r="G396" s="226">
        <v>42</v>
      </c>
      <c r="H396" s="178">
        <v>768</v>
      </c>
      <c r="I396" s="226">
        <v>515</v>
      </c>
      <c r="J396" s="820">
        <f t="shared" si="56"/>
        <v>28.1640625</v>
      </c>
      <c r="K396" s="820">
        <f t="shared" si="57"/>
        <v>70.1640625</v>
      </c>
      <c r="L396" s="228"/>
      <c r="M396" s="226">
        <f t="shared" si="58"/>
        <v>98.229687499999997</v>
      </c>
      <c r="N396" s="226">
        <v>125</v>
      </c>
      <c r="O396" s="167"/>
      <c r="P396" s="395"/>
      <c r="Q396" s="395"/>
      <c r="R396" s="833"/>
      <c r="S396" s="395"/>
      <c r="T396" s="395"/>
    </row>
    <row r="397" spans="1:20" s="149" customFormat="1" ht="15" customHeight="1" outlineLevel="1" x14ac:dyDescent="0.25">
      <c r="A397" s="225"/>
      <c r="C397" s="319" t="s">
        <v>18</v>
      </c>
      <c r="D397" s="347"/>
      <c r="E397" s="656">
        <v>46</v>
      </c>
      <c r="F397" s="628" t="s">
        <v>2668</v>
      </c>
      <c r="G397" s="226">
        <v>42</v>
      </c>
      <c r="H397" s="178">
        <v>768</v>
      </c>
      <c r="I397" s="226">
        <v>515</v>
      </c>
      <c r="J397" s="820">
        <f t="shared" si="56"/>
        <v>28.1640625</v>
      </c>
      <c r="K397" s="820">
        <f t="shared" si="57"/>
        <v>70.1640625</v>
      </c>
      <c r="L397" s="228"/>
      <c r="M397" s="226">
        <f t="shared" si="58"/>
        <v>98.229687499999997</v>
      </c>
      <c r="N397" s="226">
        <v>125</v>
      </c>
      <c r="O397" s="167"/>
      <c r="P397" s="395"/>
      <c r="Q397" s="395"/>
      <c r="R397" s="833"/>
      <c r="S397" s="395"/>
      <c r="T397" s="395"/>
    </row>
    <row r="398" spans="1:20" s="149" customFormat="1" ht="15" customHeight="1" outlineLevel="1" x14ac:dyDescent="0.25">
      <c r="A398" s="225"/>
      <c r="C398" s="319" t="s">
        <v>18</v>
      </c>
      <c r="D398" s="347"/>
      <c r="E398" s="656">
        <v>48</v>
      </c>
      <c r="F398" s="628" t="s">
        <v>2668</v>
      </c>
      <c r="G398" s="226">
        <v>42</v>
      </c>
      <c r="H398" s="178">
        <v>768</v>
      </c>
      <c r="I398" s="226">
        <v>515</v>
      </c>
      <c r="J398" s="820">
        <f t="shared" si="56"/>
        <v>28.1640625</v>
      </c>
      <c r="K398" s="820">
        <f t="shared" si="57"/>
        <v>70.1640625</v>
      </c>
      <c r="L398" s="228"/>
      <c r="M398" s="226">
        <f t="shared" si="58"/>
        <v>98.229687499999997</v>
      </c>
      <c r="N398" s="226">
        <v>125</v>
      </c>
      <c r="O398" s="167"/>
      <c r="P398" s="395"/>
      <c r="Q398" s="395"/>
      <c r="R398" s="833"/>
      <c r="S398" s="395"/>
      <c r="T398" s="395"/>
    </row>
    <row r="399" spans="1:20" s="149" customFormat="1" ht="15" customHeight="1" outlineLevel="1" x14ac:dyDescent="0.25">
      <c r="A399" s="225"/>
      <c r="C399" s="319" t="s">
        <v>18</v>
      </c>
      <c r="D399" s="347"/>
      <c r="E399" s="656">
        <v>50</v>
      </c>
      <c r="F399" s="628" t="s">
        <v>2669</v>
      </c>
      <c r="G399" s="226">
        <v>42</v>
      </c>
      <c r="H399" s="178">
        <v>768</v>
      </c>
      <c r="I399" s="226">
        <v>515</v>
      </c>
      <c r="J399" s="820">
        <f t="shared" si="56"/>
        <v>28.1640625</v>
      </c>
      <c r="K399" s="820">
        <f t="shared" si="57"/>
        <v>70.1640625</v>
      </c>
      <c r="L399" s="228"/>
      <c r="M399" s="226">
        <f t="shared" si="58"/>
        <v>98.229687499999997</v>
      </c>
      <c r="N399" s="226">
        <v>125</v>
      </c>
      <c r="O399" s="167"/>
      <c r="P399" s="395"/>
      <c r="Q399" s="395"/>
      <c r="R399" s="833"/>
      <c r="S399" s="395"/>
      <c r="T399" s="395"/>
    </row>
    <row r="400" spans="1:20" s="149" customFormat="1" ht="15" customHeight="1" outlineLevel="1" x14ac:dyDescent="0.25">
      <c r="A400" s="225"/>
      <c r="C400" s="319" t="s">
        <v>18</v>
      </c>
      <c r="D400" s="347"/>
      <c r="E400" s="656">
        <v>52</v>
      </c>
      <c r="F400" s="628" t="s">
        <v>2669</v>
      </c>
      <c r="G400" s="226">
        <v>42</v>
      </c>
      <c r="H400" s="178">
        <v>768</v>
      </c>
      <c r="I400" s="226">
        <v>515</v>
      </c>
      <c r="J400" s="820">
        <f t="shared" si="56"/>
        <v>28.1640625</v>
      </c>
      <c r="K400" s="820">
        <f t="shared" si="57"/>
        <v>70.1640625</v>
      </c>
      <c r="L400" s="228"/>
      <c r="M400" s="226">
        <f t="shared" si="58"/>
        <v>98.229687499999997</v>
      </c>
      <c r="N400" s="226">
        <v>125</v>
      </c>
      <c r="O400" s="167"/>
      <c r="P400" s="395"/>
      <c r="Q400" s="395"/>
      <c r="R400" s="833"/>
      <c r="S400" s="395"/>
      <c r="T400" s="395"/>
    </row>
    <row r="401" spans="1:20" s="149" customFormat="1" ht="15" customHeight="1" outlineLevel="1" x14ac:dyDescent="0.25">
      <c r="A401" s="225"/>
      <c r="C401" s="319" t="s">
        <v>18</v>
      </c>
      <c r="D401" s="347"/>
      <c r="E401" s="656">
        <v>54</v>
      </c>
      <c r="F401" s="628" t="s">
        <v>2669</v>
      </c>
      <c r="G401" s="226">
        <v>42</v>
      </c>
      <c r="H401" s="178">
        <v>768</v>
      </c>
      <c r="I401" s="226">
        <v>515</v>
      </c>
      <c r="J401" s="820">
        <f t="shared" si="56"/>
        <v>28.1640625</v>
      </c>
      <c r="K401" s="820">
        <f t="shared" si="57"/>
        <v>70.1640625</v>
      </c>
      <c r="L401" s="228"/>
      <c r="M401" s="226">
        <f t="shared" si="58"/>
        <v>98.229687499999997</v>
      </c>
      <c r="N401" s="226">
        <v>125</v>
      </c>
      <c r="O401" s="167"/>
      <c r="P401" s="395"/>
      <c r="Q401" s="395"/>
      <c r="R401" s="833"/>
      <c r="S401" s="395"/>
      <c r="T401" s="395"/>
    </row>
    <row r="402" spans="1:20" s="149" customFormat="1" ht="15" customHeight="1" outlineLevel="1" x14ac:dyDescent="0.25">
      <c r="A402" s="225"/>
      <c r="C402" s="319" t="s">
        <v>18</v>
      </c>
      <c r="D402" s="347"/>
      <c r="E402" s="656">
        <v>56</v>
      </c>
      <c r="F402" s="628" t="s">
        <v>2669</v>
      </c>
      <c r="G402" s="226">
        <v>42</v>
      </c>
      <c r="H402" s="178">
        <v>768</v>
      </c>
      <c r="I402" s="226">
        <v>515</v>
      </c>
      <c r="J402" s="820">
        <f t="shared" si="56"/>
        <v>28.1640625</v>
      </c>
      <c r="K402" s="820">
        <f t="shared" si="57"/>
        <v>70.1640625</v>
      </c>
      <c r="L402" s="228"/>
      <c r="M402" s="226">
        <f t="shared" si="58"/>
        <v>98.229687499999997</v>
      </c>
      <c r="N402" s="226">
        <v>125</v>
      </c>
      <c r="O402" s="167"/>
      <c r="P402" s="395"/>
      <c r="Q402" s="395"/>
      <c r="R402" s="833"/>
      <c r="S402" s="395"/>
      <c r="T402" s="395"/>
    </row>
    <row r="403" spans="1:20" s="149" customFormat="1" ht="15" customHeight="1" outlineLevel="1" x14ac:dyDescent="0.25">
      <c r="A403" s="225"/>
      <c r="C403" s="319"/>
      <c r="D403" s="347"/>
      <c r="E403" s="656"/>
      <c r="F403" s="628"/>
      <c r="G403" s="226">
        <f>SUM(G379:G402)</f>
        <v>768</v>
      </c>
      <c r="H403" s="178">
        <v>768</v>
      </c>
      <c r="I403" s="226">
        <v>515</v>
      </c>
      <c r="J403" s="820">
        <f t="shared" ref="J403" si="59">+G403/H403*I403</f>
        <v>515</v>
      </c>
      <c r="K403" s="820">
        <f t="shared" ref="K403" si="60">+G403+J403</f>
        <v>1283</v>
      </c>
      <c r="L403" s="228"/>
      <c r="M403" s="226">
        <f t="shared" ref="M403" si="61">+K403*1.4</f>
        <v>1796.1999999999998</v>
      </c>
      <c r="N403" s="226"/>
      <c r="O403" s="167"/>
      <c r="P403" s="395"/>
      <c r="Q403" s="395"/>
      <c r="R403" s="833"/>
      <c r="S403" s="395"/>
      <c r="T403" s="395"/>
    </row>
    <row r="404" spans="1:20" s="149" customFormat="1" ht="15" customHeight="1" outlineLevel="1" x14ac:dyDescent="0.25">
      <c r="A404" s="225"/>
      <c r="C404" s="319"/>
      <c r="D404" s="347"/>
      <c r="E404" s="656"/>
      <c r="F404" s="628"/>
      <c r="G404" s="226">
        <f>SUM(G379:G403)</f>
        <v>1536</v>
      </c>
      <c r="H404" s="178"/>
      <c r="I404" s="226"/>
      <c r="J404" s="820"/>
      <c r="K404" s="820"/>
      <c r="L404" s="228"/>
      <c r="M404" s="226"/>
      <c r="N404" s="226"/>
      <c r="O404" s="167"/>
      <c r="P404" s="395"/>
      <c r="Q404" s="395"/>
      <c r="R404" s="833"/>
      <c r="S404" s="395"/>
      <c r="T404" s="395"/>
    </row>
    <row r="405" spans="1:20" x14ac:dyDescent="0.25">
      <c r="A405" s="178"/>
      <c r="G405" s="226">
        <v>425</v>
      </c>
      <c r="H405" s="178">
        <v>425</v>
      </c>
      <c r="I405" s="226">
        <v>315</v>
      </c>
      <c r="J405" s="820">
        <f t="shared" ref="J405" si="62">+G405/H405*I405</f>
        <v>315</v>
      </c>
      <c r="K405" s="820">
        <f t="shared" ref="K405" si="63">+G405+J405</f>
        <v>740</v>
      </c>
      <c r="L405" s="228"/>
      <c r="M405" s="226">
        <f t="shared" ref="M405" si="64">+K405*1.4</f>
        <v>1036</v>
      </c>
      <c r="N405" s="226">
        <f>+M405/30</f>
        <v>34.533333333333331</v>
      </c>
    </row>
    <row r="406" spans="1:20" x14ac:dyDescent="0.25">
      <c r="A406" s="178"/>
      <c r="F406" s="379" t="s">
        <v>2676</v>
      </c>
      <c r="J406" s="820"/>
      <c r="K406" s="820"/>
      <c r="L406" s="228"/>
    </row>
    <row r="407" spans="1:20" x14ac:dyDescent="0.25">
      <c r="A407" s="178"/>
      <c r="B407" s="319" t="s">
        <v>213</v>
      </c>
      <c r="C407" s="319" t="s">
        <v>213</v>
      </c>
      <c r="E407" s="656" t="s">
        <v>503</v>
      </c>
      <c r="F407" s="628" t="s">
        <v>2677</v>
      </c>
      <c r="G407" s="226">
        <v>28</v>
      </c>
      <c r="H407" s="178">
        <v>1120</v>
      </c>
      <c r="I407" s="226">
        <f>16*40+1400*0.045</f>
        <v>703</v>
      </c>
      <c r="J407" s="820">
        <f>+G407/H407*I407</f>
        <v>17.574999999999999</v>
      </c>
      <c r="K407" s="820">
        <f>+G407+J407</f>
        <v>45.575000000000003</v>
      </c>
      <c r="L407" s="228"/>
      <c r="M407" s="226">
        <f>+K407*1.4</f>
        <v>63.805</v>
      </c>
      <c r="N407" s="226">
        <v>75</v>
      </c>
    </row>
    <row r="408" spans="1:20" x14ac:dyDescent="0.25">
      <c r="A408" s="178"/>
      <c r="B408" s="319" t="s">
        <v>213</v>
      </c>
      <c r="C408" s="319" t="s">
        <v>213</v>
      </c>
      <c r="E408" s="656" t="s">
        <v>501</v>
      </c>
      <c r="F408" s="628" t="s">
        <v>2677</v>
      </c>
      <c r="G408" s="226">
        <v>28</v>
      </c>
      <c r="H408" s="178">
        <v>1120</v>
      </c>
      <c r="I408" s="226">
        <f t="shared" ref="I408:I452" si="65">16*40+1400*0.045</f>
        <v>703</v>
      </c>
      <c r="J408" s="820">
        <f t="shared" ref="J408:J452" si="66">+G408/H408*I408</f>
        <v>17.574999999999999</v>
      </c>
      <c r="K408" s="820">
        <f t="shared" ref="K408:K452" si="67">+G408+J408</f>
        <v>45.575000000000003</v>
      </c>
      <c r="L408" s="228"/>
      <c r="M408" s="226">
        <f t="shared" ref="M408:M452" si="68">+K408*1.4</f>
        <v>63.805</v>
      </c>
      <c r="N408" s="226">
        <v>75</v>
      </c>
    </row>
    <row r="409" spans="1:20" x14ac:dyDescent="0.25">
      <c r="A409" s="178"/>
      <c r="B409" s="319" t="s">
        <v>213</v>
      </c>
      <c r="C409" s="319" t="s">
        <v>213</v>
      </c>
      <c r="E409" s="656" t="s">
        <v>504</v>
      </c>
      <c r="F409" s="628" t="s">
        <v>2677</v>
      </c>
      <c r="G409" s="226">
        <v>28</v>
      </c>
      <c r="H409" s="178">
        <v>1120</v>
      </c>
      <c r="I409" s="226">
        <f t="shared" si="65"/>
        <v>703</v>
      </c>
      <c r="J409" s="820">
        <f t="shared" si="66"/>
        <v>17.574999999999999</v>
      </c>
      <c r="K409" s="820">
        <f t="shared" si="67"/>
        <v>45.575000000000003</v>
      </c>
      <c r="L409" s="228"/>
      <c r="M409" s="226">
        <f t="shared" si="68"/>
        <v>63.805</v>
      </c>
      <c r="N409" s="226">
        <v>75</v>
      </c>
    </row>
    <row r="410" spans="1:20" x14ac:dyDescent="0.25">
      <c r="A410" s="178"/>
      <c r="B410" s="319" t="s">
        <v>213</v>
      </c>
      <c r="C410" s="319" t="s">
        <v>213</v>
      </c>
      <c r="E410" s="656" t="s">
        <v>503</v>
      </c>
      <c r="F410" s="628" t="s">
        <v>2678</v>
      </c>
      <c r="G410" s="226">
        <v>28</v>
      </c>
      <c r="H410" s="178">
        <v>1120</v>
      </c>
      <c r="I410" s="226">
        <f t="shared" si="65"/>
        <v>703</v>
      </c>
      <c r="J410" s="820">
        <f t="shared" si="66"/>
        <v>17.574999999999999</v>
      </c>
      <c r="K410" s="820">
        <f t="shared" si="67"/>
        <v>45.575000000000003</v>
      </c>
      <c r="L410" s="228"/>
      <c r="M410" s="226">
        <f t="shared" si="68"/>
        <v>63.805</v>
      </c>
      <c r="N410" s="226">
        <v>75</v>
      </c>
    </row>
    <row r="411" spans="1:20" x14ac:dyDescent="0.25">
      <c r="A411" s="178"/>
      <c r="B411" s="319" t="s">
        <v>213</v>
      </c>
      <c r="C411" s="319" t="s">
        <v>213</v>
      </c>
      <c r="E411" s="656" t="s">
        <v>501</v>
      </c>
      <c r="F411" s="628" t="s">
        <v>2679</v>
      </c>
      <c r="G411" s="226">
        <v>28</v>
      </c>
      <c r="H411" s="178">
        <v>1120</v>
      </c>
      <c r="I411" s="226">
        <f t="shared" si="65"/>
        <v>703</v>
      </c>
      <c r="J411" s="820">
        <f t="shared" si="66"/>
        <v>17.574999999999999</v>
      </c>
      <c r="K411" s="820">
        <f t="shared" si="67"/>
        <v>45.575000000000003</v>
      </c>
      <c r="L411" s="228"/>
      <c r="M411" s="226">
        <f t="shared" si="68"/>
        <v>63.805</v>
      </c>
      <c r="N411" s="226">
        <v>75</v>
      </c>
    </row>
    <row r="412" spans="1:20" x14ac:dyDescent="0.25">
      <c r="A412" s="178"/>
      <c r="B412" s="319" t="s">
        <v>213</v>
      </c>
      <c r="C412" s="319" t="s">
        <v>213</v>
      </c>
      <c r="E412" s="656" t="s">
        <v>504</v>
      </c>
      <c r="F412" s="628" t="s">
        <v>2679</v>
      </c>
      <c r="G412" s="226">
        <v>28</v>
      </c>
      <c r="H412" s="178">
        <v>1120</v>
      </c>
      <c r="I412" s="226">
        <f t="shared" si="65"/>
        <v>703</v>
      </c>
      <c r="J412" s="820">
        <f t="shared" si="66"/>
        <v>17.574999999999999</v>
      </c>
      <c r="K412" s="820">
        <f t="shared" si="67"/>
        <v>45.575000000000003</v>
      </c>
      <c r="L412" s="228"/>
      <c r="M412" s="226">
        <f t="shared" si="68"/>
        <v>63.805</v>
      </c>
      <c r="N412" s="226">
        <v>75</v>
      </c>
    </row>
    <row r="413" spans="1:20" x14ac:dyDescent="0.25">
      <c r="A413" s="178"/>
      <c r="B413" s="319" t="s">
        <v>213</v>
      </c>
      <c r="C413" s="319" t="s">
        <v>213</v>
      </c>
      <c r="E413" s="656" t="s">
        <v>507</v>
      </c>
      <c r="F413" s="628" t="s">
        <v>2679</v>
      </c>
      <c r="G413" s="226">
        <v>28</v>
      </c>
      <c r="H413" s="178">
        <v>1120</v>
      </c>
      <c r="I413" s="226">
        <f t="shared" si="65"/>
        <v>703</v>
      </c>
      <c r="J413" s="820">
        <f t="shared" si="66"/>
        <v>17.574999999999999</v>
      </c>
      <c r="K413" s="820">
        <f t="shared" si="67"/>
        <v>45.575000000000003</v>
      </c>
      <c r="L413" s="228"/>
      <c r="M413" s="226">
        <f t="shared" si="68"/>
        <v>63.805</v>
      </c>
      <c r="N413" s="226">
        <v>75</v>
      </c>
    </row>
    <row r="414" spans="1:20" x14ac:dyDescent="0.25">
      <c r="A414" s="178"/>
      <c r="B414" s="319" t="s">
        <v>213</v>
      </c>
      <c r="C414" s="319" t="s">
        <v>213</v>
      </c>
      <c r="E414" s="656" t="s">
        <v>503</v>
      </c>
      <c r="F414" s="628" t="s">
        <v>2680</v>
      </c>
      <c r="G414" s="226">
        <v>28</v>
      </c>
      <c r="H414" s="178">
        <v>1120</v>
      </c>
      <c r="I414" s="226">
        <f t="shared" si="65"/>
        <v>703</v>
      </c>
      <c r="J414" s="820">
        <f t="shared" si="66"/>
        <v>17.574999999999999</v>
      </c>
      <c r="K414" s="820">
        <f t="shared" si="67"/>
        <v>45.575000000000003</v>
      </c>
      <c r="L414" s="228"/>
      <c r="M414" s="226">
        <f t="shared" si="68"/>
        <v>63.805</v>
      </c>
      <c r="N414" s="226">
        <v>80</v>
      </c>
    </row>
    <row r="415" spans="1:20" x14ac:dyDescent="0.25">
      <c r="A415" s="178"/>
      <c r="B415" s="319" t="s">
        <v>213</v>
      </c>
      <c r="C415" s="319" t="s">
        <v>213</v>
      </c>
      <c r="E415" s="656" t="s">
        <v>501</v>
      </c>
      <c r="F415" s="628" t="s">
        <v>2680</v>
      </c>
      <c r="G415" s="226">
        <v>28</v>
      </c>
      <c r="H415" s="178">
        <v>1120</v>
      </c>
      <c r="I415" s="226">
        <f t="shared" si="65"/>
        <v>703</v>
      </c>
      <c r="J415" s="820">
        <f t="shared" si="66"/>
        <v>17.574999999999999</v>
      </c>
      <c r="K415" s="820">
        <f t="shared" si="67"/>
        <v>45.575000000000003</v>
      </c>
      <c r="L415" s="228"/>
      <c r="M415" s="226">
        <f t="shared" si="68"/>
        <v>63.805</v>
      </c>
      <c r="N415" s="226">
        <v>80</v>
      </c>
    </row>
    <row r="416" spans="1:20" x14ac:dyDescent="0.25">
      <c r="A416" s="178"/>
      <c r="B416" s="319" t="s">
        <v>213</v>
      </c>
      <c r="C416" s="319" t="s">
        <v>213</v>
      </c>
      <c r="E416" s="656" t="s">
        <v>504</v>
      </c>
      <c r="F416" s="628" t="s">
        <v>2680</v>
      </c>
      <c r="G416" s="226">
        <v>28</v>
      </c>
      <c r="H416" s="178">
        <v>1120</v>
      </c>
      <c r="I416" s="226">
        <f t="shared" si="65"/>
        <v>703</v>
      </c>
      <c r="J416" s="820">
        <f t="shared" si="66"/>
        <v>17.574999999999999</v>
      </c>
      <c r="K416" s="820">
        <f t="shared" si="67"/>
        <v>45.575000000000003</v>
      </c>
      <c r="L416" s="228"/>
      <c r="M416" s="226">
        <f t="shared" si="68"/>
        <v>63.805</v>
      </c>
      <c r="N416" s="226">
        <v>80</v>
      </c>
    </row>
    <row r="417" spans="1:14" x14ac:dyDescent="0.25">
      <c r="A417" s="178"/>
      <c r="B417" s="319" t="s">
        <v>213</v>
      </c>
      <c r="C417" s="319" t="s">
        <v>213</v>
      </c>
      <c r="E417" s="656" t="s">
        <v>507</v>
      </c>
      <c r="F417" s="628" t="s">
        <v>2680</v>
      </c>
      <c r="G417" s="226">
        <v>28</v>
      </c>
      <c r="H417" s="178">
        <v>1120</v>
      </c>
      <c r="I417" s="226">
        <f t="shared" si="65"/>
        <v>703</v>
      </c>
      <c r="J417" s="820">
        <f t="shared" si="66"/>
        <v>17.574999999999999</v>
      </c>
      <c r="K417" s="820">
        <f t="shared" si="67"/>
        <v>45.575000000000003</v>
      </c>
      <c r="L417" s="228"/>
      <c r="M417" s="226">
        <f t="shared" si="68"/>
        <v>63.805</v>
      </c>
      <c r="N417" s="226">
        <v>80</v>
      </c>
    </row>
    <row r="418" spans="1:14" x14ac:dyDescent="0.25">
      <c r="A418" s="178"/>
      <c r="B418" s="319" t="s">
        <v>213</v>
      </c>
      <c r="C418" s="319" t="s">
        <v>213</v>
      </c>
      <c r="E418" s="656" t="s">
        <v>503</v>
      </c>
      <c r="F418" s="628" t="s">
        <v>2681</v>
      </c>
      <c r="G418" s="226">
        <v>28</v>
      </c>
      <c r="H418" s="178">
        <v>1120</v>
      </c>
      <c r="I418" s="226">
        <f t="shared" si="65"/>
        <v>703</v>
      </c>
      <c r="J418" s="820">
        <f t="shared" si="66"/>
        <v>17.574999999999999</v>
      </c>
      <c r="K418" s="820">
        <f t="shared" si="67"/>
        <v>45.575000000000003</v>
      </c>
      <c r="L418" s="228"/>
      <c r="M418" s="226">
        <f t="shared" si="68"/>
        <v>63.805</v>
      </c>
      <c r="N418" s="226">
        <v>80</v>
      </c>
    </row>
    <row r="419" spans="1:14" x14ac:dyDescent="0.25">
      <c r="A419" s="178"/>
      <c r="B419" s="319" t="s">
        <v>213</v>
      </c>
      <c r="C419" s="319" t="s">
        <v>213</v>
      </c>
      <c r="E419" s="656" t="s">
        <v>501</v>
      </c>
      <c r="F419" s="628" t="s">
        <v>2681</v>
      </c>
      <c r="G419" s="226">
        <v>28</v>
      </c>
      <c r="H419" s="178">
        <v>1120</v>
      </c>
      <c r="I419" s="226">
        <f t="shared" si="65"/>
        <v>703</v>
      </c>
      <c r="J419" s="820">
        <f t="shared" si="66"/>
        <v>17.574999999999999</v>
      </c>
      <c r="K419" s="820">
        <f t="shared" si="67"/>
        <v>45.575000000000003</v>
      </c>
      <c r="L419" s="228"/>
      <c r="M419" s="226">
        <f t="shared" si="68"/>
        <v>63.805</v>
      </c>
      <c r="N419" s="226">
        <v>80</v>
      </c>
    </row>
    <row r="420" spans="1:14" x14ac:dyDescent="0.25">
      <c r="A420" s="178"/>
      <c r="B420" s="319" t="s">
        <v>213</v>
      </c>
      <c r="C420" s="319" t="s">
        <v>213</v>
      </c>
      <c r="E420" s="656" t="s">
        <v>504</v>
      </c>
      <c r="F420" s="628" t="s">
        <v>2681</v>
      </c>
      <c r="G420" s="226">
        <v>28</v>
      </c>
      <c r="H420" s="178">
        <v>1120</v>
      </c>
      <c r="I420" s="226">
        <f t="shared" si="65"/>
        <v>703</v>
      </c>
      <c r="J420" s="820">
        <f t="shared" si="66"/>
        <v>17.574999999999999</v>
      </c>
      <c r="K420" s="820">
        <f t="shared" si="67"/>
        <v>45.575000000000003</v>
      </c>
      <c r="L420" s="228"/>
      <c r="M420" s="226">
        <f t="shared" si="68"/>
        <v>63.805</v>
      </c>
      <c r="N420" s="226">
        <v>80</v>
      </c>
    </row>
    <row r="421" spans="1:14" x14ac:dyDescent="0.25">
      <c r="A421" s="178"/>
      <c r="B421" s="319" t="s">
        <v>213</v>
      </c>
      <c r="C421" s="319" t="s">
        <v>213</v>
      </c>
      <c r="E421" s="656" t="s">
        <v>507</v>
      </c>
      <c r="F421" s="628" t="s">
        <v>2681</v>
      </c>
      <c r="G421" s="226">
        <v>28</v>
      </c>
      <c r="H421" s="178">
        <v>1120</v>
      </c>
      <c r="I421" s="226">
        <f t="shared" si="65"/>
        <v>703</v>
      </c>
      <c r="J421" s="820">
        <f t="shared" si="66"/>
        <v>17.574999999999999</v>
      </c>
      <c r="K421" s="820">
        <f t="shared" si="67"/>
        <v>45.575000000000003</v>
      </c>
      <c r="L421" s="228"/>
      <c r="M421" s="226">
        <f t="shared" si="68"/>
        <v>63.805</v>
      </c>
      <c r="N421" s="226">
        <v>80</v>
      </c>
    </row>
    <row r="422" spans="1:14" x14ac:dyDescent="0.25">
      <c r="A422" s="178"/>
      <c r="B422" s="319" t="s">
        <v>213</v>
      </c>
      <c r="C422" s="319" t="s">
        <v>213</v>
      </c>
      <c r="E422" s="656" t="s">
        <v>501</v>
      </c>
      <c r="F422" s="628" t="s">
        <v>2682</v>
      </c>
      <c r="G422" s="226">
        <v>28</v>
      </c>
      <c r="H422" s="178">
        <v>1120</v>
      </c>
      <c r="I422" s="226">
        <f t="shared" si="65"/>
        <v>703</v>
      </c>
      <c r="J422" s="820">
        <f t="shared" si="66"/>
        <v>17.574999999999999</v>
      </c>
      <c r="K422" s="820">
        <f t="shared" si="67"/>
        <v>45.575000000000003</v>
      </c>
      <c r="L422" s="228"/>
      <c r="M422" s="226">
        <f t="shared" si="68"/>
        <v>63.805</v>
      </c>
      <c r="N422" s="226">
        <v>80</v>
      </c>
    </row>
    <row r="423" spans="1:14" x14ac:dyDescent="0.25">
      <c r="A423" s="178"/>
      <c r="B423" s="319" t="s">
        <v>213</v>
      </c>
      <c r="C423" s="319" t="s">
        <v>213</v>
      </c>
      <c r="E423" s="656" t="s">
        <v>504</v>
      </c>
      <c r="F423" s="628" t="s">
        <v>2682</v>
      </c>
      <c r="G423" s="226">
        <v>28</v>
      </c>
      <c r="H423" s="178">
        <v>1120</v>
      </c>
      <c r="I423" s="226">
        <f t="shared" si="65"/>
        <v>703</v>
      </c>
      <c r="J423" s="820">
        <f t="shared" si="66"/>
        <v>17.574999999999999</v>
      </c>
      <c r="K423" s="820">
        <f t="shared" si="67"/>
        <v>45.575000000000003</v>
      </c>
      <c r="L423" s="228"/>
      <c r="M423" s="226">
        <f t="shared" si="68"/>
        <v>63.805</v>
      </c>
      <c r="N423" s="226">
        <v>80</v>
      </c>
    </row>
    <row r="424" spans="1:14" x14ac:dyDescent="0.25">
      <c r="A424" s="178"/>
      <c r="B424" s="319" t="s">
        <v>213</v>
      </c>
      <c r="C424" s="319" t="s">
        <v>213</v>
      </c>
      <c r="E424" s="656" t="s">
        <v>507</v>
      </c>
      <c r="F424" s="628" t="s">
        <v>2682</v>
      </c>
      <c r="G424" s="226">
        <v>28</v>
      </c>
      <c r="H424" s="178">
        <v>1120</v>
      </c>
      <c r="I424" s="226">
        <f t="shared" si="65"/>
        <v>703</v>
      </c>
      <c r="J424" s="820">
        <f t="shared" si="66"/>
        <v>17.574999999999999</v>
      </c>
      <c r="K424" s="820">
        <f t="shared" si="67"/>
        <v>45.575000000000003</v>
      </c>
      <c r="L424" s="228"/>
      <c r="M424" s="226">
        <f t="shared" si="68"/>
        <v>63.805</v>
      </c>
      <c r="N424" s="226">
        <v>80</v>
      </c>
    </row>
    <row r="425" spans="1:14" x14ac:dyDescent="0.25">
      <c r="A425" s="178"/>
      <c r="B425" s="319" t="s">
        <v>213</v>
      </c>
      <c r="C425" s="319" t="s">
        <v>213</v>
      </c>
      <c r="E425" s="656" t="s">
        <v>501</v>
      </c>
      <c r="F425" s="628" t="s">
        <v>2683</v>
      </c>
      <c r="G425" s="226">
        <v>28</v>
      </c>
      <c r="H425" s="178">
        <v>1120</v>
      </c>
      <c r="I425" s="226">
        <f t="shared" si="65"/>
        <v>703</v>
      </c>
      <c r="J425" s="820">
        <f t="shared" si="66"/>
        <v>17.574999999999999</v>
      </c>
      <c r="K425" s="820">
        <f t="shared" si="67"/>
        <v>45.575000000000003</v>
      </c>
      <c r="L425" s="228"/>
      <c r="M425" s="226">
        <f t="shared" si="68"/>
        <v>63.805</v>
      </c>
      <c r="N425" s="226">
        <v>80</v>
      </c>
    </row>
    <row r="426" spans="1:14" x14ac:dyDescent="0.25">
      <c r="A426" s="178"/>
      <c r="B426" s="319" t="s">
        <v>213</v>
      </c>
      <c r="C426" s="319" t="s">
        <v>213</v>
      </c>
      <c r="E426" s="656" t="s">
        <v>504</v>
      </c>
      <c r="F426" s="628" t="s">
        <v>2683</v>
      </c>
      <c r="G426" s="226">
        <v>28</v>
      </c>
      <c r="H426" s="178">
        <v>1120</v>
      </c>
      <c r="I426" s="226">
        <f t="shared" si="65"/>
        <v>703</v>
      </c>
      <c r="J426" s="820">
        <f t="shared" si="66"/>
        <v>17.574999999999999</v>
      </c>
      <c r="K426" s="820">
        <f t="shared" si="67"/>
        <v>45.575000000000003</v>
      </c>
      <c r="L426" s="228"/>
      <c r="M426" s="226">
        <f t="shared" si="68"/>
        <v>63.805</v>
      </c>
      <c r="N426" s="226">
        <v>80</v>
      </c>
    </row>
    <row r="427" spans="1:14" x14ac:dyDescent="0.25">
      <c r="A427" s="178"/>
      <c r="B427" s="319" t="s">
        <v>213</v>
      </c>
      <c r="C427" s="319" t="s">
        <v>213</v>
      </c>
      <c r="E427" s="656" t="s">
        <v>507</v>
      </c>
      <c r="F427" s="628" t="s">
        <v>2683</v>
      </c>
      <c r="G427" s="226">
        <v>28</v>
      </c>
      <c r="H427" s="178">
        <v>1120</v>
      </c>
      <c r="I427" s="226">
        <f t="shared" si="65"/>
        <v>703</v>
      </c>
      <c r="J427" s="820">
        <f t="shared" si="66"/>
        <v>17.574999999999999</v>
      </c>
      <c r="K427" s="820">
        <f t="shared" si="67"/>
        <v>45.575000000000003</v>
      </c>
      <c r="L427" s="228"/>
      <c r="M427" s="226">
        <f t="shared" si="68"/>
        <v>63.805</v>
      </c>
      <c r="N427" s="226">
        <v>80</v>
      </c>
    </row>
    <row r="428" spans="1:14" x14ac:dyDescent="0.25">
      <c r="A428" s="178"/>
      <c r="B428" s="319" t="s">
        <v>213</v>
      </c>
      <c r="C428" s="319" t="s">
        <v>213</v>
      </c>
      <c r="E428" s="656" t="s">
        <v>501</v>
      </c>
      <c r="F428" s="628" t="s">
        <v>2684</v>
      </c>
      <c r="G428" s="226">
        <v>28</v>
      </c>
      <c r="H428" s="178">
        <v>1120</v>
      </c>
      <c r="I428" s="226">
        <f t="shared" si="65"/>
        <v>703</v>
      </c>
      <c r="J428" s="820">
        <f t="shared" si="66"/>
        <v>17.574999999999999</v>
      </c>
      <c r="K428" s="820">
        <f t="shared" si="67"/>
        <v>45.575000000000003</v>
      </c>
      <c r="L428" s="228"/>
      <c r="M428" s="226">
        <f t="shared" si="68"/>
        <v>63.805</v>
      </c>
      <c r="N428" s="226">
        <v>80</v>
      </c>
    </row>
    <row r="429" spans="1:14" x14ac:dyDescent="0.25">
      <c r="A429" s="178"/>
      <c r="B429" s="319" t="s">
        <v>213</v>
      </c>
      <c r="C429" s="319" t="s">
        <v>213</v>
      </c>
      <c r="E429" s="656" t="s">
        <v>504</v>
      </c>
      <c r="F429" s="628" t="s">
        <v>2684</v>
      </c>
      <c r="G429" s="226">
        <v>28</v>
      </c>
      <c r="H429" s="178">
        <v>1120</v>
      </c>
      <c r="I429" s="226">
        <f t="shared" si="65"/>
        <v>703</v>
      </c>
      <c r="J429" s="820">
        <f t="shared" si="66"/>
        <v>17.574999999999999</v>
      </c>
      <c r="K429" s="820">
        <f t="shared" si="67"/>
        <v>45.575000000000003</v>
      </c>
      <c r="L429" s="228"/>
      <c r="M429" s="226">
        <f t="shared" si="68"/>
        <v>63.805</v>
      </c>
      <c r="N429" s="226">
        <v>80</v>
      </c>
    </row>
    <row r="430" spans="1:14" x14ac:dyDescent="0.25">
      <c r="A430" s="178"/>
      <c r="B430" s="319" t="s">
        <v>213</v>
      </c>
      <c r="C430" s="319" t="s">
        <v>213</v>
      </c>
      <c r="E430" s="656" t="s">
        <v>507</v>
      </c>
      <c r="F430" s="628" t="s">
        <v>2684</v>
      </c>
      <c r="G430" s="226">
        <v>28</v>
      </c>
      <c r="H430" s="178">
        <v>1120</v>
      </c>
      <c r="I430" s="226">
        <f t="shared" si="65"/>
        <v>703</v>
      </c>
      <c r="J430" s="820">
        <f t="shared" si="66"/>
        <v>17.574999999999999</v>
      </c>
      <c r="K430" s="820">
        <f t="shared" si="67"/>
        <v>45.575000000000003</v>
      </c>
      <c r="L430" s="228"/>
      <c r="M430" s="226">
        <f t="shared" si="68"/>
        <v>63.805</v>
      </c>
      <c r="N430" s="226">
        <v>80</v>
      </c>
    </row>
    <row r="431" spans="1:14" x14ac:dyDescent="0.25">
      <c r="A431" s="178"/>
      <c r="B431" s="319"/>
      <c r="I431" s="226">
        <f t="shared" si="65"/>
        <v>703</v>
      </c>
      <c r="J431" s="820"/>
      <c r="K431" s="820"/>
      <c r="L431" s="228"/>
    </row>
    <row r="432" spans="1:14" x14ac:dyDescent="0.25">
      <c r="A432" s="178"/>
      <c r="B432" s="319" t="s">
        <v>213</v>
      </c>
      <c r="C432" s="319" t="s">
        <v>213</v>
      </c>
      <c r="E432" s="656" t="s">
        <v>503</v>
      </c>
      <c r="F432" s="628" t="s">
        <v>2685</v>
      </c>
      <c r="G432" s="226">
        <v>12</v>
      </c>
      <c r="H432" s="178">
        <v>1120</v>
      </c>
      <c r="I432" s="226">
        <f t="shared" si="65"/>
        <v>703</v>
      </c>
      <c r="J432" s="820">
        <f t="shared" si="66"/>
        <v>7.5321428571428575</v>
      </c>
      <c r="K432" s="820">
        <f t="shared" si="67"/>
        <v>19.532142857142858</v>
      </c>
      <c r="L432" s="228"/>
      <c r="M432" s="226">
        <f t="shared" si="68"/>
        <v>27.344999999999999</v>
      </c>
      <c r="N432" s="226">
        <v>45</v>
      </c>
    </row>
    <row r="433" spans="1:14" x14ac:dyDescent="0.25">
      <c r="A433" s="178"/>
      <c r="B433" s="319" t="s">
        <v>213</v>
      </c>
      <c r="C433" s="319" t="s">
        <v>213</v>
      </c>
      <c r="E433" s="656" t="s">
        <v>501</v>
      </c>
      <c r="F433" s="628" t="s">
        <v>2685</v>
      </c>
      <c r="G433" s="226">
        <v>12</v>
      </c>
      <c r="H433" s="178">
        <v>1120</v>
      </c>
      <c r="I433" s="226">
        <f t="shared" si="65"/>
        <v>703</v>
      </c>
      <c r="J433" s="820">
        <f t="shared" si="66"/>
        <v>7.5321428571428575</v>
      </c>
      <c r="K433" s="820">
        <f t="shared" si="67"/>
        <v>19.532142857142858</v>
      </c>
      <c r="L433" s="228"/>
      <c r="M433" s="226">
        <f t="shared" si="68"/>
        <v>27.344999999999999</v>
      </c>
      <c r="N433" s="226">
        <v>45</v>
      </c>
    </row>
    <row r="434" spans="1:14" x14ac:dyDescent="0.25">
      <c r="A434" s="178"/>
      <c r="B434" s="319" t="s">
        <v>213</v>
      </c>
      <c r="C434" s="319" t="s">
        <v>213</v>
      </c>
      <c r="E434" s="656" t="s">
        <v>504</v>
      </c>
      <c r="F434" s="628" t="s">
        <v>2685</v>
      </c>
      <c r="G434" s="226">
        <v>12</v>
      </c>
      <c r="H434" s="178">
        <v>1120</v>
      </c>
      <c r="I434" s="226">
        <f t="shared" si="65"/>
        <v>703</v>
      </c>
      <c r="J434" s="820">
        <f t="shared" si="66"/>
        <v>7.5321428571428575</v>
      </c>
      <c r="K434" s="820">
        <f t="shared" si="67"/>
        <v>19.532142857142858</v>
      </c>
      <c r="L434" s="228"/>
      <c r="M434" s="226">
        <f t="shared" si="68"/>
        <v>27.344999999999999</v>
      </c>
      <c r="N434" s="226">
        <v>45</v>
      </c>
    </row>
    <row r="435" spans="1:14" x14ac:dyDescent="0.25">
      <c r="A435" s="178"/>
      <c r="B435" s="319" t="s">
        <v>213</v>
      </c>
      <c r="C435" s="319" t="s">
        <v>213</v>
      </c>
      <c r="E435" s="656" t="s">
        <v>503</v>
      </c>
      <c r="F435" s="628" t="s">
        <v>2685</v>
      </c>
      <c r="G435" s="226">
        <v>12</v>
      </c>
      <c r="H435" s="178">
        <v>1120</v>
      </c>
      <c r="I435" s="226">
        <f t="shared" si="65"/>
        <v>703</v>
      </c>
      <c r="J435" s="820">
        <f t="shared" si="66"/>
        <v>7.5321428571428575</v>
      </c>
      <c r="K435" s="820">
        <f t="shared" si="67"/>
        <v>19.532142857142858</v>
      </c>
      <c r="L435" s="228"/>
      <c r="M435" s="226">
        <f t="shared" si="68"/>
        <v>27.344999999999999</v>
      </c>
      <c r="N435" s="226">
        <v>45</v>
      </c>
    </row>
    <row r="436" spans="1:14" x14ac:dyDescent="0.25">
      <c r="A436" s="178"/>
      <c r="B436" s="319" t="s">
        <v>213</v>
      </c>
      <c r="C436" s="319" t="s">
        <v>213</v>
      </c>
      <c r="E436" s="656" t="s">
        <v>501</v>
      </c>
      <c r="F436" s="628" t="s">
        <v>2685</v>
      </c>
      <c r="G436" s="226">
        <v>12</v>
      </c>
      <c r="H436" s="178">
        <v>1120</v>
      </c>
      <c r="I436" s="226">
        <f t="shared" si="65"/>
        <v>703</v>
      </c>
      <c r="J436" s="820">
        <f t="shared" si="66"/>
        <v>7.5321428571428575</v>
      </c>
      <c r="K436" s="820">
        <f t="shared" si="67"/>
        <v>19.532142857142858</v>
      </c>
      <c r="L436" s="228"/>
      <c r="M436" s="226">
        <f t="shared" si="68"/>
        <v>27.344999999999999</v>
      </c>
      <c r="N436" s="226">
        <v>45</v>
      </c>
    </row>
    <row r="437" spans="1:14" x14ac:dyDescent="0.25">
      <c r="A437" s="178"/>
      <c r="B437" s="319" t="s">
        <v>213</v>
      </c>
      <c r="C437" s="319" t="s">
        <v>213</v>
      </c>
      <c r="E437" s="656" t="s">
        <v>504</v>
      </c>
      <c r="F437" s="628" t="s">
        <v>2685</v>
      </c>
      <c r="G437" s="226">
        <v>12</v>
      </c>
      <c r="H437" s="178">
        <v>1120</v>
      </c>
      <c r="I437" s="226">
        <f t="shared" si="65"/>
        <v>703</v>
      </c>
      <c r="J437" s="820">
        <f t="shared" si="66"/>
        <v>7.5321428571428575</v>
      </c>
      <c r="K437" s="820">
        <f t="shared" si="67"/>
        <v>19.532142857142858</v>
      </c>
      <c r="L437" s="228"/>
      <c r="M437" s="226">
        <f t="shared" si="68"/>
        <v>27.344999999999999</v>
      </c>
      <c r="N437" s="226">
        <v>45</v>
      </c>
    </row>
    <row r="438" spans="1:14" x14ac:dyDescent="0.25">
      <c r="A438" s="178"/>
      <c r="B438" s="319" t="s">
        <v>213</v>
      </c>
      <c r="C438" s="319" t="s">
        <v>213</v>
      </c>
      <c r="E438" s="656" t="s">
        <v>503</v>
      </c>
      <c r="F438" s="628" t="s">
        <v>841</v>
      </c>
      <c r="G438" s="226">
        <v>12</v>
      </c>
      <c r="H438" s="178">
        <v>1120</v>
      </c>
      <c r="I438" s="226">
        <f t="shared" si="65"/>
        <v>703</v>
      </c>
      <c r="J438" s="820">
        <f t="shared" si="66"/>
        <v>7.5321428571428575</v>
      </c>
      <c r="K438" s="820">
        <f t="shared" si="67"/>
        <v>19.532142857142858</v>
      </c>
      <c r="L438" s="228"/>
      <c r="M438" s="226">
        <f t="shared" si="68"/>
        <v>27.344999999999999</v>
      </c>
      <c r="N438" s="226">
        <v>45</v>
      </c>
    </row>
    <row r="439" spans="1:14" x14ac:dyDescent="0.25">
      <c r="A439" s="178"/>
      <c r="B439" s="319" t="s">
        <v>213</v>
      </c>
      <c r="C439" s="319" t="s">
        <v>213</v>
      </c>
      <c r="E439" s="656" t="s">
        <v>501</v>
      </c>
      <c r="F439" s="628" t="s">
        <v>841</v>
      </c>
      <c r="G439" s="226">
        <v>12</v>
      </c>
      <c r="H439" s="178">
        <v>1120</v>
      </c>
      <c r="I439" s="226">
        <f t="shared" si="65"/>
        <v>703</v>
      </c>
      <c r="J439" s="820">
        <f t="shared" si="66"/>
        <v>7.5321428571428575</v>
      </c>
      <c r="K439" s="820">
        <f t="shared" si="67"/>
        <v>19.532142857142858</v>
      </c>
      <c r="L439" s="228"/>
      <c r="M439" s="226">
        <f t="shared" si="68"/>
        <v>27.344999999999999</v>
      </c>
      <c r="N439" s="226">
        <v>45</v>
      </c>
    </row>
    <row r="440" spans="1:14" x14ac:dyDescent="0.25">
      <c r="A440" s="178"/>
      <c r="B440" s="319" t="s">
        <v>213</v>
      </c>
      <c r="C440" s="319" t="s">
        <v>213</v>
      </c>
      <c r="E440" s="656" t="s">
        <v>504</v>
      </c>
      <c r="F440" s="628" t="s">
        <v>841</v>
      </c>
      <c r="G440" s="226">
        <v>12</v>
      </c>
      <c r="H440" s="178">
        <v>1120</v>
      </c>
      <c r="I440" s="226">
        <f t="shared" si="65"/>
        <v>703</v>
      </c>
      <c r="J440" s="820">
        <f t="shared" si="66"/>
        <v>7.5321428571428575</v>
      </c>
      <c r="K440" s="820">
        <f t="shared" si="67"/>
        <v>19.532142857142858</v>
      </c>
      <c r="L440" s="228"/>
      <c r="M440" s="226">
        <f t="shared" si="68"/>
        <v>27.344999999999999</v>
      </c>
      <c r="N440" s="226">
        <v>45</v>
      </c>
    </row>
    <row r="441" spans="1:14" x14ac:dyDescent="0.25">
      <c r="A441" s="178"/>
      <c r="B441" s="319" t="s">
        <v>213</v>
      </c>
      <c r="C441" s="319" t="s">
        <v>213</v>
      </c>
      <c r="E441" s="656" t="s">
        <v>503</v>
      </c>
      <c r="F441" s="628" t="s">
        <v>841</v>
      </c>
      <c r="G441" s="226">
        <v>12</v>
      </c>
      <c r="H441" s="178">
        <v>1120</v>
      </c>
      <c r="I441" s="226">
        <f t="shared" si="65"/>
        <v>703</v>
      </c>
      <c r="J441" s="820">
        <f t="shared" si="66"/>
        <v>7.5321428571428575</v>
      </c>
      <c r="K441" s="820">
        <f t="shared" si="67"/>
        <v>19.532142857142858</v>
      </c>
      <c r="L441" s="228"/>
      <c r="M441" s="226">
        <f t="shared" si="68"/>
        <v>27.344999999999999</v>
      </c>
      <c r="N441" s="226">
        <v>45</v>
      </c>
    </row>
    <row r="442" spans="1:14" x14ac:dyDescent="0.25">
      <c r="A442" s="178"/>
      <c r="B442" s="319" t="s">
        <v>213</v>
      </c>
      <c r="C442" s="319" t="s">
        <v>213</v>
      </c>
      <c r="E442" s="656" t="s">
        <v>501</v>
      </c>
      <c r="F442" s="628" t="s">
        <v>841</v>
      </c>
      <c r="G442" s="226">
        <v>12</v>
      </c>
      <c r="H442" s="178">
        <v>1120</v>
      </c>
      <c r="I442" s="226">
        <f t="shared" si="65"/>
        <v>703</v>
      </c>
      <c r="J442" s="820">
        <f t="shared" si="66"/>
        <v>7.5321428571428575</v>
      </c>
      <c r="K442" s="820">
        <f t="shared" si="67"/>
        <v>19.532142857142858</v>
      </c>
      <c r="L442" s="228"/>
      <c r="M442" s="226">
        <f t="shared" si="68"/>
        <v>27.344999999999999</v>
      </c>
      <c r="N442" s="226">
        <v>45</v>
      </c>
    </row>
    <row r="443" spans="1:14" x14ac:dyDescent="0.25">
      <c r="A443" s="178"/>
      <c r="B443" s="319" t="s">
        <v>213</v>
      </c>
      <c r="C443" s="319" t="s">
        <v>213</v>
      </c>
      <c r="E443" s="656" t="s">
        <v>504</v>
      </c>
      <c r="F443" s="628" t="s">
        <v>841</v>
      </c>
      <c r="G443" s="226">
        <v>12</v>
      </c>
      <c r="H443" s="178">
        <v>1120</v>
      </c>
      <c r="I443" s="226">
        <f t="shared" si="65"/>
        <v>703</v>
      </c>
      <c r="J443" s="820">
        <f t="shared" si="66"/>
        <v>7.5321428571428575</v>
      </c>
      <c r="K443" s="820">
        <f t="shared" si="67"/>
        <v>19.532142857142858</v>
      </c>
      <c r="L443" s="228"/>
      <c r="M443" s="226">
        <f t="shared" si="68"/>
        <v>27.344999999999999</v>
      </c>
      <c r="N443" s="226">
        <v>45</v>
      </c>
    </row>
    <row r="444" spans="1:14" x14ac:dyDescent="0.25">
      <c r="A444" s="178"/>
      <c r="F444" s="908" t="s">
        <v>276</v>
      </c>
      <c r="I444" s="226">
        <f t="shared" si="65"/>
        <v>703</v>
      </c>
      <c r="J444" s="820"/>
      <c r="K444" s="820"/>
      <c r="L444" s="228"/>
    </row>
    <row r="445" spans="1:14" x14ac:dyDescent="0.25">
      <c r="A445" s="178"/>
      <c r="B445" s="319" t="s">
        <v>2162</v>
      </c>
      <c r="C445" s="319" t="s">
        <v>2162</v>
      </c>
      <c r="E445" s="656">
        <v>46</v>
      </c>
      <c r="F445" s="628" t="s">
        <v>2686</v>
      </c>
      <c r="G445" s="226">
        <v>38</v>
      </c>
      <c r="H445" s="178">
        <v>1120</v>
      </c>
      <c r="I445" s="226">
        <f t="shared" si="65"/>
        <v>703</v>
      </c>
      <c r="J445" s="820">
        <f t="shared" si="66"/>
        <v>23.851785714285711</v>
      </c>
      <c r="K445" s="820">
        <f t="shared" si="67"/>
        <v>61.851785714285711</v>
      </c>
      <c r="L445" s="228"/>
      <c r="M445" s="226">
        <f t="shared" si="68"/>
        <v>86.592499999999987</v>
      </c>
      <c r="N445" s="226">
        <v>125</v>
      </c>
    </row>
    <row r="446" spans="1:14" x14ac:dyDescent="0.25">
      <c r="A446" s="178"/>
      <c r="B446" s="319" t="s">
        <v>2162</v>
      </c>
      <c r="C446" s="319" t="s">
        <v>2162</v>
      </c>
      <c r="E446" s="656">
        <v>48</v>
      </c>
      <c r="F446" s="628" t="s">
        <v>2686</v>
      </c>
      <c r="G446" s="226">
        <v>38</v>
      </c>
      <c r="H446" s="178">
        <v>1120</v>
      </c>
      <c r="I446" s="226">
        <f t="shared" si="65"/>
        <v>703</v>
      </c>
      <c r="J446" s="820">
        <f t="shared" si="66"/>
        <v>23.851785714285711</v>
      </c>
      <c r="K446" s="820">
        <f t="shared" si="67"/>
        <v>61.851785714285711</v>
      </c>
      <c r="L446" s="228"/>
      <c r="M446" s="226">
        <f t="shared" si="68"/>
        <v>86.592499999999987</v>
      </c>
      <c r="N446" s="226">
        <v>125</v>
      </c>
    </row>
    <row r="447" spans="1:14" x14ac:dyDescent="0.25">
      <c r="A447" s="178"/>
      <c r="B447" s="319" t="s">
        <v>2162</v>
      </c>
      <c r="C447" s="319" t="s">
        <v>2162</v>
      </c>
      <c r="E447" s="656">
        <v>48</v>
      </c>
      <c r="F447" s="628" t="s">
        <v>2686</v>
      </c>
      <c r="G447" s="226">
        <v>38</v>
      </c>
      <c r="H447" s="178">
        <v>1120</v>
      </c>
      <c r="I447" s="226">
        <f t="shared" si="65"/>
        <v>703</v>
      </c>
      <c r="J447" s="820">
        <f t="shared" si="66"/>
        <v>23.851785714285711</v>
      </c>
      <c r="K447" s="820">
        <f t="shared" si="67"/>
        <v>61.851785714285711</v>
      </c>
      <c r="L447" s="228"/>
      <c r="M447" s="226">
        <f t="shared" si="68"/>
        <v>86.592499999999987</v>
      </c>
      <c r="N447" s="226">
        <v>125</v>
      </c>
    </row>
    <row r="448" spans="1:14" x14ac:dyDescent="0.25">
      <c r="A448" s="178"/>
      <c r="B448" s="319" t="s">
        <v>2162</v>
      </c>
      <c r="C448" s="319" t="s">
        <v>2162</v>
      </c>
      <c r="E448" s="656">
        <v>50</v>
      </c>
      <c r="F448" s="628" t="s">
        <v>2686</v>
      </c>
      <c r="G448" s="226">
        <v>38</v>
      </c>
      <c r="H448" s="178">
        <v>1120</v>
      </c>
      <c r="I448" s="226">
        <f t="shared" si="65"/>
        <v>703</v>
      </c>
      <c r="J448" s="820">
        <f t="shared" si="66"/>
        <v>23.851785714285711</v>
      </c>
      <c r="K448" s="820">
        <f t="shared" si="67"/>
        <v>61.851785714285711</v>
      </c>
      <c r="L448" s="228"/>
      <c r="M448" s="226">
        <f t="shared" si="68"/>
        <v>86.592499999999987</v>
      </c>
      <c r="N448" s="226">
        <v>125</v>
      </c>
    </row>
    <row r="449" spans="1:14" x14ac:dyDescent="0.25">
      <c r="A449" s="178"/>
      <c r="B449" s="319" t="s">
        <v>2162</v>
      </c>
      <c r="C449" s="319" t="s">
        <v>2162</v>
      </c>
      <c r="E449" s="656">
        <v>46</v>
      </c>
      <c r="F449" s="628" t="s">
        <v>2694</v>
      </c>
      <c r="G449" s="226">
        <v>38</v>
      </c>
      <c r="H449" s="178">
        <v>1120</v>
      </c>
      <c r="I449" s="226">
        <f t="shared" si="65"/>
        <v>703</v>
      </c>
      <c r="J449" s="820">
        <f t="shared" si="66"/>
        <v>23.851785714285711</v>
      </c>
      <c r="K449" s="820">
        <f t="shared" si="67"/>
        <v>61.851785714285711</v>
      </c>
      <c r="L449" s="228"/>
      <c r="M449" s="226">
        <f t="shared" si="68"/>
        <v>86.592499999999987</v>
      </c>
      <c r="N449" s="226">
        <v>125</v>
      </c>
    </row>
    <row r="450" spans="1:14" x14ac:dyDescent="0.25">
      <c r="A450" s="178"/>
      <c r="B450" s="319" t="s">
        <v>2162</v>
      </c>
      <c r="C450" s="319" t="s">
        <v>2162</v>
      </c>
      <c r="E450" s="656">
        <v>48</v>
      </c>
      <c r="F450" s="628" t="s">
        <v>2694</v>
      </c>
      <c r="G450" s="226">
        <v>38</v>
      </c>
      <c r="H450" s="178">
        <v>1120</v>
      </c>
      <c r="I450" s="226">
        <f t="shared" si="65"/>
        <v>703</v>
      </c>
      <c r="J450" s="820">
        <f t="shared" si="66"/>
        <v>23.851785714285711</v>
      </c>
      <c r="K450" s="820">
        <f t="shared" si="67"/>
        <v>61.851785714285711</v>
      </c>
      <c r="L450" s="228"/>
      <c r="M450" s="226">
        <f t="shared" si="68"/>
        <v>86.592499999999987</v>
      </c>
      <c r="N450" s="226">
        <v>125</v>
      </c>
    </row>
    <row r="451" spans="1:14" x14ac:dyDescent="0.25">
      <c r="A451" s="178"/>
      <c r="B451" s="319" t="s">
        <v>2162</v>
      </c>
      <c r="C451" s="319" t="s">
        <v>2162</v>
      </c>
      <c r="E451" s="656">
        <v>48</v>
      </c>
      <c r="F451" s="628" t="s">
        <v>2694</v>
      </c>
      <c r="G451" s="226">
        <v>38</v>
      </c>
      <c r="H451" s="178">
        <v>1120</v>
      </c>
      <c r="I451" s="226">
        <f t="shared" si="65"/>
        <v>703</v>
      </c>
      <c r="J451" s="820">
        <f t="shared" si="66"/>
        <v>23.851785714285711</v>
      </c>
      <c r="K451" s="820">
        <f t="shared" si="67"/>
        <v>61.851785714285711</v>
      </c>
      <c r="L451" s="228"/>
      <c r="M451" s="226">
        <f t="shared" si="68"/>
        <v>86.592499999999987</v>
      </c>
      <c r="N451" s="226">
        <v>125</v>
      </c>
    </row>
    <row r="452" spans="1:14" x14ac:dyDescent="0.25">
      <c r="A452" s="178"/>
      <c r="B452" s="319" t="s">
        <v>2162</v>
      </c>
      <c r="C452" s="319" t="s">
        <v>2162</v>
      </c>
      <c r="E452" s="656">
        <v>50</v>
      </c>
      <c r="F452" s="628" t="s">
        <v>2694</v>
      </c>
      <c r="G452" s="226">
        <v>38</v>
      </c>
      <c r="H452" s="178">
        <v>1120</v>
      </c>
      <c r="I452" s="226">
        <f t="shared" si="65"/>
        <v>703</v>
      </c>
      <c r="J452" s="820">
        <f t="shared" si="66"/>
        <v>23.851785714285711</v>
      </c>
      <c r="K452" s="820">
        <f t="shared" si="67"/>
        <v>61.851785714285711</v>
      </c>
      <c r="L452" s="228"/>
      <c r="M452" s="226">
        <f t="shared" si="68"/>
        <v>86.592499999999987</v>
      </c>
      <c r="N452" s="226">
        <v>125</v>
      </c>
    </row>
    <row r="453" spans="1:14" x14ac:dyDescent="0.25">
      <c r="A453" s="178"/>
      <c r="J453" s="820"/>
      <c r="K453" s="820"/>
      <c r="L453" s="228"/>
    </row>
    <row r="454" spans="1:14" x14ac:dyDescent="0.25">
      <c r="A454" s="178"/>
      <c r="B454" s="225" t="s">
        <v>2696</v>
      </c>
      <c r="C454" s="319" t="s">
        <v>2697</v>
      </c>
      <c r="E454" s="656">
        <v>42</v>
      </c>
      <c r="F454" s="628" t="s">
        <v>2698</v>
      </c>
      <c r="G454" s="226">
        <v>35</v>
      </c>
      <c r="H454" s="178">
        <v>735</v>
      </c>
      <c r="I454" s="226">
        <f>20*16</f>
        <v>320</v>
      </c>
      <c r="J454" s="820">
        <f>+G454/H454*I454</f>
        <v>15.238095238095237</v>
      </c>
      <c r="K454" s="820">
        <f>+G454+J454</f>
        <v>50.238095238095241</v>
      </c>
      <c r="L454" s="228"/>
      <c r="M454" s="226">
        <f>+K454*1.4</f>
        <v>70.333333333333329</v>
      </c>
      <c r="N454" s="226">
        <v>110</v>
      </c>
    </row>
    <row r="455" spans="1:14" x14ac:dyDescent="0.25">
      <c r="A455" s="178"/>
      <c r="B455" s="225" t="s">
        <v>2696</v>
      </c>
      <c r="C455" s="319" t="s">
        <v>2697</v>
      </c>
      <c r="E455" s="656">
        <v>44</v>
      </c>
      <c r="F455" s="628" t="s">
        <v>2698</v>
      </c>
      <c r="G455" s="226">
        <v>35</v>
      </c>
      <c r="H455" s="178">
        <v>735</v>
      </c>
      <c r="I455" s="226">
        <f t="shared" ref="I455:I474" si="69">20*16</f>
        <v>320</v>
      </c>
      <c r="J455" s="820">
        <f t="shared" ref="J455:J474" si="70">+G455/H455*I455</f>
        <v>15.238095238095237</v>
      </c>
      <c r="K455" s="820">
        <f t="shared" ref="K455:K474" si="71">+G455+J455</f>
        <v>50.238095238095241</v>
      </c>
      <c r="L455" s="228"/>
      <c r="M455" s="226">
        <f t="shared" ref="M455:M474" si="72">+K455*1.4</f>
        <v>70.333333333333329</v>
      </c>
      <c r="N455" s="226">
        <v>110</v>
      </c>
    </row>
    <row r="456" spans="1:14" x14ac:dyDescent="0.25">
      <c r="A456" s="178"/>
      <c r="B456" s="225" t="s">
        <v>2696</v>
      </c>
      <c r="C456" s="319" t="s">
        <v>2697</v>
      </c>
      <c r="E456" s="656">
        <v>46</v>
      </c>
      <c r="F456" s="628" t="s">
        <v>2698</v>
      </c>
      <c r="G456" s="226">
        <v>35</v>
      </c>
      <c r="H456" s="178">
        <v>735</v>
      </c>
      <c r="I456" s="226">
        <f t="shared" si="69"/>
        <v>320</v>
      </c>
      <c r="J456" s="820">
        <f t="shared" si="70"/>
        <v>15.238095238095237</v>
      </c>
      <c r="K456" s="820">
        <f t="shared" si="71"/>
        <v>50.238095238095241</v>
      </c>
      <c r="L456" s="228"/>
      <c r="M456" s="226">
        <f t="shared" si="72"/>
        <v>70.333333333333329</v>
      </c>
      <c r="N456" s="226">
        <v>110</v>
      </c>
    </row>
    <row r="457" spans="1:14" x14ac:dyDescent="0.25">
      <c r="A457" s="178"/>
      <c r="B457" s="225" t="s">
        <v>2696</v>
      </c>
      <c r="C457" s="319" t="s">
        <v>2697</v>
      </c>
      <c r="E457" s="656">
        <v>48</v>
      </c>
      <c r="F457" s="628" t="s">
        <v>2698</v>
      </c>
      <c r="G457" s="226">
        <v>35</v>
      </c>
      <c r="H457" s="178">
        <v>735</v>
      </c>
      <c r="I457" s="226">
        <f t="shared" si="69"/>
        <v>320</v>
      </c>
      <c r="J457" s="820">
        <f t="shared" si="70"/>
        <v>15.238095238095237</v>
      </c>
      <c r="K457" s="820">
        <f t="shared" si="71"/>
        <v>50.238095238095241</v>
      </c>
      <c r="L457" s="228"/>
      <c r="M457" s="226">
        <f t="shared" si="72"/>
        <v>70.333333333333329</v>
      </c>
      <c r="N457" s="226">
        <v>110</v>
      </c>
    </row>
    <row r="458" spans="1:14" x14ac:dyDescent="0.25">
      <c r="A458" s="178"/>
      <c r="B458" s="225" t="s">
        <v>2696</v>
      </c>
      <c r="C458" s="319" t="s">
        <v>2697</v>
      </c>
      <c r="E458" s="656">
        <v>50</v>
      </c>
      <c r="F458" s="628" t="s">
        <v>2698</v>
      </c>
      <c r="G458" s="226">
        <v>35</v>
      </c>
      <c r="H458" s="178">
        <v>735</v>
      </c>
      <c r="I458" s="226">
        <f t="shared" si="69"/>
        <v>320</v>
      </c>
      <c r="J458" s="820">
        <f t="shared" si="70"/>
        <v>15.238095238095237</v>
      </c>
      <c r="K458" s="820">
        <f t="shared" si="71"/>
        <v>50.238095238095241</v>
      </c>
      <c r="L458" s="228"/>
      <c r="M458" s="226">
        <f t="shared" si="72"/>
        <v>70.333333333333329</v>
      </c>
      <c r="N458" s="226">
        <v>110</v>
      </c>
    </row>
    <row r="459" spans="1:14" x14ac:dyDescent="0.25">
      <c r="A459" s="178"/>
      <c r="B459" s="225" t="s">
        <v>2696</v>
      </c>
      <c r="C459" s="319" t="s">
        <v>2697</v>
      </c>
      <c r="E459" s="656">
        <v>52</v>
      </c>
      <c r="F459" s="628" t="s">
        <v>2698</v>
      </c>
      <c r="G459" s="226">
        <v>35</v>
      </c>
      <c r="H459" s="178">
        <v>735</v>
      </c>
      <c r="I459" s="226">
        <f t="shared" si="69"/>
        <v>320</v>
      </c>
      <c r="J459" s="820">
        <f t="shared" si="70"/>
        <v>15.238095238095237</v>
      </c>
      <c r="K459" s="820">
        <f t="shared" si="71"/>
        <v>50.238095238095241</v>
      </c>
      <c r="L459" s="228"/>
      <c r="M459" s="226">
        <f t="shared" si="72"/>
        <v>70.333333333333329</v>
      </c>
      <c r="N459" s="226">
        <v>110</v>
      </c>
    </row>
    <row r="460" spans="1:14" x14ac:dyDescent="0.25">
      <c r="A460" s="178"/>
      <c r="B460" s="225" t="s">
        <v>2696</v>
      </c>
      <c r="C460" s="319" t="s">
        <v>2697</v>
      </c>
      <c r="E460" s="656">
        <v>54</v>
      </c>
      <c r="F460" s="628" t="s">
        <v>2698</v>
      </c>
      <c r="G460" s="226">
        <v>35</v>
      </c>
      <c r="H460" s="178">
        <v>735</v>
      </c>
      <c r="I460" s="226">
        <f t="shared" si="69"/>
        <v>320</v>
      </c>
      <c r="J460" s="820">
        <f t="shared" si="70"/>
        <v>15.238095238095237</v>
      </c>
      <c r="K460" s="820">
        <f t="shared" si="71"/>
        <v>50.238095238095241</v>
      </c>
      <c r="L460" s="228"/>
      <c r="M460" s="226">
        <f t="shared" si="72"/>
        <v>70.333333333333329</v>
      </c>
      <c r="N460" s="226">
        <v>110</v>
      </c>
    </row>
    <row r="461" spans="1:14" x14ac:dyDescent="0.25">
      <c r="A461" s="178"/>
      <c r="B461" s="225" t="s">
        <v>2696</v>
      </c>
      <c r="C461" s="319" t="s">
        <v>2697</v>
      </c>
      <c r="E461" s="656">
        <v>42</v>
      </c>
      <c r="F461" s="628" t="s">
        <v>2699</v>
      </c>
      <c r="G461" s="226">
        <v>35</v>
      </c>
      <c r="H461" s="178">
        <v>735</v>
      </c>
      <c r="I461" s="226">
        <f t="shared" si="69"/>
        <v>320</v>
      </c>
      <c r="J461" s="820">
        <f t="shared" si="70"/>
        <v>15.238095238095237</v>
      </c>
      <c r="K461" s="820">
        <f t="shared" si="71"/>
        <v>50.238095238095241</v>
      </c>
      <c r="L461" s="228"/>
      <c r="M461" s="226">
        <f t="shared" si="72"/>
        <v>70.333333333333329</v>
      </c>
      <c r="N461" s="226">
        <v>110</v>
      </c>
    </row>
    <row r="462" spans="1:14" x14ac:dyDescent="0.25">
      <c r="A462" s="178"/>
      <c r="B462" s="225" t="s">
        <v>2696</v>
      </c>
      <c r="C462" s="319" t="s">
        <v>2697</v>
      </c>
      <c r="E462" s="656">
        <v>44</v>
      </c>
      <c r="F462" s="628" t="s">
        <v>2699</v>
      </c>
      <c r="G462" s="226">
        <v>35</v>
      </c>
      <c r="H462" s="178">
        <v>735</v>
      </c>
      <c r="I462" s="226">
        <f t="shared" si="69"/>
        <v>320</v>
      </c>
      <c r="J462" s="820">
        <f t="shared" si="70"/>
        <v>15.238095238095237</v>
      </c>
      <c r="K462" s="820">
        <f t="shared" si="71"/>
        <v>50.238095238095241</v>
      </c>
      <c r="L462" s="228"/>
      <c r="M462" s="226">
        <f t="shared" si="72"/>
        <v>70.333333333333329</v>
      </c>
      <c r="N462" s="226">
        <v>110</v>
      </c>
    </row>
    <row r="463" spans="1:14" x14ac:dyDescent="0.25">
      <c r="A463" s="178"/>
      <c r="B463" s="225" t="s">
        <v>2696</v>
      </c>
      <c r="C463" s="319" t="s">
        <v>2697</v>
      </c>
      <c r="E463" s="656">
        <v>46</v>
      </c>
      <c r="F463" s="628" t="s">
        <v>2699</v>
      </c>
      <c r="G463" s="226">
        <v>35</v>
      </c>
      <c r="H463" s="178">
        <v>735</v>
      </c>
      <c r="I463" s="226">
        <f t="shared" si="69"/>
        <v>320</v>
      </c>
      <c r="J463" s="820">
        <f t="shared" si="70"/>
        <v>15.238095238095237</v>
      </c>
      <c r="K463" s="820">
        <f t="shared" si="71"/>
        <v>50.238095238095241</v>
      </c>
      <c r="L463" s="228"/>
      <c r="M463" s="226">
        <f t="shared" si="72"/>
        <v>70.333333333333329</v>
      </c>
      <c r="N463" s="226">
        <v>110</v>
      </c>
    </row>
    <row r="464" spans="1:14" x14ac:dyDescent="0.25">
      <c r="A464" s="178"/>
      <c r="B464" s="225" t="s">
        <v>2696</v>
      </c>
      <c r="C464" s="319" t="s">
        <v>2697</v>
      </c>
      <c r="E464" s="656">
        <v>48</v>
      </c>
      <c r="F464" s="628" t="s">
        <v>2699</v>
      </c>
      <c r="G464" s="226">
        <v>35</v>
      </c>
      <c r="H464" s="178">
        <v>735</v>
      </c>
      <c r="I464" s="226">
        <f t="shared" si="69"/>
        <v>320</v>
      </c>
      <c r="J464" s="820">
        <f t="shared" si="70"/>
        <v>15.238095238095237</v>
      </c>
      <c r="K464" s="820">
        <f t="shared" si="71"/>
        <v>50.238095238095241</v>
      </c>
      <c r="L464" s="228"/>
      <c r="M464" s="226">
        <f t="shared" si="72"/>
        <v>70.333333333333329</v>
      </c>
      <c r="N464" s="226">
        <v>110</v>
      </c>
    </row>
    <row r="465" spans="1:14" x14ac:dyDescent="0.25">
      <c r="A465" s="178"/>
      <c r="B465" s="225" t="s">
        <v>2696</v>
      </c>
      <c r="C465" s="319" t="s">
        <v>2697</v>
      </c>
      <c r="E465" s="656">
        <v>50</v>
      </c>
      <c r="F465" s="628" t="s">
        <v>2699</v>
      </c>
      <c r="G465" s="226">
        <v>35</v>
      </c>
      <c r="H465" s="178">
        <v>735</v>
      </c>
      <c r="I465" s="226">
        <f t="shared" si="69"/>
        <v>320</v>
      </c>
      <c r="J465" s="820">
        <f t="shared" si="70"/>
        <v>15.238095238095237</v>
      </c>
      <c r="K465" s="820">
        <f t="shared" si="71"/>
        <v>50.238095238095241</v>
      </c>
      <c r="L465" s="228"/>
      <c r="M465" s="226">
        <f t="shared" si="72"/>
        <v>70.333333333333329</v>
      </c>
      <c r="N465" s="226">
        <v>110</v>
      </c>
    </row>
    <row r="466" spans="1:14" x14ac:dyDescent="0.25">
      <c r="A466" s="178"/>
      <c r="B466" s="225" t="s">
        <v>2696</v>
      </c>
      <c r="C466" s="319" t="s">
        <v>2697</v>
      </c>
      <c r="E466" s="656">
        <v>52</v>
      </c>
      <c r="F466" s="628" t="s">
        <v>2699</v>
      </c>
      <c r="G466" s="226">
        <v>35</v>
      </c>
      <c r="H466" s="178">
        <v>735</v>
      </c>
      <c r="I466" s="226">
        <f t="shared" si="69"/>
        <v>320</v>
      </c>
      <c r="J466" s="820">
        <f t="shared" si="70"/>
        <v>15.238095238095237</v>
      </c>
      <c r="K466" s="820">
        <f t="shared" si="71"/>
        <v>50.238095238095241</v>
      </c>
      <c r="L466" s="228"/>
      <c r="M466" s="226">
        <f t="shared" si="72"/>
        <v>70.333333333333329</v>
      </c>
      <c r="N466" s="226">
        <v>110</v>
      </c>
    </row>
    <row r="467" spans="1:14" x14ac:dyDescent="0.25">
      <c r="A467" s="178"/>
      <c r="B467" s="225" t="s">
        <v>2696</v>
      </c>
      <c r="C467" s="319" t="s">
        <v>2697</v>
      </c>
      <c r="E467" s="656">
        <v>54</v>
      </c>
      <c r="F467" s="628" t="s">
        <v>2699</v>
      </c>
      <c r="G467" s="226">
        <v>35</v>
      </c>
      <c r="H467" s="178">
        <v>735</v>
      </c>
      <c r="I467" s="226">
        <f t="shared" si="69"/>
        <v>320</v>
      </c>
      <c r="J467" s="820">
        <f t="shared" si="70"/>
        <v>15.238095238095237</v>
      </c>
      <c r="K467" s="820">
        <f t="shared" si="71"/>
        <v>50.238095238095241</v>
      </c>
      <c r="L467" s="228"/>
      <c r="M467" s="226">
        <f t="shared" si="72"/>
        <v>70.333333333333329</v>
      </c>
      <c r="N467" s="226">
        <v>110</v>
      </c>
    </row>
    <row r="468" spans="1:14" x14ac:dyDescent="0.25">
      <c r="A468" s="178"/>
      <c r="B468" s="225" t="s">
        <v>2696</v>
      </c>
      <c r="C468" s="319" t="s">
        <v>2697</v>
      </c>
      <c r="E468" s="656">
        <v>42</v>
      </c>
      <c r="F468" s="628" t="s">
        <v>2700</v>
      </c>
      <c r="G468" s="226">
        <v>35</v>
      </c>
      <c r="H468" s="178">
        <v>735</v>
      </c>
      <c r="I468" s="226">
        <f t="shared" si="69"/>
        <v>320</v>
      </c>
      <c r="J468" s="820">
        <f t="shared" si="70"/>
        <v>15.238095238095237</v>
      </c>
      <c r="K468" s="820">
        <f t="shared" si="71"/>
        <v>50.238095238095241</v>
      </c>
      <c r="L468" s="228"/>
      <c r="M468" s="226">
        <f t="shared" si="72"/>
        <v>70.333333333333329</v>
      </c>
      <c r="N468" s="226">
        <v>110</v>
      </c>
    </row>
    <row r="469" spans="1:14" x14ac:dyDescent="0.25">
      <c r="A469" s="178"/>
      <c r="B469" s="225" t="s">
        <v>2696</v>
      </c>
      <c r="C469" s="319" t="s">
        <v>2697</v>
      </c>
      <c r="E469" s="656">
        <v>44</v>
      </c>
      <c r="F469" s="628" t="s">
        <v>2700</v>
      </c>
      <c r="G469" s="226">
        <v>35</v>
      </c>
      <c r="H469" s="178">
        <v>735</v>
      </c>
      <c r="I469" s="226">
        <f t="shared" si="69"/>
        <v>320</v>
      </c>
      <c r="J469" s="820">
        <f t="shared" si="70"/>
        <v>15.238095238095237</v>
      </c>
      <c r="K469" s="820">
        <f t="shared" si="71"/>
        <v>50.238095238095241</v>
      </c>
      <c r="L469" s="228"/>
      <c r="M469" s="226">
        <f t="shared" si="72"/>
        <v>70.333333333333329</v>
      </c>
      <c r="N469" s="226">
        <v>110</v>
      </c>
    </row>
    <row r="470" spans="1:14" x14ac:dyDescent="0.25">
      <c r="A470" s="178"/>
      <c r="B470" s="225" t="s">
        <v>2696</v>
      </c>
      <c r="C470" s="319" t="s">
        <v>2697</v>
      </c>
      <c r="E470" s="656">
        <v>46</v>
      </c>
      <c r="F470" s="628" t="s">
        <v>2700</v>
      </c>
      <c r="G470" s="226">
        <v>35</v>
      </c>
      <c r="H470" s="178">
        <v>735</v>
      </c>
      <c r="I470" s="226">
        <f t="shared" si="69"/>
        <v>320</v>
      </c>
      <c r="J470" s="820">
        <f t="shared" si="70"/>
        <v>15.238095238095237</v>
      </c>
      <c r="K470" s="820">
        <f t="shared" si="71"/>
        <v>50.238095238095241</v>
      </c>
      <c r="L470" s="228"/>
      <c r="M470" s="226">
        <f t="shared" si="72"/>
        <v>70.333333333333329</v>
      </c>
      <c r="N470" s="226">
        <v>110</v>
      </c>
    </row>
    <row r="471" spans="1:14" x14ac:dyDescent="0.25">
      <c r="A471" s="178"/>
      <c r="B471" s="225" t="s">
        <v>2696</v>
      </c>
      <c r="C471" s="319" t="s">
        <v>2697</v>
      </c>
      <c r="E471" s="656">
        <v>48</v>
      </c>
      <c r="F471" s="628" t="s">
        <v>2700</v>
      </c>
      <c r="G471" s="226">
        <v>35</v>
      </c>
      <c r="H471" s="178">
        <v>735</v>
      </c>
      <c r="I471" s="226">
        <f t="shared" si="69"/>
        <v>320</v>
      </c>
      <c r="J471" s="820">
        <f t="shared" si="70"/>
        <v>15.238095238095237</v>
      </c>
      <c r="K471" s="820">
        <f t="shared" si="71"/>
        <v>50.238095238095241</v>
      </c>
      <c r="L471" s="228"/>
      <c r="M471" s="226">
        <f t="shared" si="72"/>
        <v>70.333333333333329</v>
      </c>
      <c r="N471" s="226">
        <v>110</v>
      </c>
    </row>
    <row r="472" spans="1:14" x14ac:dyDescent="0.25">
      <c r="A472" s="178"/>
      <c r="B472" s="225" t="s">
        <v>2696</v>
      </c>
      <c r="C472" s="319" t="s">
        <v>2697</v>
      </c>
      <c r="E472" s="656">
        <v>50</v>
      </c>
      <c r="F472" s="628" t="s">
        <v>2700</v>
      </c>
      <c r="G472" s="226">
        <v>35</v>
      </c>
      <c r="H472" s="178">
        <v>735</v>
      </c>
      <c r="I472" s="226">
        <f t="shared" si="69"/>
        <v>320</v>
      </c>
      <c r="J472" s="820">
        <f t="shared" si="70"/>
        <v>15.238095238095237</v>
      </c>
      <c r="K472" s="820">
        <f t="shared" si="71"/>
        <v>50.238095238095241</v>
      </c>
      <c r="L472" s="228"/>
      <c r="M472" s="226">
        <f t="shared" si="72"/>
        <v>70.333333333333329</v>
      </c>
      <c r="N472" s="226">
        <v>110</v>
      </c>
    </row>
    <row r="473" spans="1:14" x14ac:dyDescent="0.25">
      <c r="A473" s="178"/>
      <c r="B473" s="225" t="s">
        <v>2696</v>
      </c>
      <c r="C473" s="319" t="s">
        <v>2697</v>
      </c>
      <c r="E473" s="656">
        <v>52</v>
      </c>
      <c r="F473" s="628" t="s">
        <v>2700</v>
      </c>
      <c r="G473" s="226">
        <v>35</v>
      </c>
      <c r="H473" s="178">
        <v>735</v>
      </c>
      <c r="I473" s="226">
        <f t="shared" si="69"/>
        <v>320</v>
      </c>
      <c r="J473" s="820">
        <f t="shared" si="70"/>
        <v>15.238095238095237</v>
      </c>
      <c r="K473" s="820">
        <f t="shared" si="71"/>
        <v>50.238095238095241</v>
      </c>
      <c r="L473" s="228"/>
      <c r="M473" s="226">
        <f t="shared" si="72"/>
        <v>70.333333333333329</v>
      </c>
      <c r="N473" s="226">
        <v>110</v>
      </c>
    </row>
    <row r="474" spans="1:14" x14ac:dyDescent="0.25">
      <c r="A474" s="178"/>
      <c r="B474" s="225" t="s">
        <v>2696</v>
      </c>
      <c r="C474" s="319" t="s">
        <v>2697</v>
      </c>
      <c r="E474" s="656">
        <v>54</v>
      </c>
      <c r="F474" s="628" t="s">
        <v>2700</v>
      </c>
      <c r="G474" s="226">
        <v>35</v>
      </c>
      <c r="H474" s="178">
        <v>735</v>
      </c>
      <c r="I474" s="226">
        <f t="shared" si="69"/>
        <v>320</v>
      </c>
      <c r="J474" s="820">
        <f t="shared" si="70"/>
        <v>15.238095238095237</v>
      </c>
      <c r="K474" s="820">
        <f t="shared" si="71"/>
        <v>50.238095238095241</v>
      </c>
      <c r="L474" s="228"/>
      <c r="M474" s="226">
        <f t="shared" si="72"/>
        <v>70.333333333333329</v>
      </c>
      <c r="N474" s="226">
        <v>110</v>
      </c>
    </row>
    <row r="475" spans="1:14" x14ac:dyDescent="0.25">
      <c r="A475" s="178"/>
      <c r="J475" s="820"/>
      <c r="K475" s="820"/>
      <c r="L475" s="228"/>
    </row>
    <row r="476" spans="1:14" x14ac:dyDescent="0.25">
      <c r="A476" s="178"/>
      <c r="B476" s="225" t="s">
        <v>2489</v>
      </c>
      <c r="C476" s="319" t="s">
        <v>1442</v>
      </c>
      <c r="F476" s="628" t="s">
        <v>2164</v>
      </c>
      <c r="G476" s="226">
        <v>15</v>
      </c>
      <c r="L476" s="228"/>
      <c r="M476" s="226">
        <v>45</v>
      </c>
      <c r="N476" s="226">
        <v>55</v>
      </c>
    </row>
    <row r="477" spans="1:14" x14ac:dyDescent="0.25">
      <c r="A477" s="178"/>
      <c r="B477" s="225" t="s">
        <v>2489</v>
      </c>
      <c r="C477" s="319" t="s">
        <v>1442</v>
      </c>
      <c r="F477" s="628" t="s">
        <v>2164</v>
      </c>
      <c r="G477" s="226">
        <v>15</v>
      </c>
      <c r="L477" s="228"/>
      <c r="M477" s="226">
        <v>45</v>
      </c>
      <c r="N477" s="226">
        <v>55</v>
      </c>
    </row>
    <row r="478" spans="1:14" x14ac:dyDescent="0.25">
      <c r="A478" s="178"/>
      <c r="B478" s="225" t="s">
        <v>2489</v>
      </c>
      <c r="C478" s="319" t="s">
        <v>1442</v>
      </c>
      <c r="F478" s="628" t="s">
        <v>2165</v>
      </c>
      <c r="G478" s="226">
        <v>15</v>
      </c>
      <c r="L478" s="228"/>
      <c r="M478" s="226">
        <v>45</v>
      </c>
      <c r="N478" s="226">
        <v>55</v>
      </c>
    </row>
    <row r="479" spans="1:14" x14ac:dyDescent="0.25">
      <c r="A479" s="178"/>
      <c r="B479" s="225" t="s">
        <v>2489</v>
      </c>
      <c r="C479" s="319" t="s">
        <v>1442</v>
      </c>
      <c r="F479" s="628" t="s">
        <v>2165</v>
      </c>
      <c r="G479" s="226">
        <v>15</v>
      </c>
      <c r="L479" s="228"/>
      <c r="M479" s="226">
        <v>45</v>
      </c>
      <c r="N479" s="226">
        <v>55</v>
      </c>
    </row>
    <row r="480" spans="1:14" x14ac:dyDescent="0.25">
      <c r="A480" s="178"/>
      <c r="B480" s="225" t="s">
        <v>2489</v>
      </c>
      <c r="C480" s="319" t="s">
        <v>1442</v>
      </c>
      <c r="F480" s="628" t="s">
        <v>2165</v>
      </c>
      <c r="G480" s="226">
        <v>15</v>
      </c>
      <c r="L480" s="228"/>
      <c r="M480" s="226">
        <v>45</v>
      </c>
      <c r="N480" s="226">
        <v>55</v>
      </c>
    </row>
    <row r="481" spans="1:14" x14ac:dyDescent="0.25">
      <c r="A481" s="178"/>
      <c r="B481" s="225" t="s">
        <v>2489</v>
      </c>
      <c r="C481" s="319" t="s">
        <v>1442</v>
      </c>
      <c r="F481" s="628" t="s">
        <v>2165</v>
      </c>
      <c r="G481" s="226">
        <v>15</v>
      </c>
      <c r="L481" s="228"/>
      <c r="M481" s="226">
        <v>45</v>
      </c>
      <c r="N481" s="226">
        <v>55</v>
      </c>
    </row>
    <row r="482" spans="1:14" x14ac:dyDescent="0.25">
      <c r="A482" s="178"/>
      <c r="B482" s="225" t="s">
        <v>2489</v>
      </c>
      <c r="C482" s="319" t="s">
        <v>1442</v>
      </c>
      <c r="F482" s="628" t="s">
        <v>2165</v>
      </c>
      <c r="G482" s="226">
        <v>15</v>
      </c>
      <c r="L482" s="228"/>
      <c r="M482" s="226">
        <v>45</v>
      </c>
      <c r="N482" s="226">
        <v>55</v>
      </c>
    </row>
    <row r="483" spans="1:14" x14ac:dyDescent="0.25">
      <c r="A483" s="178"/>
      <c r="L483" s="228"/>
    </row>
    <row r="484" spans="1:14" x14ac:dyDescent="0.25">
      <c r="A484" s="178"/>
      <c r="F484" s="379" t="s">
        <v>3037</v>
      </c>
      <c r="L484" s="228"/>
    </row>
    <row r="485" spans="1:14" x14ac:dyDescent="0.25">
      <c r="A485" s="178"/>
      <c r="C485" s="319" t="s">
        <v>3038</v>
      </c>
      <c r="E485" s="656">
        <v>44</v>
      </c>
      <c r="F485" s="628" t="s">
        <v>3039</v>
      </c>
      <c r="G485" s="226">
        <v>58</v>
      </c>
      <c r="L485" s="228"/>
      <c r="N485" s="226">
        <v>150</v>
      </c>
    </row>
    <row r="486" spans="1:14" x14ac:dyDescent="0.25">
      <c r="A486" s="178"/>
      <c r="E486" s="656">
        <v>46</v>
      </c>
      <c r="F486" s="628" t="s">
        <v>3039</v>
      </c>
      <c r="G486" s="226">
        <v>58</v>
      </c>
      <c r="L486" s="228"/>
      <c r="N486" s="226">
        <v>150</v>
      </c>
    </row>
    <row r="487" spans="1:14" x14ac:dyDescent="0.25">
      <c r="A487" s="178"/>
      <c r="E487" s="656">
        <v>48</v>
      </c>
      <c r="F487" s="628" t="s">
        <v>3039</v>
      </c>
      <c r="G487" s="226">
        <v>58</v>
      </c>
      <c r="L487" s="228"/>
      <c r="N487" s="226">
        <v>150</v>
      </c>
    </row>
    <row r="488" spans="1:14" x14ac:dyDescent="0.25">
      <c r="A488" s="178"/>
      <c r="E488" s="656">
        <v>50</v>
      </c>
      <c r="F488" s="628" t="s">
        <v>3039</v>
      </c>
      <c r="G488" s="226">
        <v>58</v>
      </c>
      <c r="L488" s="228"/>
      <c r="N488" s="226">
        <v>150</v>
      </c>
    </row>
    <row r="489" spans="1:14" x14ac:dyDescent="0.25">
      <c r="A489" s="178"/>
      <c r="L489" s="228"/>
    </row>
    <row r="490" spans="1:14" x14ac:dyDescent="0.25">
      <c r="A490" s="178"/>
      <c r="F490" s="379" t="s">
        <v>3040</v>
      </c>
      <c r="L490" s="228"/>
    </row>
    <row r="491" spans="1:14" x14ac:dyDescent="0.25">
      <c r="A491" s="178"/>
      <c r="C491" s="319" t="s">
        <v>763</v>
      </c>
      <c r="E491" s="656">
        <v>36</v>
      </c>
      <c r="F491" s="628" t="s">
        <v>3041</v>
      </c>
      <c r="G491" s="226">
        <v>28</v>
      </c>
      <c r="L491" s="228"/>
    </row>
    <row r="492" spans="1:14" x14ac:dyDescent="0.25">
      <c r="A492" s="178"/>
      <c r="C492" s="319" t="s">
        <v>763</v>
      </c>
      <c r="E492" s="656">
        <v>38</v>
      </c>
      <c r="F492" s="628" t="s">
        <v>3041</v>
      </c>
      <c r="G492" s="226">
        <v>28</v>
      </c>
      <c r="L492" s="228"/>
    </row>
    <row r="493" spans="1:14" x14ac:dyDescent="0.25">
      <c r="A493" s="178"/>
      <c r="C493" s="319" t="s">
        <v>763</v>
      </c>
      <c r="E493" s="656">
        <v>40</v>
      </c>
      <c r="F493" s="628" t="s">
        <v>3041</v>
      </c>
      <c r="G493" s="226">
        <v>28</v>
      </c>
      <c r="L493" s="228"/>
    </row>
    <row r="494" spans="1:14" x14ac:dyDescent="0.25">
      <c r="A494" s="178"/>
      <c r="C494" s="319" t="s">
        <v>763</v>
      </c>
      <c r="E494" s="656">
        <v>42</v>
      </c>
      <c r="F494" s="628" t="s">
        <v>3041</v>
      </c>
      <c r="G494" s="226">
        <v>28</v>
      </c>
      <c r="L494" s="228"/>
    </row>
    <row r="495" spans="1:14" x14ac:dyDescent="0.25">
      <c r="A495" s="178"/>
      <c r="C495" s="319" t="s">
        <v>763</v>
      </c>
      <c r="E495" s="656">
        <v>36</v>
      </c>
      <c r="F495" s="628" t="s">
        <v>3042</v>
      </c>
      <c r="G495" s="226">
        <v>23</v>
      </c>
      <c r="L495" s="228"/>
    </row>
    <row r="496" spans="1:14" x14ac:dyDescent="0.25">
      <c r="A496" s="178"/>
      <c r="C496" s="319" t="s">
        <v>763</v>
      </c>
      <c r="E496" s="656">
        <v>38</v>
      </c>
      <c r="F496" s="628" t="s">
        <v>3042</v>
      </c>
      <c r="G496" s="226">
        <v>23</v>
      </c>
      <c r="L496" s="228"/>
    </row>
    <row r="497" spans="1:14" x14ac:dyDescent="0.25">
      <c r="A497" s="178"/>
      <c r="C497" s="319" t="s">
        <v>763</v>
      </c>
      <c r="E497" s="656">
        <v>40</v>
      </c>
      <c r="F497" s="628" t="s">
        <v>3042</v>
      </c>
      <c r="G497" s="226">
        <v>23</v>
      </c>
      <c r="M497" s="175"/>
      <c r="N497" s="175"/>
    </row>
    <row r="498" spans="1:14" x14ac:dyDescent="0.25">
      <c r="C498" s="319" t="s">
        <v>763</v>
      </c>
      <c r="E498" s="656">
        <v>42</v>
      </c>
      <c r="F498" s="628" t="s">
        <v>3042</v>
      </c>
      <c r="G498" s="226">
        <v>23</v>
      </c>
    </row>
    <row r="499" spans="1:14" x14ac:dyDescent="0.25">
      <c r="A499" s="178"/>
      <c r="C499" s="319" t="s">
        <v>3043</v>
      </c>
      <c r="E499" s="656">
        <v>42</v>
      </c>
      <c r="F499" s="379" t="s">
        <v>3044</v>
      </c>
      <c r="G499" s="226">
        <v>32</v>
      </c>
    </row>
    <row r="500" spans="1:14" x14ac:dyDescent="0.25">
      <c r="A500" s="178"/>
      <c r="C500" s="319" t="s">
        <v>3043</v>
      </c>
      <c r="E500" s="656">
        <v>44</v>
      </c>
      <c r="F500" s="379" t="s">
        <v>3044</v>
      </c>
      <c r="G500" s="226">
        <v>32</v>
      </c>
      <c r="L500" s="228"/>
    </row>
    <row r="501" spans="1:14" x14ac:dyDescent="0.25">
      <c r="A501" s="178"/>
      <c r="C501" s="319" t="s">
        <v>3043</v>
      </c>
      <c r="E501" s="656">
        <v>46</v>
      </c>
      <c r="F501" s="379" t="s">
        <v>3044</v>
      </c>
      <c r="G501" s="226">
        <v>32</v>
      </c>
      <c r="L501" s="228"/>
    </row>
    <row r="502" spans="1:14" x14ac:dyDescent="0.25">
      <c r="C502" s="319" t="s">
        <v>3043</v>
      </c>
      <c r="E502" s="656">
        <v>48</v>
      </c>
      <c r="F502" s="379" t="s">
        <v>3044</v>
      </c>
      <c r="G502" s="226">
        <v>32</v>
      </c>
      <c r="L502" s="228"/>
    </row>
    <row r="503" spans="1:14" x14ac:dyDescent="0.25">
      <c r="C503" s="319" t="s">
        <v>3043</v>
      </c>
      <c r="E503" s="656">
        <v>42</v>
      </c>
      <c r="F503" s="628" t="s">
        <v>3045</v>
      </c>
      <c r="G503" s="226">
        <v>36</v>
      </c>
      <c r="L503" s="228"/>
    </row>
    <row r="504" spans="1:14" x14ac:dyDescent="0.25">
      <c r="C504" s="319" t="s">
        <v>3043</v>
      </c>
      <c r="E504" s="656">
        <v>44</v>
      </c>
      <c r="F504" s="628" t="s">
        <v>3045</v>
      </c>
      <c r="G504" s="226">
        <v>36</v>
      </c>
      <c r="L504" s="228"/>
    </row>
    <row r="505" spans="1:14" x14ac:dyDescent="0.25">
      <c r="C505" s="319" t="s">
        <v>3043</v>
      </c>
      <c r="E505" s="656">
        <v>46</v>
      </c>
      <c r="F505" s="628" t="s">
        <v>3045</v>
      </c>
      <c r="G505" s="226">
        <v>36</v>
      </c>
      <c r="L505" s="228"/>
    </row>
    <row r="506" spans="1:14" x14ac:dyDescent="0.25">
      <c r="C506" s="319" t="s">
        <v>3043</v>
      </c>
      <c r="E506" s="656">
        <v>48</v>
      </c>
      <c r="F506" s="628" t="s">
        <v>3045</v>
      </c>
      <c r="G506" s="226">
        <v>36</v>
      </c>
      <c r="L506" s="228"/>
    </row>
    <row r="507" spans="1:14" x14ac:dyDescent="0.25">
      <c r="C507" s="319" t="s">
        <v>3046</v>
      </c>
      <c r="E507" s="656">
        <v>48</v>
      </c>
      <c r="F507" s="628" t="s">
        <v>3047</v>
      </c>
      <c r="G507" s="226">
        <v>80</v>
      </c>
      <c r="L507" s="228"/>
    </row>
    <row r="508" spans="1:14" x14ac:dyDescent="0.25">
      <c r="C508" s="319" t="s">
        <v>3046</v>
      </c>
      <c r="E508" s="656">
        <v>50</v>
      </c>
      <c r="F508" s="628" t="s">
        <v>3047</v>
      </c>
      <c r="G508" s="226">
        <v>80</v>
      </c>
      <c r="L508" s="228"/>
    </row>
    <row r="509" spans="1:14" x14ac:dyDescent="0.25">
      <c r="C509" s="319" t="s">
        <v>3046</v>
      </c>
      <c r="E509" s="656">
        <v>48</v>
      </c>
      <c r="F509" s="628" t="s">
        <v>3048</v>
      </c>
      <c r="G509" s="226">
        <v>80</v>
      </c>
      <c r="L509" s="228"/>
    </row>
    <row r="510" spans="1:14" x14ac:dyDescent="0.25">
      <c r="C510" s="319" t="s">
        <v>3046</v>
      </c>
      <c r="E510" s="656">
        <v>50</v>
      </c>
      <c r="F510" s="628" t="s">
        <v>3048</v>
      </c>
      <c r="G510" s="226">
        <v>80</v>
      </c>
      <c r="L510" s="228"/>
    </row>
    <row r="511" spans="1:14" x14ac:dyDescent="0.25">
      <c r="C511" s="319" t="s">
        <v>3046</v>
      </c>
      <c r="E511" s="656">
        <v>44</v>
      </c>
      <c r="F511" s="628" t="s">
        <v>3049</v>
      </c>
      <c r="G511" s="226">
        <v>85</v>
      </c>
      <c r="L511" s="228"/>
    </row>
    <row r="512" spans="1:14" x14ac:dyDescent="0.25">
      <c r="C512" s="319" t="s">
        <v>3046</v>
      </c>
      <c r="E512" s="656">
        <v>46</v>
      </c>
      <c r="F512" s="628" t="s">
        <v>3049</v>
      </c>
      <c r="G512" s="226">
        <v>85</v>
      </c>
      <c r="L512" s="228"/>
    </row>
    <row r="513" spans="1:12" x14ac:dyDescent="0.25">
      <c r="C513" s="319" t="s">
        <v>3050</v>
      </c>
      <c r="E513" s="656">
        <v>48</v>
      </c>
      <c r="F513" s="628" t="s">
        <v>3051</v>
      </c>
      <c r="G513" s="226">
        <v>25</v>
      </c>
      <c r="L513" s="228"/>
    </row>
    <row r="514" spans="1:12" x14ac:dyDescent="0.25">
      <c r="C514" s="319" t="s">
        <v>3050</v>
      </c>
      <c r="E514" s="656">
        <v>50</v>
      </c>
      <c r="F514" s="628" t="s">
        <v>3051</v>
      </c>
      <c r="G514" s="226">
        <v>25</v>
      </c>
      <c r="L514" s="228"/>
    </row>
    <row r="515" spans="1:12" x14ac:dyDescent="0.25">
      <c r="C515" s="319" t="s">
        <v>3050</v>
      </c>
      <c r="E515" s="656">
        <v>52</v>
      </c>
      <c r="F515" s="628" t="s">
        <v>3051</v>
      </c>
      <c r="G515" s="226">
        <v>25</v>
      </c>
      <c r="L515" s="228"/>
    </row>
    <row r="516" spans="1:12" x14ac:dyDescent="0.25">
      <c r="C516" s="319" t="s">
        <v>3050</v>
      </c>
      <c r="F516" s="628" t="s">
        <v>3075</v>
      </c>
      <c r="G516" s="226">
        <v>25</v>
      </c>
      <c r="L516" s="228"/>
    </row>
    <row r="517" spans="1:12" x14ac:dyDescent="0.25">
      <c r="C517" s="319" t="s">
        <v>3050</v>
      </c>
      <c r="F517" s="628" t="s">
        <v>3075</v>
      </c>
      <c r="G517" s="226">
        <v>25</v>
      </c>
      <c r="L517" s="228"/>
    </row>
    <row r="518" spans="1:12" x14ac:dyDescent="0.25">
      <c r="C518" s="319" t="s">
        <v>3050</v>
      </c>
      <c r="F518" s="628" t="s">
        <v>3075</v>
      </c>
      <c r="G518" s="226">
        <v>25</v>
      </c>
      <c r="L518" s="228"/>
    </row>
    <row r="519" spans="1:12" x14ac:dyDescent="0.25">
      <c r="C519" s="319" t="s">
        <v>255</v>
      </c>
      <c r="L519" s="228"/>
    </row>
    <row r="520" spans="1:12" x14ac:dyDescent="0.25">
      <c r="A520" s="178"/>
      <c r="C520" s="319" t="s">
        <v>3052</v>
      </c>
      <c r="E520" s="656">
        <v>50</v>
      </c>
      <c r="F520" s="628" t="s">
        <v>3053</v>
      </c>
      <c r="G520" s="226">
        <v>63</v>
      </c>
      <c r="L520" s="228"/>
    </row>
    <row r="521" spans="1:12" x14ac:dyDescent="0.25">
      <c r="C521" s="319" t="s">
        <v>3052</v>
      </c>
      <c r="E521" s="656">
        <v>52</v>
      </c>
      <c r="F521" s="628" t="s">
        <v>3053</v>
      </c>
      <c r="G521" s="226">
        <v>63</v>
      </c>
      <c r="L521" s="228"/>
    </row>
    <row r="522" spans="1:12" x14ac:dyDescent="0.25">
      <c r="C522" s="319" t="s">
        <v>3052</v>
      </c>
      <c r="E522" s="656">
        <v>54</v>
      </c>
      <c r="F522" s="628" t="s">
        <v>3053</v>
      </c>
      <c r="G522" s="226">
        <v>63</v>
      </c>
      <c r="L522" s="228"/>
    </row>
    <row r="523" spans="1:12" x14ac:dyDescent="0.25">
      <c r="C523" s="319" t="s">
        <v>3052</v>
      </c>
      <c r="E523" s="656">
        <v>56</v>
      </c>
      <c r="F523" s="628" t="s">
        <v>3053</v>
      </c>
      <c r="G523" s="226">
        <v>63</v>
      </c>
      <c r="L523" s="228"/>
    </row>
    <row r="524" spans="1:12" x14ac:dyDescent="0.25">
      <c r="C524" s="319" t="s">
        <v>2295</v>
      </c>
      <c r="E524" s="656">
        <v>44</v>
      </c>
      <c r="F524" s="628" t="s">
        <v>3054</v>
      </c>
      <c r="G524" s="226">
        <v>32</v>
      </c>
      <c r="L524" s="228"/>
    </row>
    <row r="525" spans="1:12" x14ac:dyDescent="0.25">
      <c r="C525" s="319" t="s">
        <v>2295</v>
      </c>
      <c r="E525" s="656">
        <v>46</v>
      </c>
      <c r="F525" s="628" t="s">
        <v>3054</v>
      </c>
      <c r="G525" s="226">
        <v>32</v>
      </c>
      <c r="L525" s="228"/>
    </row>
    <row r="526" spans="1:12" x14ac:dyDescent="0.25">
      <c r="C526" s="319" t="s">
        <v>2295</v>
      </c>
      <c r="E526" s="656">
        <v>48</v>
      </c>
      <c r="F526" s="628" t="s">
        <v>3054</v>
      </c>
      <c r="G526" s="226">
        <v>32</v>
      </c>
      <c r="L526" s="228"/>
    </row>
    <row r="527" spans="1:12" x14ac:dyDescent="0.25">
      <c r="C527" s="319" t="s">
        <v>2295</v>
      </c>
      <c r="E527" s="656">
        <v>50</v>
      </c>
      <c r="F527" s="628" t="s">
        <v>3054</v>
      </c>
      <c r="G527" s="226">
        <v>32</v>
      </c>
      <c r="L527" s="228"/>
    </row>
    <row r="528" spans="1:12" x14ac:dyDescent="0.25">
      <c r="A528" s="178"/>
      <c r="C528" s="319" t="s">
        <v>1322</v>
      </c>
      <c r="E528" s="656">
        <v>44</v>
      </c>
      <c r="F528" s="628" t="s">
        <v>3055</v>
      </c>
      <c r="G528" s="226">
        <v>38</v>
      </c>
      <c r="L528" s="228"/>
    </row>
    <row r="529" spans="3:12" x14ac:dyDescent="0.25">
      <c r="C529" s="319" t="s">
        <v>1322</v>
      </c>
      <c r="E529" s="656">
        <v>46</v>
      </c>
      <c r="F529" s="628" t="s">
        <v>3055</v>
      </c>
      <c r="G529" s="226">
        <v>38</v>
      </c>
      <c r="L529" s="228"/>
    </row>
    <row r="530" spans="3:12" x14ac:dyDescent="0.25">
      <c r="C530" s="319" t="s">
        <v>1322</v>
      </c>
      <c r="E530" s="656">
        <v>48</v>
      </c>
      <c r="F530" s="628" t="s">
        <v>3055</v>
      </c>
      <c r="G530" s="226">
        <v>38</v>
      </c>
      <c r="L530" s="228"/>
    </row>
    <row r="531" spans="3:12" x14ac:dyDescent="0.25">
      <c r="C531" s="319" t="s">
        <v>1322</v>
      </c>
      <c r="E531" s="656">
        <v>50</v>
      </c>
      <c r="F531" s="628" t="s">
        <v>3055</v>
      </c>
      <c r="G531" s="226">
        <v>38</v>
      </c>
      <c r="L531" s="228"/>
    </row>
    <row r="532" spans="3:12" x14ac:dyDescent="0.25">
      <c r="C532" s="319" t="s">
        <v>1322</v>
      </c>
      <c r="E532" s="656">
        <v>36</v>
      </c>
      <c r="F532" s="628" t="s">
        <v>3056</v>
      </c>
      <c r="G532" s="226">
        <v>41</v>
      </c>
      <c r="L532" s="228"/>
    </row>
    <row r="533" spans="3:12" x14ac:dyDescent="0.25">
      <c r="C533" s="319" t="s">
        <v>1322</v>
      </c>
      <c r="E533" s="656">
        <v>38</v>
      </c>
      <c r="F533" s="628" t="s">
        <v>3056</v>
      </c>
      <c r="G533" s="226">
        <v>41</v>
      </c>
      <c r="L533" s="228"/>
    </row>
    <row r="534" spans="3:12" x14ac:dyDescent="0.25">
      <c r="C534" s="319" t="s">
        <v>1322</v>
      </c>
      <c r="E534" s="656">
        <v>40</v>
      </c>
      <c r="F534" s="628" t="s">
        <v>3056</v>
      </c>
      <c r="G534" s="226">
        <v>41</v>
      </c>
      <c r="L534" s="228"/>
    </row>
    <row r="535" spans="3:12" x14ac:dyDescent="0.25">
      <c r="C535" s="319" t="s">
        <v>1322</v>
      </c>
      <c r="E535" s="656">
        <v>42</v>
      </c>
      <c r="F535" s="628" t="s">
        <v>3056</v>
      </c>
      <c r="G535" s="226">
        <v>41</v>
      </c>
      <c r="L535" s="228"/>
    </row>
    <row r="536" spans="3:12" x14ac:dyDescent="0.25">
      <c r="C536" s="319" t="s">
        <v>675</v>
      </c>
      <c r="E536" s="656">
        <v>44</v>
      </c>
      <c r="F536" s="628" t="s">
        <v>3059</v>
      </c>
      <c r="G536" s="226">
        <v>60</v>
      </c>
      <c r="L536" s="228"/>
    </row>
    <row r="537" spans="3:12" x14ac:dyDescent="0.25">
      <c r="C537" s="319" t="s">
        <v>675</v>
      </c>
      <c r="E537" s="656">
        <v>46</v>
      </c>
      <c r="F537" s="628" t="s">
        <v>3059</v>
      </c>
      <c r="G537" s="226">
        <v>60</v>
      </c>
      <c r="L537" s="228"/>
    </row>
    <row r="538" spans="3:12" x14ac:dyDescent="0.25">
      <c r="C538" s="319" t="s">
        <v>675</v>
      </c>
      <c r="E538" s="656">
        <v>48</v>
      </c>
      <c r="F538" s="628" t="s">
        <v>3059</v>
      </c>
      <c r="G538" s="226">
        <v>60</v>
      </c>
      <c r="L538" s="228"/>
    </row>
    <row r="539" spans="3:12" x14ac:dyDescent="0.25">
      <c r="C539" s="319" t="s">
        <v>675</v>
      </c>
      <c r="E539" s="656">
        <v>50</v>
      </c>
      <c r="F539" s="628" t="s">
        <v>3059</v>
      </c>
      <c r="G539" s="226">
        <v>60</v>
      </c>
      <c r="L539" s="228"/>
    </row>
    <row r="540" spans="3:12" x14ac:dyDescent="0.25">
      <c r="C540" s="319" t="s">
        <v>675</v>
      </c>
      <c r="E540" s="656">
        <v>44</v>
      </c>
      <c r="F540" s="628" t="s">
        <v>3060</v>
      </c>
      <c r="G540" s="226">
        <v>45</v>
      </c>
      <c r="L540" s="228"/>
    </row>
    <row r="541" spans="3:12" x14ac:dyDescent="0.25">
      <c r="C541" s="319" t="s">
        <v>675</v>
      </c>
      <c r="E541" s="656">
        <v>46</v>
      </c>
      <c r="F541" s="628" t="s">
        <v>3060</v>
      </c>
      <c r="G541" s="226">
        <v>45</v>
      </c>
      <c r="L541" s="228"/>
    </row>
    <row r="542" spans="3:12" x14ac:dyDescent="0.25">
      <c r="C542" s="319" t="s">
        <v>675</v>
      </c>
      <c r="E542" s="656">
        <v>48</v>
      </c>
      <c r="F542" s="628" t="s">
        <v>3060</v>
      </c>
      <c r="G542" s="226">
        <v>45</v>
      </c>
      <c r="L542" s="228"/>
    </row>
    <row r="543" spans="3:12" x14ac:dyDescent="0.25">
      <c r="C543" s="319" t="s">
        <v>675</v>
      </c>
      <c r="E543" s="656">
        <v>50</v>
      </c>
      <c r="F543" s="628" t="s">
        <v>3060</v>
      </c>
      <c r="G543" s="226">
        <v>45</v>
      </c>
      <c r="L543" s="228"/>
    </row>
    <row r="544" spans="3:12" x14ac:dyDescent="0.25">
      <c r="C544" s="319" t="s">
        <v>3061</v>
      </c>
      <c r="E544" s="656">
        <v>48</v>
      </c>
      <c r="F544" s="628" t="s">
        <v>3063</v>
      </c>
      <c r="G544" s="226">
        <v>50</v>
      </c>
      <c r="L544" s="228"/>
    </row>
    <row r="545" spans="3:12" x14ac:dyDescent="0.25">
      <c r="C545" s="319" t="s">
        <v>3061</v>
      </c>
      <c r="E545" s="656">
        <v>50</v>
      </c>
      <c r="F545" s="628" t="s">
        <v>3063</v>
      </c>
      <c r="G545" s="226">
        <v>50</v>
      </c>
      <c r="L545" s="228"/>
    </row>
    <row r="546" spans="3:12" x14ac:dyDescent="0.25">
      <c r="C546" s="319" t="s">
        <v>3061</v>
      </c>
      <c r="E546" s="656">
        <v>52</v>
      </c>
      <c r="F546" s="628" t="s">
        <v>3063</v>
      </c>
      <c r="G546" s="226">
        <v>50</v>
      </c>
      <c r="L546" s="228"/>
    </row>
    <row r="547" spans="3:12" x14ac:dyDescent="0.25">
      <c r="C547" s="319" t="s">
        <v>3061</v>
      </c>
      <c r="E547" s="656">
        <v>54</v>
      </c>
      <c r="F547" s="628" t="s">
        <v>3063</v>
      </c>
      <c r="G547" s="226">
        <v>50</v>
      </c>
      <c r="L547" s="228"/>
    </row>
    <row r="548" spans="3:12" x14ac:dyDescent="0.25">
      <c r="C548" s="319" t="s">
        <v>587</v>
      </c>
      <c r="E548" s="656">
        <v>44</v>
      </c>
      <c r="F548" s="628" t="s">
        <v>3064</v>
      </c>
      <c r="G548" s="226">
        <v>26</v>
      </c>
      <c r="L548" s="228"/>
    </row>
    <row r="549" spans="3:12" x14ac:dyDescent="0.25">
      <c r="C549" s="319" t="s">
        <v>587</v>
      </c>
      <c r="E549" s="656">
        <v>46</v>
      </c>
      <c r="F549" s="628" t="s">
        <v>3064</v>
      </c>
      <c r="G549" s="226">
        <v>26</v>
      </c>
      <c r="L549" s="228"/>
    </row>
    <row r="550" spans="3:12" x14ac:dyDescent="0.25">
      <c r="C550" s="319" t="s">
        <v>587</v>
      </c>
      <c r="E550" s="656">
        <v>48</v>
      </c>
      <c r="F550" s="628" t="s">
        <v>3064</v>
      </c>
      <c r="G550" s="226">
        <v>26</v>
      </c>
      <c r="L550" s="228"/>
    </row>
    <row r="551" spans="3:12" x14ac:dyDescent="0.25">
      <c r="C551" s="319" t="s">
        <v>587</v>
      </c>
      <c r="E551" s="656">
        <v>50</v>
      </c>
      <c r="F551" s="628" t="s">
        <v>3064</v>
      </c>
      <c r="G551" s="226">
        <v>26</v>
      </c>
      <c r="L551" s="228"/>
    </row>
    <row r="552" spans="3:12" x14ac:dyDescent="0.25">
      <c r="C552" s="319" t="s">
        <v>587</v>
      </c>
      <c r="E552" s="656">
        <v>44</v>
      </c>
      <c r="F552" s="628" t="s">
        <v>3065</v>
      </c>
      <c r="G552" s="226">
        <v>26</v>
      </c>
      <c r="L552" s="228"/>
    </row>
    <row r="553" spans="3:12" x14ac:dyDescent="0.25">
      <c r="C553" s="319" t="s">
        <v>587</v>
      </c>
      <c r="E553" s="656">
        <v>46</v>
      </c>
      <c r="F553" s="628" t="s">
        <v>3065</v>
      </c>
      <c r="G553" s="226">
        <v>26</v>
      </c>
      <c r="L553" s="228"/>
    </row>
    <row r="554" spans="3:12" x14ac:dyDescent="0.25">
      <c r="C554" s="319" t="s">
        <v>587</v>
      </c>
      <c r="E554" s="656">
        <v>48</v>
      </c>
      <c r="F554" s="628" t="s">
        <v>3065</v>
      </c>
      <c r="G554" s="226">
        <v>26</v>
      </c>
      <c r="L554" s="228"/>
    </row>
    <row r="555" spans="3:12" x14ac:dyDescent="0.25">
      <c r="C555" s="319" t="s">
        <v>587</v>
      </c>
      <c r="E555" s="656">
        <v>50</v>
      </c>
      <c r="F555" s="628" t="s">
        <v>3065</v>
      </c>
      <c r="G555" s="226">
        <v>26</v>
      </c>
      <c r="L555" s="228"/>
    </row>
    <row r="556" spans="3:12" x14ac:dyDescent="0.25">
      <c r="C556" s="319" t="s">
        <v>587</v>
      </c>
      <c r="E556" s="656">
        <v>44</v>
      </c>
      <c r="F556" s="628" t="s">
        <v>3066</v>
      </c>
      <c r="G556" s="226">
        <v>27</v>
      </c>
      <c r="L556" s="228"/>
    </row>
    <row r="557" spans="3:12" x14ac:dyDescent="0.25">
      <c r="C557" s="319" t="s">
        <v>587</v>
      </c>
      <c r="E557" s="656">
        <v>46</v>
      </c>
      <c r="F557" s="628" t="s">
        <v>3066</v>
      </c>
      <c r="G557" s="226">
        <v>27</v>
      </c>
      <c r="L557" s="228"/>
    </row>
    <row r="558" spans="3:12" x14ac:dyDescent="0.25">
      <c r="C558" s="319" t="s">
        <v>587</v>
      </c>
      <c r="E558" s="656">
        <v>48</v>
      </c>
      <c r="F558" s="628" t="s">
        <v>3066</v>
      </c>
      <c r="G558" s="226">
        <v>27</v>
      </c>
      <c r="L558" s="228"/>
    </row>
    <row r="559" spans="3:12" x14ac:dyDescent="0.25">
      <c r="C559" s="319" t="s">
        <v>587</v>
      </c>
      <c r="E559" s="656">
        <v>50</v>
      </c>
      <c r="F559" s="628" t="s">
        <v>3066</v>
      </c>
      <c r="G559" s="226">
        <v>27</v>
      </c>
      <c r="L559" s="228"/>
    </row>
    <row r="560" spans="3:12" x14ac:dyDescent="0.25">
      <c r="C560" s="319" t="s">
        <v>1662</v>
      </c>
      <c r="F560" s="628" t="s">
        <v>3067</v>
      </c>
      <c r="G560" s="226">
        <v>16</v>
      </c>
      <c r="L560" s="228"/>
    </row>
    <row r="561" spans="3:12" x14ac:dyDescent="0.25">
      <c r="C561" s="319" t="s">
        <v>1662</v>
      </c>
      <c r="F561" s="628" t="s">
        <v>3067</v>
      </c>
      <c r="G561" s="226">
        <v>16</v>
      </c>
      <c r="L561" s="228"/>
    </row>
    <row r="562" spans="3:12" x14ac:dyDescent="0.25">
      <c r="C562" s="319" t="s">
        <v>1662</v>
      </c>
      <c r="F562" s="628" t="s">
        <v>3067</v>
      </c>
      <c r="G562" s="226">
        <v>16</v>
      </c>
      <c r="L562" s="228"/>
    </row>
    <row r="563" spans="3:12" x14ac:dyDescent="0.25">
      <c r="C563" s="319" t="s">
        <v>1662</v>
      </c>
      <c r="F563" s="628" t="s">
        <v>3067</v>
      </c>
      <c r="G563" s="226">
        <v>16</v>
      </c>
      <c r="L563" s="228"/>
    </row>
    <row r="564" spans="3:12" x14ac:dyDescent="0.25">
      <c r="C564" s="319" t="s">
        <v>1662</v>
      </c>
      <c r="F564" s="628" t="s">
        <v>3068</v>
      </c>
      <c r="G564" s="226">
        <v>16</v>
      </c>
      <c r="L564" s="228"/>
    </row>
    <row r="565" spans="3:12" x14ac:dyDescent="0.25">
      <c r="C565" s="319" t="s">
        <v>1662</v>
      </c>
      <c r="F565" s="628" t="s">
        <v>3068</v>
      </c>
      <c r="G565" s="226">
        <v>16</v>
      </c>
      <c r="L565" s="228"/>
    </row>
    <row r="566" spans="3:12" x14ac:dyDescent="0.25">
      <c r="C566" s="319" t="s">
        <v>1662</v>
      </c>
      <c r="F566" s="628" t="s">
        <v>3068</v>
      </c>
      <c r="G566" s="226">
        <v>16</v>
      </c>
      <c r="L566" s="228"/>
    </row>
    <row r="567" spans="3:12" x14ac:dyDescent="0.25">
      <c r="C567" s="319" t="s">
        <v>1662</v>
      </c>
      <c r="F567" s="628" t="s">
        <v>3068</v>
      </c>
      <c r="G567" s="226">
        <v>16</v>
      </c>
      <c r="L567" s="228"/>
    </row>
    <row r="568" spans="3:12" x14ac:dyDescent="0.25">
      <c r="C568" s="319" t="s">
        <v>1662</v>
      </c>
      <c r="F568" s="628" t="s">
        <v>3069</v>
      </c>
      <c r="G568" s="226">
        <v>16</v>
      </c>
      <c r="L568" s="228"/>
    </row>
    <row r="569" spans="3:12" x14ac:dyDescent="0.25">
      <c r="C569" s="319" t="s">
        <v>2130</v>
      </c>
      <c r="F569" s="628" t="s">
        <v>3076</v>
      </c>
      <c r="G569" s="226">
        <v>46</v>
      </c>
      <c r="L569" s="228"/>
    </row>
    <row r="570" spans="3:12" x14ac:dyDescent="0.25">
      <c r="C570" s="319" t="s">
        <v>2130</v>
      </c>
      <c r="F570" s="628" t="s">
        <v>3076</v>
      </c>
      <c r="G570" s="226">
        <v>46</v>
      </c>
      <c r="L570" s="228"/>
    </row>
    <row r="571" spans="3:12" x14ac:dyDescent="0.25">
      <c r="C571" s="319" t="s">
        <v>218</v>
      </c>
      <c r="F571" s="628" t="s">
        <v>3077</v>
      </c>
      <c r="G571" s="226">
        <v>40</v>
      </c>
      <c r="L571" s="228"/>
    </row>
    <row r="572" spans="3:12" x14ac:dyDescent="0.25">
      <c r="C572" s="319" t="s">
        <v>218</v>
      </c>
      <c r="F572" s="628" t="s">
        <v>3077</v>
      </c>
      <c r="G572" s="226">
        <v>40</v>
      </c>
      <c r="L572" s="228"/>
    </row>
    <row r="573" spans="3:12" x14ac:dyDescent="0.25">
      <c r="C573" s="319" t="s">
        <v>218</v>
      </c>
      <c r="F573" s="628" t="s">
        <v>3077</v>
      </c>
      <c r="G573" s="226">
        <v>40</v>
      </c>
      <c r="L573" s="228"/>
    </row>
    <row r="574" spans="3:12" x14ac:dyDescent="0.25">
      <c r="C574" s="319" t="s">
        <v>218</v>
      </c>
      <c r="F574" s="628" t="s">
        <v>3077</v>
      </c>
      <c r="G574" s="226">
        <v>40</v>
      </c>
      <c r="L574" s="228"/>
    </row>
    <row r="575" spans="3:12" x14ac:dyDescent="0.25">
      <c r="C575" s="319" t="s">
        <v>218</v>
      </c>
      <c r="F575" s="628" t="s">
        <v>3078</v>
      </c>
      <c r="G575" s="226">
        <v>55</v>
      </c>
      <c r="L575" s="228"/>
    </row>
    <row r="576" spans="3:12" x14ac:dyDescent="0.25">
      <c r="C576" s="319" t="s">
        <v>218</v>
      </c>
      <c r="F576" s="628" t="s">
        <v>3078</v>
      </c>
      <c r="G576" s="226">
        <v>55</v>
      </c>
      <c r="L576" s="228"/>
    </row>
    <row r="577" spans="3:12" x14ac:dyDescent="0.25">
      <c r="C577" s="319" t="s">
        <v>218</v>
      </c>
      <c r="F577" s="628" t="s">
        <v>3078</v>
      </c>
      <c r="G577" s="226">
        <v>55</v>
      </c>
      <c r="L577" s="228"/>
    </row>
    <row r="578" spans="3:12" x14ac:dyDescent="0.25">
      <c r="C578" s="319" t="s">
        <v>218</v>
      </c>
      <c r="F578" s="628" t="s">
        <v>3078</v>
      </c>
      <c r="G578" s="226">
        <v>55</v>
      </c>
      <c r="L578" s="228"/>
    </row>
    <row r="579" spans="3:12" x14ac:dyDescent="0.25">
      <c r="C579" s="319" t="s">
        <v>3080</v>
      </c>
      <c r="E579" s="656">
        <v>44</v>
      </c>
      <c r="F579" s="628" t="s">
        <v>3081</v>
      </c>
      <c r="G579" s="226">
        <v>55</v>
      </c>
      <c r="L579" s="228"/>
    </row>
    <row r="580" spans="3:12" x14ac:dyDescent="0.25">
      <c r="C580" s="319" t="s">
        <v>3080</v>
      </c>
      <c r="E580" s="656">
        <v>46</v>
      </c>
      <c r="F580" s="628" t="s">
        <v>3081</v>
      </c>
      <c r="G580" s="226">
        <v>55</v>
      </c>
      <c r="L580" s="228"/>
    </row>
    <row r="581" spans="3:12" x14ac:dyDescent="0.25">
      <c r="C581" s="319" t="s">
        <v>3080</v>
      </c>
      <c r="E581" s="656">
        <v>48</v>
      </c>
      <c r="F581" s="628" t="s">
        <v>3081</v>
      </c>
      <c r="G581" s="226">
        <v>55</v>
      </c>
      <c r="L581" s="228"/>
    </row>
    <row r="582" spans="3:12" x14ac:dyDescent="0.25">
      <c r="C582" s="319" t="s">
        <v>3080</v>
      </c>
      <c r="E582" s="656">
        <v>50</v>
      </c>
      <c r="F582" s="628" t="s">
        <v>3081</v>
      </c>
      <c r="G582" s="226">
        <v>55</v>
      </c>
      <c r="L582" s="228"/>
    </row>
    <row r="583" spans="3:12" x14ac:dyDescent="0.25">
      <c r="C583" s="319" t="s">
        <v>3082</v>
      </c>
      <c r="E583" s="656">
        <v>42</v>
      </c>
      <c r="F583" s="628" t="s">
        <v>3083</v>
      </c>
      <c r="G583" s="226">
        <v>50</v>
      </c>
      <c r="L583" s="228"/>
    </row>
    <row r="584" spans="3:12" x14ac:dyDescent="0.25">
      <c r="C584" s="319" t="s">
        <v>3082</v>
      </c>
      <c r="E584" s="656">
        <v>44</v>
      </c>
      <c r="F584" s="628" t="s">
        <v>3083</v>
      </c>
      <c r="G584" s="226">
        <v>50</v>
      </c>
      <c r="L584" s="228"/>
    </row>
    <row r="585" spans="3:12" x14ac:dyDescent="0.25">
      <c r="C585" s="319" t="s">
        <v>3082</v>
      </c>
      <c r="E585" s="656">
        <v>46</v>
      </c>
      <c r="F585" s="628" t="s">
        <v>3083</v>
      </c>
      <c r="G585" s="226">
        <v>50</v>
      </c>
      <c r="L585" s="228"/>
    </row>
    <row r="586" spans="3:12" x14ac:dyDescent="0.25">
      <c r="C586" s="319" t="s">
        <v>3082</v>
      </c>
      <c r="E586" s="656">
        <v>48</v>
      </c>
      <c r="F586" s="628" t="s">
        <v>3083</v>
      </c>
      <c r="G586" s="226">
        <v>50</v>
      </c>
      <c r="L586" s="228"/>
    </row>
    <row r="587" spans="3:12" x14ac:dyDescent="0.25">
      <c r="L587" s="228"/>
    </row>
    <row r="588" spans="3:12" x14ac:dyDescent="0.25">
      <c r="F588" s="379" t="s">
        <v>478</v>
      </c>
      <c r="L588" s="228"/>
    </row>
    <row r="589" spans="3:12" x14ac:dyDescent="0.25">
      <c r="C589" s="319" t="s">
        <v>213</v>
      </c>
      <c r="F589" s="628" t="s">
        <v>3070</v>
      </c>
      <c r="G589" s="226">
        <v>4.5</v>
      </c>
      <c r="L589" s="228"/>
    </row>
    <row r="590" spans="3:12" x14ac:dyDescent="0.25">
      <c r="F590" s="628" t="s">
        <v>3070</v>
      </c>
      <c r="G590" s="226">
        <v>4.5</v>
      </c>
      <c r="L590" s="228"/>
    </row>
    <row r="591" spans="3:12" x14ac:dyDescent="0.25">
      <c r="F591" s="628" t="s">
        <v>3070</v>
      </c>
      <c r="G591" s="226">
        <v>4.5</v>
      </c>
      <c r="L591" s="228"/>
    </row>
    <row r="592" spans="3:12" x14ac:dyDescent="0.25">
      <c r="F592" s="628" t="s">
        <v>3071</v>
      </c>
      <c r="G592" s="232">
        <v>9</v>
      </c>
      <c r="L592" s="228"/>
    </row>
    <row r="593" spans="6:12" x14ac:dyDescent="0.25">
      <c r="F593" s="628" t="s">
        <v>3071</v>
      </c>
      <c r="G593" s="232">
        <v>9</v>
      </c>
      <c r="L593" s="228"/>
    </row>
    <row r="594" spans="6:12" x14ac:dyDescent="0.25">
      <c r="F594" s="628" t="s">
        <v>3071</v>
      </c>
      <c r="G594" s="232">
        <v>9</v>
      </c>
      <c r="L594" s="228"/>
    </row>
    <row r="595" spans="6:12" x14ac:dyDescent="0.25">
      <c r="F595" s="628" t="s">
        <v>3072</v>
      </c>
      <c r="G595" s="232">
        <v>9</v>
      </c>
      <c r="L595" s="228"/>
    </row>
    <row r="596" spans="6:12" x14ac:dyDescent="0.25">
      <c r="F596" s="628" t="s">
        <v>3072</v>
      </c>
      <c r="G596" s="232">
        <v>9</v>
      </c>
      <c r="L596" s="228"/>
    </row>
    <row r="597" spans="6:12" x14ac:dyDescent="0.25">
      <c r="F597" s="628" t="s">
        <v>3072</v>
      </c>
      <c r="G597" s="232">
        <v>9</v>
      </c>
      <c r="L597" s="228"/>
    </row>
    <row r="598" spans="6:12" x14ac:dyDescent="0.25">
      <c r="F598" s="628" t="s">
        <v>3073</v>
      </c>
      <c r="G598" s="232">
        <v>10</v>
      </c>
      <c r="L598" s="228"/>
    </row>
    <row r="599" spans="6:12" x14ac:dyDescent="0.25">
      <c r="F599" s="628" t="s">
        <v>3073</v>
      </c>
      <c r="G599" s="232">
        <v>10</v>
      </c>
      <c r="L599" s="228"/>
    </row>
    <row r="600" spans="6:12" x14ac:dyDescent="0.25">
      <c r="F600" s="628" t="s">
        <v>3073</v>
      </c>
      <c r="G600" s="232">
        <v>10</v>
      </c>
      <c r="L600" s="228"/>
    </row>
    <row r="601" spans="6:12" x14ac:dyDescent="0.25">
      <c r="F601" s="628" t="s">
        <v>3073</v>
      </c>
      <c r="G601" s="232">
        <v>10</v>
      </c>
      <c r="L601" s="228"/>
    </row>
    <row r="602" spans="6:12" x14ac:dyDescent="0.25">
      <c r="F602" s="628" t="s">
        <v>3073</v>
      </c>
      <c r="G602" s="232">
        <v>10</v>
      </c>
      <c r="L602" s="228"/>
    </row>
    <row r="603" spans="6:12" x14ac:dyDescent="0.25">
      <c r="F603" s="628" t="s">
        <v>3073</v>
      </c>
      <c r="G603" s="232">
        <v>10</v>
      </c>
      <c r="L603" s="228"/>
    </row>
    <row r="604" spans="6:12" x14ac:dyDescent="0.25">
      <c r="F604" s="628" t="s">
        <v>3073</v>
      </c>
      <c r="G604" s="232">
        <v>10</v>
      </c>
      <c r="L604" s="228"/>
    </row>
    <row r="605" spans="6:12" x14ac:dyDescent="0.25">
      <c r="F605" s="628" t="s">
        <v>3073</v>
      </c>
      <c r="G605" s="232">
        <v>10</v>
      </c>
      <c r="L605" s="228"/>
    </row>
    <row r="606" spans="6:12" x14ac:dyDescent="0.25">
      <c r="F606" s="628" t="s">
        <v>3073</v>
      </c>
      <c r="G606" s="232">
        <v>10</v>
      </c>
      <c r="L606" s="228"/>
    </row>
    <row r="607" spans="6:12" x14ac:dyDescent="0.25">
      <c r="F607" s="628" t="s">
        <v>3073</v>
      </c>
      <c r="G607" s="232">
        <v>10</v>
      </c>
      <c r="L607" s="228"/>
    </row>
    <row r="608" spans="6:12" x14ac:dyDescent="0.25">
      <c r="F608" s="628" t="s">
        <v>3073</v>
      </c>
      <c r="G608" s="232">
        <v>10</v>
      </c>
      <c r="L608" s="228"/>
    </row>
    <row r="609" spans="3:12" x14ac:dyDescent="0.25">
      <c r="F609" s="628" t="s">
        <v>3073</v>
      </c>
      <c r="G609" s="232">
        <v>10</v>
      </c>
      <c r="L609" s="228"/>
    </row>
    <row r="610" spans="3:12" x14ac:dyDescent="0.25">
      <c r="F610" s="628" t="s">
        <v>3073</v>
      </c>
      <c r="G610" s="232">
        <v>10</v>
      </c>
      <c r="L610" s="228"/>
    </row>
    <row r="611" spans="3:12" x14ac:dyDescent="0.25">
      <c r="F611" s="628" t="s">
        <v>3073</v>
      </c>
      <c r="G611" s="232">
        <v>10</v>
      </c>
      <c r="L611" s="228"/>
    </row>
    <row r="612" spans="3:12" x14ac:dyDescent="0.25">
      <c r="F612" s="628" t="s">
        <v>3073</v>
      </c>
      <c r="G612" s="232">
        <v>10</v>
      </c>
      <c r="L612" s="228"/>
    </row>
    <row r="613" spans="3:12" x14ac:dyDescent="0.25">
      <c r="L613" s="228"/>
    </row>
    <row r="614" spans="3:12" x14ac:dyDescent="0.25">
      <c r="L614" s="228"/>
    </row>
    <row r="615" spans="3:12" x14ac:dyDescent="0.25">
      <c r="L615" s="228"/>
    </row>
    <row r="616" spans="3:12" x14ac:dyDescent="0.25">
      <c r="L616" s="228"/>
    </row>
    <row r="617" spans="3:12" x14ac:dyDescent="0.25">
      <c r="F617" s="628" t="s">
        <v>3074</v>
      </c>
      <c r="L617" s="228"/>
    </row>
    <row r="618" spans="3:12" x14ac:dyDescent="0.25">
      <c r="F618" s="628" t="s">
        <v>656</v>
      </c>
      <c r="G618" s="232">
        <v>17</v>
      </c>
      <c r="L618" s="228"/>
    </row>
    <row r="619" spans="3:12" x14ac:dyDescent="0.25">
      <c r="F619" s="628" t="s">
        <v>172</v>
      </c>
      <c r="G619" s="232">
        <v>12</v>
      </c>
      <c r="L619" s="228"/>
    </row>
    <row r="620" spans="3:12" x14ac:dyDescent="0.25">
      <c r="F620" s="628" t="s">
        <v>101</v>
      </c>
      <c r="G620" s="226">
        <v>12</v>
      </c>
      <c r="L620" s="228"/>
    </row>
    <row r="621" spans="3:12" x14ac:dyDescent="0.25">
      <c r="F621" s="628" t="s">
        <v>2489</v>
      </c>
      <c r="G621" s="226">
        <v>12</v>
      </c>
      <c r="L621" s="228"/>
    </row>
    <row r="622" spans="3:12" x14ac:dyDescent="0.25">
      <c r="L622" s="228"/>
    </row>
    <row r="623" spans="3:12" x14ac:dyDescent="0.25">
      <c r="F623" s="628" t="s">
        <v>1274</v>
      </c>
      <c r="L623" s="228"/>
    </row>
    <row r="624" spans="3:12" x14ac:dyDescent="0.25">
      <c r="C624" s="319" t="s">
        <v>3057</v>
      </c>
      <c r="E624" s="656">
        <v>52</v>
      </c>
      <c r="F624" s="628" t="s">
        <v>3058</v>
      </c>
      <c r="G624" s="226">
        <v>75</v>
      </c>
      <c r="L624" s="228"/>
    </row>
    <row r="625" spans="3:12" x14ac:dyDescent="0.25">
      <c r="C625" s="319" t="s">
        <v>3057</v>
      </c>
      <c r="E625" s="656">
        <v>54</v>
      </c>
      <c r="F625" s="628" t="s">
        <v>3058</v>
      </c>
      <c r="G625" s="226">
        <v>75</v>
      </c>
      <c r="L625" s="228"/>
    </row>
    <row r="626" spans="3:12" x14ac:dyDescent="0.25">
      <c r="C626" s="319" t="s">
        <v>3057</v>
      </c>
      <c r="E626" s="656">
        <v>56</v>
      </c>
      <c r="F626" s="628" t="s">
        <v>3058</v>
      </c>
      <c r="G626" s="226">
        <v>75</v>
      </c>
      <c r="L626" s="228"/>
    </row>
    <row r="627" spans="3:12" x14ac:dyDescent="0.25">
      <c r="C627" s="319" t="s">
        <v>3061</v>
      </c>
      <c r="E627" s="656">
        <v>54</v>
      </c>
      <c r="F627" s="628" t="s">
        <v>3062</v>
      </c>
      <c r="G627" s="226">
        <v>68</v>
      </c>
      <c r="L627" s="228"/>
    </row>
    <row r="628" spans="3:12" x14ac:dyDescent="0.25">
      <c r="C628" s="319" t="s">
        <v>3061</v>
      </c>
      <c r="E628" s="656">
        <v>56</v>
      </c>
      <c r="F628" s="628" t="s">
        <v>3062</v>
      </c>
      <c r="G628" s="226">
        <v>68</v>
      </c>
      <c r="L628" s="228"/>
    </row>
    <row r="629" spans="3:12" x14ac:dyDescent="0.25">
      <c r="C629" s="319" t="s">
        <v>3061</v>
      </c>
      <c r="E629" s="656">
        <v>58</v>
      </c>
      <c r="F629" s="628" t="s">
        <v>3062</v>
      </c>
      <c r="G629" s="226">
        <v>68</v>
      </c>
      <c r="L629" s="228"/>
    </row>
    <row r="630" spans="3:12" x14ac:dyDescent="0.25">
      <c r="C630" s="319" t="s">
        <v>3061</v>
      </c>
      <c r="E630" s="656">
        <v>60</v>
      </c>
      <c r="F630" s="628" t="s">
        <v>3062</v>
      </c>
      <c r="G630" s="226">
        <v>68</v>
      </c>
      <c r="L630" s="228"/>
    </row>
    <row r="631" spans="3:12" x14ac:dyDescent="0.25">
      <c r="C631" s="319" t="s">
        <v>3079</v>
      </c>
      <c r="E631" s="656">
        <v>48</v>
      </c>
      <c r="F631" s="628" t="s">
        <v>2126</v>
      </c>
      <c r="G631" s="226">
        <v>40</v>
      </c>
      <c r="L631" s="228"/>
    </row>
    <row r="632" spans="3:12" x14ac:dyDescent="0.25">
      <c r="C632" s="319" t="s">
        <v>3079</v>
      </c>
      <c r="E632" s="656">
        <v>50</v>
      </c>
      <c r="F632" s="628" t="s">
        <v>2126</v>
      </c>
      <c r="G632" s="226">
        <v>40</v>
      </c>
      <c r="L632" s="228"/>
    </row>
    <row r="633" spans="3:12" x14ac:dyDescent="0.25">
      <c r="C633" s="319" t="s">
        <v>3079</v>
      </c>
      <c r="E633" s="656">
        <v>52</v>
      </c>
      <c r="F633" s="628" t="s">
        <v>2126</v>
      </c>
      <c r="G633" s="226">
        <v>40</v>
      </c>
      <c r="L633" s="228"/>
    </row>
    <row r="634" spans="3:12" x14ac:dyDescent="0.25">
      <c r="C634" s="319" t="s">
        <v>3079</v>
      </c>
      <c r="E634" s="656">
        <v>54</v>
      </c>
      <c r="F634" s="628" t="s">
        <v>2126</v>
      </c>
      <c r="G634" s="226">
        <v>40</v>
      </c>
      <c r="L634" s="228"/>
    </row>
    <row r="635" spans="3:12" x14ac:dyDescent="0.25">
      <c r="L635" s="228"/>
    </row>
    <row r="636" spans="3:12" x14ac:dyDescent="0.25">
      <c r="F636" s="379" t="s">
        <v>3084</v>
      </c>
      <c r="L636" s="228"/>
    </row>
    <row r="637" spans="3:12" x14ac:dyDescent="0.25">
      <c r="C637" s="319" t="s">
        <v>602</v>
      </c>
      <c r="F637" s="628" t="s">
        <v>3085</v>
      </c>
      <c r="G637" s="226">
        <v>85</v>
      </c>
      <c r="L637" s="228"/>
    </row>
    <row r="638" spans="3:12" x14ac:dyDescent="0.25">
      <c r="C638" s="319" t="s">
        <v>602</v>
      </c>
      <c r="F638" s="628" t="s">
        <v>3085</v>
      </c>
      <c r="G638" s="226">
        <v>85</v>
      </c>
      <c r="L638" s="228"/>
    </row>
    <row r="639" spans="3:12" x14ac:dyDescent="0.25">
      <c r="C639" s="319" t="s">
        <v>602</v>
      </c>
      <c r="F639" s="628" t="s">
        <v>3086</v>
      </c>
      <c r="G639" s="226">
        <v>17</v>
      </c>
      <c r="L639" s="228"/>
    </row>
    <row r="640" spans="3:12" x14ac:dyDescent="0.25">
      <c r="C640" s="319" t="s">
        <v>602</v>
      </c>
      <c r="F640" s="628" t="s">
        <v>3086</v>
      </c>
      <c r="G640" s="226">
        <v>17</v>
      </c>
      <c r="L640" s="228"/>
    </row>
    <row r="641" spans="3:12" x14ac:dyDescent="0.25">
      <c r="C641" s="319" t="s">
        <v>602</v>
      </c>
      <c r="F641" s="628" t="s">
        <v>3086</v>
      </c>
      <c r="G641" s="226">
        <v>17</v>
      </c>
      <c r="L641" s="228"/>
    </row>
    <row r="642" spans="3:12" x14ac:dyDescent="0.25">
      <c r="C642" s="319" t="s">
        <v>602</v>
      </c>
      <c r="F642" s="628" t="s">
        <v>3086</v>
      </c>
      <c r="G642" s="226">
        <v>17</v>
      </c>
      <c r="L642" s="228"/>
    </row>
    <row r="643" spans="3:12" x14ac:dyDescent="0.25">
      <c r="C643" s="319" t="s">
        <v>602</v>
      </c>
      <c r="F643" s="628" t="s">
        <v>3087</v>
      </c>
      <c r="G643" s="226">
        <v>25</v>
      </c>
      <c r="L643" s="228"/>
    </row>
    <row r="644" spans="3:12" x14ac:dyDescent="0.25">
      <c r="L644" s="228"/>
    </row>
    <row r="645" spans="3:12" x14ac:dyDescent="0.25">
      <c r="L645" s="228"/>
    </row>
    <row r="646" spans="3:12" x14ac:dyDescent="0.25">
      <c r="L646" s="228"/>
    </row>
    <row r="647" spans="3:12" x14ac:dyDescent="0.25">
      <c r="L647" s="228"/>
    </row>
    <row r="648" spans="3:12" x14ac:dyDescent="0.25">
      <c r="L648" s="228"/>
    </row>
    <row r="649" spans="3:12" x14ac:dyDescent="0.25">
      <c r="L649" s="228"/>
    </row>
    <row r="650" spans="3:12" x14ac:dyDescent="0.25">
      <c r="L650" s="228"/>
    </row>
    <row r="651" spans="3:12" x14ac:dyDescent="0.25">
      <c r="L651" s="228"/>
    </row>
    <row r="652" spans="3:12" x14ac:dyDescent="0.25">
      <c r="L652" s="228"/>
    </row>
    <row r="653" spans="3:12" x14ac:dyDescent="0.25">
      <c r="L653" s="228"/>
    </row>
    <row r="654" spans="3:12" x14ac:dyDescent="0.25">
      <c r="L654" s="228"/>
    </row>
    <row r="655" spans="3:12" x14ac:dyDescent="0.25">
      <c r="L655" s="228"/>
    </row>
    <row r="656" spans="3:12" x14ac:dyDescent="0.25">
      <c r="L656" s="228"/>
    </row>
    <row r="657" spans="12:12" x14ac:dyDescent="0.25">
      <c r="L657" s="228"/>
    </row>
    <row r="658" spans="12:12" x14ac:dyDescent="0.25">
      <c r="L658" s="228"/>
    </row>
    <row r="659" spans="12:12" x14ac:dyDescent="0.25">
      <c r="L659" s="228"/>
    </row>
    <row r="660" spans="12:12" x14ac:dyDescent="0.25">
      <c r="L660" s="228"/>
    </row>
    <row r="661" spans="12:12" x14ac:dyDescent="0.25">
      <c r="L661" s="228"/>
    </row>
    <row r="662" spans="12:12" x14ac:dyDescent="0.25">
      <c r="L662" s="228"/>
    </row>
    <row r="663" spans="12:12" x14ac:dyDescent="0.25">
      <c r="L663" s="228"/>
    </row>
    <row r="664" spans="12:12" x14ac:dyDescent="0.25">
      <c r="L664" s="228"/>
    </row>
    <row r="665" spans="12:12" x14ac:dyDescent="0.25">
      <c r="L665" s="228"/>
    </row>
    <row r="666" spans="12:12" x14ac:dyDescent="0.25">
      <c r="L666" s="228"/>
    </row>
    <row r="667" spans="12:12" x14ac:dyDescent="0.25">
      <c r="L667" s="228"/>
    </row>
    <row r="668" spans="12:12" x14ac:dyDescent="0.25">
      <c r="L668" s="228"/>
    </row>
    <row r="669" spans="12:12" x14ac:dyDescent="0.25">
      <c r="L669" s="228"/>
    </row>
    <row r="670" spans="12:12" x14ac:dyDescent="0.25">
      <c r="L670" s="228"/>
    </row>
    <row r="671" spans="12:12" x14ac:dyDescent="0.25">
      <c r="L671" s="228"/>
    </row>
    <row r="672" spans="12:12" x14ac:dyDescent="0.25">
      <c r="L672" s="228"/>
    </row>
    <row r="673" spans="7:12" x14ac:dyDescent="0.25">
      <c r="L673" s="228"/>
    </row>
    <row r="674" spans="7:12" x14ac:dyDescent="0.25">
      <c r="L674" s="228"/>
    </row>
    <row r="675" spans="7:12" x14ac:dyDescent="0.25">
      <c r="L675" s="228"/>
    </row>
    <row r="676" spans="7:12" x14ac:dyDescent="0.25">
      <c r="L676" s="228"/>
    </row>
    <row r="677" spans="7:12" x14ac:dyDescent="0.25">
      <c r="L677" s="228"/>
    </row>
    <row r="678" spans="7:12" x14ac:dyDescent="0.25">
      <c r="L678" s="228"/>
    </row>
    <row r="679" spans="7:12" x14ac:dyDescent="0.25">
      <c r="G679" s="230"/>
      <c r="L679" s="228"/>
    </row>
    <row r="680" spans="7:12" x14ac:dyDescent="0.25">
      <c r="G680" s="230"/>
      <c r="L680" s="228"/>
    </row>
    <row r="681" spans="7:12" x14ac:dyDescent="0.25">
      <c r="G681" s="230"/>
      <c r="L681" s="228"/>
    </row>
    <row r="682" spans="7:12" x14ac:dyDescent="0.25">
      <c r="G682" s="230"/>
      <c r="L682" s="228"/>
    </row>
    <row r="683" spans="7:12" x14ac:dyDescent="0.25">
      <c r="L683" s="228"/>
    </row>
    <row r="684" spans="7:12" x14ac:dyDescent="0.25">
      <c r="L684" s="228"/>
    </row>
    <row r="685" spans="7:12" x14ac:dyDescent="0.25">
      <c r="L685" s="228"/>
    </row>
    <row r="686" spans="7:12" x14ac:dyDescent="0.25">
      <c r="L686" s="228"/>
    </row>
    <row r="687" spans="7:12" x14ac:dyDescent="0.25">
      <c r="L687" s="228"/>
    </row>
    <row r="688" spans="7:12" x14ac:dyDescent="0.25">
      <c r="L688" s="228"/>
    </row>
    <row r="689" spans="1:12" x14ac:dyDescent="0.25">
      <c r="L689" s="228"/>
    </row>
    <row r="690" spans="1:12" x14ac:dyDescent="0.25">
      <c r="L690" s="228"/>
    </row>
    <row r="691" spans="1:12" x14ac:dyDescent="0.25">
      <c r="L691" s="228"/>
    </row>
    <row r="692" spans="1:12" x14ac:dyDescent="0.25">
      <c r="L692" s="228"/>
    </row>
    <row r="693" spans="1:12" x14ac:dyDescent="0.25">
      <c r="L693" s="228"/>
    </row>
    <row r="694" spans="1:12" x14ac:dyDescent="0.25">
      <c r="L694" s="228"/>
    </row>
    <row r="695" spans="1:12" x14ac:dyDescent="0.25">
      <c r="L695" s="228"/>
    </row>
    <row r="696" spans="1:12" x14ac:dyDescent="0.25">
      <c r="L696" s="228"/>
    </row>
    <row r="697" spans="1:12" x14ac:dyDescent="0.25">
      <c r="L697" s="228"/>
    </row>
    <row r="698" spans="1:12" x14ac:dyDescent="0.25">
      <c r="L698" s="228"/>
    </row>
    <row r="699" spans="1:12" x14ac:dyDescent="0.25">
      <c r="L699" s="228"/>
    </row>
    <row r="700" spans="1:12" x14ac:dyDescent="0.25">
      <c r="L700" s="228"/>
    </row>
    <row r="701" spans="1:12" x14ac:dyDescent="0.25">
      <c r="L701" s="228"/>
    </row>
    <row r="702" spans="1:12" x14ac:dyDescent="0.25">
      <c r="L702" s="228"/>
    </row>
    <row r="703" spans="1:12" x14ac:dyDescent="0.25">
      <c r="A703" s="178"/>
      <c r="L703" s="228"/>
    </row>
    <row r="704" spans="1:12" x14ac:dyDescent="0.25">
      <c r="A704" s="178"/>
      <c r="L704" s="228"/>
    </row>
    <row r="705" spans="1:12" x14ac:dyDescent="0.25">
      <c r="A705" s="178"/>
      <c r="L705" s="228"/>
    </row>
    <row r="706" spans="1:12" x14ac:dyDescent="0.25">
      <c r="A706" s="178"/>
      <c r="L706" s="228"/>
    </row>
    <row r="707" spans="1:12" x14ac:dyDescent="0.25">
      <c r="A707" s="178"/>
      <c r="L707" s="228"/>
    </row>
    <row r="708" spans="1:12" x14ac:dyDescent="0.25">
      <c r="A708" s="178"/>
      <c r="L708" s="228"/>
    </row>
    <row r="709" spans="1:12" x14ac:dyDescent="0.25">
      <c r="A709" s="178"/>
      <c r="L709" s="228"/>
    </row>
    <row r="710" spans="1:12" x14ac:dyDescent="0.25">
      <c r="A710" s="178"/>
      <c r="L710" s="228"/>
    </row>
    <row r="711" spans="1:12" x14ac:dyDescent="0.25">
      <c r="A711" s="178"/>
      <c r="L711" s="228"/>
    </row>
    <row r="712" spans="1:12" x14ac:dyDescent="0.25">
      <c r="A712" s="178"/>
      <c r="L712" s="228"/>
    </row>
    <row r="713" spans="1:12" x14ac:dyDescent="0.25">
      <c r="A713" s="178"/>
      <c r="L713" s="228"/>
    </row>
    <row r="714" spans="1:12" x14ac:dyDescent="0.25">
      <c r="A714" s="178"/>
      <c r="L714" s="228"/>
    </row>
    <row r="715" spans="1:12" x14ac:dyDescent="0.25">
      <c r="A715" s="178"/>
      <c r="L715" s="228"/>
    </row>
    <row r="716" spans="1:12" x14ac:dyDescent="0.25">
      <c r="A716" s="178"/>
      <c r="L716" s="228"/>
    </row>
    <row r="717" spans="1:12" x14ac:dyDescent="0.25">
      <c r="A717" s="178"/>
      <c r="L717" s="228"/>
    </row>
    <row r="718" spans="1:12" x14ac:dyDescent="0.25">
      <c r="A718" s="178"/>
      <c r="L718" s="228"/>
    </row>
    <row r="719" spans="1:12" x14ac:dyDescent="0.25">
      <c r="L719" s="228"/>
    </row>
    <row r="720" spans="1:12" x14ac:dyDescent="0.25">
      <c r="L720" s="228"/>
    </row>
    <row r="721" spans="1:14" x14ac:dyDescent="0.25">
      <c r="L721" s="228"/>
    </row>
    <row r="722" spans="1:14" x14ac:dyDescent="0.25">
      <c r="L722" s="228"/>
    </row>
    <row r="723" spans="1:14" x14ac:dyDescent="0.25">
      <c r="F723" s="379"/>
      <c r="G723" s="175"/>
      <c r="H723" s="175"/>
      <c r="I723" s="175"/>
      <c r="J723" s="175"/>
      <c r="K723" s="175"/>
      <c r="L723" s="175"/>
      <c r="M723" s="175"/>
      <c r="N723" s="175"/>
    </row>
    <row r="725" spans="1:14" x14ac:dyDescent="0.25">
      <c r="L725" s="228"/>
    </row>
    <row r="726" spans="1:14" x14ac:dyDescent="0.25">
      <c r="L726" s="228"/>
    </row>
    <row r="727" spans="1:14" x14ac:dyDescent="0.25">
      <c r="L727" s="228"/>
    </row>
    <row r="728" spans="1:14" x14ac:dyDescent="0.25">
      <c r="L728" s="228"/>
    </row>
    <row r="729" spans="1:14" x14ac:dyDescent="0.25">
      <c r="L729" s="228"/>
    </row>
    <row r="730" spans="1:14" x14ac:dyDescent="0.25">
      <c r="L730" s="228"/>
    </row>
    <row r="731" spans="1:14" x14ac:dyDescent="0.25">
      <c r="L731" s="228"/>
    </row>
    <row r="732" spans="1:14" x14ac:dyDescent="0.25">
      <c r="L732" s="228"/>
    </row>
    <row r="733" spans="1:14" x14ac:dyDescent="0.25">
      <c r="L733" s="228"/>
    </row>
    <row r="734" spans="1:14" x14ac:dyDescent="0.25">
      <c r="L734" s="228"/>
    </row>
    <row r="735" spans="1:14" x14ac:dyDescent="0.25">
      <c r="A735" s="178"/>
      <c r="L735" s="228"/>
    </row>
    <row r="736" spans="1:14" x14ac:dyDescent="0.25">
      <c r="A736" s="178"/>
      <c r="L736" s="228"/>
    </row>
    <row r="737" spans="1:14" x14ac:dyDescent="0.25">
      <c r="A737" s="178"/>
      <c r="L737" s="228"/>
    </row>
    <row r="738" spans="1:14" x14ac:dyDescent="0.25">
      <c r="A738" s="178"/>
      <c r="F738" s="379"/>
      <c r="G738" s="175"/>
      <c r="H738" s="175"/>
      <c r="I738" s="175"/>
      <c r="J738" s="175"/>
      <c r="K738" s="175"/>
      <c r="L738" s="175"/>
      <c r="M738" s="175"/>
      <c r="N738" s="175"/>
    </row>
    <row r="739" spans="1:14" x14ac:dyDescent="0.25">
      <c r="A739" s="178"/>
      <c r="L739" s="228"/>
    </row>
    <row r="740" spans="1:14" x14ac:dyDescent="0.25">
      <c r="A740" s="178"/>
      <c r="L740" s="228"/>
    </row>
    <row r="741" spans="1:14" x14ac:dyDescent="0.25">
      <c r="A741" s="178"/>
      <c r="L741" s="228"/>
    </row>
    <row r="742" spans="1:14" x14ac:dyDescent="0.25">
      <c r="A742" s="178"/>
      <c r="L742" s="228"/>
    </row>
    <row r="743" spans="1:14" x14ac:dyDescent="0.25">
      <c r="A743" s="178"/>
      <c r="L743" s="228"/>
    </row>
    <row r="744" spans="1:14" x14ac:dyDescent="0.25">
      <c r="A744" s="178"/>
      <c r="L744" s="228"/>
    </row>
    <row r="745" spans="1:14" x14ac:dyDescent="0.25">
      <c r="A745" s="178"/>
      <c r="L745" s="228"/>
    </row>
    <row r="746" spans="1:14" x14ac:dyDescent="0.25">
      <c r="A746" s="178"/>
      <c r="L746" s="228"/>
    </row>
    <row r="747" spans="1:14" x14ac:dyDescent="0.25">
      <c r="A747" s="178"/>
      <c r="L747" s="228"/>
    </row>
    <row r="748" spans="1:14" x14ac:dyDescent="0.25">
      <c r="A748" s="178"/>
      <c r="L748" s="228"/>
    </row>
    <row r="749" spans="1:14" x14ac:dyDescent="0.25">
      <c r="A749" s="178"/>
      <c r="L749" s="228"/>
    </row>
    <row r="750" spans="1:14" x14ac:dyDescent="0.25">
      <c r="A750" s="178"/>
      <c r="L750" s="228"/>
    </row>
    <row r="751" spans="1:14" x14ac:dyDescent="0.25">
      <c r="L751" s="228"/>
    </row>
    <row r="752" spans="1:14" x14ac:dyDescent="0.25">
      <c r="L752" s="228"/>
    </row>
    <row r="753" spans="1:12" x14ac:dyDescent="0.25">
      <c r="L753" s="228"/>
    </row>
    <row r="754" spans="1:12" x14ac:dyDescent="0.25">
      <c r="L754" s="228"/>
    </row>
    <row r="755" spans="1:12" x14ac:dyDescent="0.25">
      <c r="L755" s="228"/>
    </row>
    <row r="756" spans="1:12" x14ac:dyDescent="0.25">
      <c r="L756" s="228"/>
    </row>
    <row r="757" spans="1:12" x14ac:dyDescent="0.25">
      <c r="L757" s="228"/>
    </row>
    <row r="758" spans="1:12" x14ac:dyDescent="0.25">
      <c r="L758" s="228"/>
    </row>
    <row r="759" spans="1:12" x14ac:dyDescent="0.25">
      <c r="L759" s="228"/>
    </row>
    <row r="760" spans="1:12" x14ac:dyDescent="0.25">
      <c r="L760" s="228"/>
    </row>
    <row r="761" spans="1:12" x14ac:dyDescent="0.25">
      <c r="L761" s="228"/>
    </row>
    <row r="762" spans="1:12" x14ac:dyDescent="0.25">
      <c r="L762" s="228"/>
    </row>
    <row r="763" spans="1:12" x14ac:dyDescent="0.25">
      <c r="L763" s="228"/>
    </row>
    <row r="764" spans="1:12" x14ac:dyDescent="0.25">
      <c r="L764" s="228"/>
    </row>
    <row r="765" spans="1:12" x14ac:dyDescent="0.25">
      <c r="L765" s="228"/>
    </row>
    <row r="766" spans="1:12" x14ac:dyDescent="0.25">
      <c r="L766" s="228"/>
    </row>
    <row r="767" spans="1:12" x14ac:dyDescent="0.25">
      <c r="A767" s="178"/>
      <c r="L767" s="228"/>
    </row>
    <row r="768" spans="1:12" x14ac:dyDescent="0.25">
      <c r="A768" s="178"/>
      <c r="L768" s="228"/>
    </row>
    <row r="769" spans="1:12" x14ac:dyDescent="0.25">
      <c r="A769" s="178"/>
      <c r="L769" s="228"/>
    </row>
    <row r="770" spans="1:12" x14ac:dyDescent="0.25">
      <c r="A770" s="178"/>
      <c r="L770" s="228"/>
    </row>
    <row r="771" spans="1:12" x14ac:dyDescent="0.25">
      <c r="A771" s="178"/>
      <c r="L771" s="228"/>
    </row>
    <row r="772" spans="1:12" x14ac:dyDescent="0.25">
      <c r="A772" s="178"/>
      <c r="L772" s="228"/>
    </row>
    <row r="773" spans="1:12" x14ac:dyDescent="0.25">
      <c r="A773" s="178"/>
      <c r="L773" s="228"/>
    </row>
    <row r="774" spans="1:12" x14ac:dyDescent="0.25">
      <c r="A774" s="178"/>
      <c r="L774" s="228"/>
    </row>
    <row r="775" spans="1:12" x14ac:dyDescent="0.25">
      <c r="A775" s="178"/>
      <c r="L775" s="228"/>
    </row>
    <row r="776" spans="1:12" x14ac:dyDescent="0.25">
      <c r="A776" s="178"/>
      <c r="L776" s="228"/>
    </row>
    <row r="777" spans="1:12" x14ac:dyDescent="0.25">
      <c r="A777" s="178"/>
      <c r="L777" s="228"/>
    </row>
    <row r="778" spans="1:12" x14ac:dyDescent="0.25">
      <c r="A778" s="178"/>
      <c r="L778" s="228"/>
    </row>
    <row r="779" spans="1:12" x14ac:dyDescent="0.25">
      <c r="A779" s="178"/>
      <c r="L779" s="228"/>
    </row>
    <row r="780" spans="1:12" x14ac:dyDescent="0.25">
      <c r="A780" s="178"/>
      <c r="L780" s="228"/>
    </row>
    <row r="781" spans="1:12" x14ac:dyDescent="0.25">
      <c r="A781" s="178"/>
      <c r="L781" s="228"/>
    </row>
    <row r="782" spans="1:12" x14ac:dyDescent="0.25">
      <c r="A782" s="178"/>
      <c r="L782" s="228"/>
    </row>
    <row r="783" spans="1:12" x14ac:dyDescent="0.25">
      <c r="A783" s="178"/>
      <c r="L783" s="228"/>
    </row>
    <row r="784" spans="1:12" x14ac:dyDescent="0.25">
      <c r="A784" s="178"/>
      <c r="L784" s="228"/>
    </row>
    <row r="785" spans="1:14" x14ac:dyDescent="0.25">
      <c r="A785" s="178"/>
      <c r="G785" s="175"/>
      <c r="H785" s="175"/>
      <c r="I785" s="175"/>
      <c r="J785" s="175"/>
      <c r="K785" s="175"/>
      <c r="L785" s="175"/>
      <c r="M785" s="175"/>
      <c r="N785" s="175"/>
    </row>
    <row r="786" spans="1:14" x14ac:dyDescent="0.25">
      <c r="A786" s="178"/>
      <c r="F786" s="379"/>
      <c r="G786" s="175"/>
      <c r="L786" s="228"/>
    </row>
    <row r="787" spans="1:14" x14ac:dyDescent="0.25">
      <c r="A787" s="178"/>
      <c r="G787" s="175"/>
      <c r="L787" s="228"/>
    </row>
    <row r="788" spans="1:14" x14ac:dyDescent="0.25">
      <c r="A788" s="178"/>
      <c r="G788" s="174"/>
      <c r="L788" s="228"/>
    </row>
    <row r="789" spans="1:14" x14ac:dyDescent="0.25">
      <c r="A789" s="178"/>
      <c r="G789" s="174"/>
      <c r="L789" s="228"/>
    </row>
    <row r="790" spans="1:14" x14ac:dyDescent="0.25">
      <c r="A790" s="178"/>
      <c r="G790" s="174"/>
      <c r="L790" s="228"/>
    </row>
    <row r="791" spans="1:14" x14ac:dyDescent="0.25">
      <c r="A791" s="178"/>
      <c r="G791" s="174"/>
      <c r="L791" s="228"/>
    </row>
    <row r="792" spans="1:14" x14ac:dyDescent="0.25">
      <c r="A792" s="178"/>
      <c r="G792" s="174"/>
      <c r="L792" s="228"/>
    </row>
    <row r="793" spans="1:14" x14ac:dyDescent="0.25">
      <c r="A793" s="178"/>
      <c r="G793" s="174"/>
      <c r="L793" s="228"/>
    </row>
    <row r="794" spans="1:14" x14ac:dyDescent="0.25">
      <c r="A794" s="178"/>
      <c r="G794" s="174"/>
      <c r="L794" s="228"/>
    </row>
    <row r="795" spans="1:14" x14ac:dyDescent="0.25">
      <c r="A795" s="178"/>
      <c r="G795" s="174"/>
      <c r="L795" s="228"/>
    </row>
    <row r="796" spans="1:14" x14ac:dyDescent="0.25">
      <c r="A796" s="178"/>
      <c r="G796" s="174"/>
      <c r="L796" s="228"/>
    </row>
    <row r="797" spans="1:14" x14ac:dyDescent="0.25">
      <c r="A797" s="178"/>
      <c r="G797" s="174"/>
      <c r="L797" s="228"/>
    </row>
    <row r="798" spans="1:14" x14ac:dyDescent="0.25">
      <c r="A798" s="178"/>
      <c r="G798" s="174"/>
      <c r="L798" s="228"/>
    </row>
    <row r="799" spans="1:14" x14ac:dyDescent="0.25">
      <c r="A799" s="178"/>
      <c r="G799" s="174"/>
      <c r="L799" s="228"/>
    </row>
    <row r="800" spans="1:14" x14ac:dyDescent="0.25">
      <c r="A800" s="178"/>
      <c r="F800" s="347"/>
      <c r="G800" s="175"/>
      <c r="L800" s="228"/>
      <c r="M800" s="175"/>
      <c r="N800" s="175"/>
    </row>
    <row r="801" spans="1:14" s="214" customFormat="1" x14ac:dyDescent="0.25">
      <c r="B801" s="225"/>
      <c r="C801" s="319"/>
      <c r="E801" s="657"/>
      <c r="F801" s="379"/>
      <c r="G801" s="174"/>
      <c r="H801" s="178"/>
      <c r="I801" s="226"/>
      <c r="J801" s="226"/>
      <c r="K801" s="226"/>
      <c r="L801" s="228"/>
      <c r="M801" s="226"/>
      <c r="N801" s="174"/>
    </row>
    <row r="802" spans="1:14" s="214" customFormat="1" x14ac:dyDescent="0.25">
      <c r="B802" s="225"/>
      <c r="C802" s="319"/>
      <c r="E802" s="657"/>
      <c r="F802" s="347"/>
      <c r="G802" s="174"/>
      <c r="H802" s="178"/>
      <c r="I802" s="226"/>
      <c r="J802" s="226"/>
      <c r="K802" s="226"/>
      <c r="L802" s="228"/>
      <c r="M802" s="226"/>
      <c r="N802" s="174"/>
    </row>
    <row r="803" spans="1:14" s="214" customFormat="1" x14ac:dyDescent="0.25">
      <c r="B803" s="225"/>
      <c r="C803" s="319"/>
      <c r="E803" s="657"/>
      <c r="F803" s="628"/>
      <c r="G803" s="174"/>
      <c r="H803" s="178"/>
      <c r="I803" s="226"/>
      <c r="J803" s="226"/>
      <c r="K803" s="226"/>
      <c r="L803" s="228"/>
      <c r="M803" s="226"/>
      <c r="N803" s="174"/>
    </row>
    <row r="804" spans="1:14" x14ac:dyDescent="0.25">
      <c r="A804" s="178"/>
      <c r="L804" s="228"/>
      <c r="N804" s="174"/>
    </row>
    <row r="805" spans="1:14" x14ac:dyDescent="0.25">
      <c r="A805" s="178"/>
      <c r="L805" s="228"/>
      <c r="N805" s="174"/>
    </row>
    <row r="806" spans="1:14" x14ac:dyDescent="0.25">
      <c r="A806" s="178"/>
      <c r="L806" s="228"/>
      <c r="N806" s="174"/>
    </row>
    <row r="807" spans="1:14" x14ac:dyDescent="0.25">
      <c r="A807" s="178"/>
      <c r="L807" s="228"/>
      <c r="N807" s="174"/>
    </row>
    <row r="808" spans="1:14" x14ac:dyDescent="0.25">
      <c r="A808" s="178"/>
      <c r="L808" s="228"/>
      <c r="N808" s="174"/>
    </row>
    <row r="809" spans="1:14" x14ac:dyDescent="0.25">
      <c r="A809" s="178"/>
      <c r="L809" s="228"/>
      <c r="N809" s="174"/>
    </row>
    <row r="810" spans="1:14" x14ac:dyDescent="0.25">
      <c r="A810" s="178"/>
      <c r="L810" s="228"/>
      <c r="N810" s="174"/>
    </row>
    <row r="811" spans="1:14" x14ac:dyDescent="0.25">
      <c r="A811" s="178"/>
      <c r="L811" s="228"/>
      <c r="N811" s="174"/>
    </row>
    <row r="812" spans="1:14" x14ac:dyDescent="0.25">
      <c r="A812" s="178"/>
      <c r="L812" s="228"/>
      <c r="N812" s="174"/>
    </row>
    <row r="813" spans="1:14" x14ac:dyDescent="0.25">
      <c r="A813" s="178"/>
      <c r="L813" s="228"/>
      <c r="N813" s="174"/>
    </row>
    <row r="814" spans="1:14" x14ac:dyDescent="0.25">
      <c r="A814" s="178"/>
      <c r="L814" s="228"/>
      <c r="N814" s="174"/>
    </row>
    <row r="815" spans="1:14" x14ac:dyDescent="0.25">
      <c r="A815" s="178"/>
      <c r="L815" s="228"/>
      <c r="N815" s="174"/>
    </row>
    <row r="816" spans="1:14" x14ac:dyDescent="0.25">
      <c r="A816" s="178"/>
      <c r="L816" s="228"/>
      <c r="N816" s="174"/>
    </row>
    <row r="817" spans="1:14" x14ac:dyDescent="0.25">
      <c r="A817" s="178"/>
      <c r="L817" s="228"/>
      <c r="N817" s="174"/>
    </row>
    <row r="818" spans="1:14" x14ac:dyDescent="0.25">
      <c r="A818" s="178"/>
      <c r="L818" s="228"/>
      <c r="N818" s="174"/>
    </row>
    <row r="819" spans="1:14" x14ac:dyDescent="0.25">
      <c r="A819" s="178"/>
      <c r="L819" s="228"/>
      <c r="N819" s="174"/>
    </row>
    <row r="820" spans="1:14" x14ac:dyDescent="0.25">
      <c r="A820" s="178"/>
      <c r="L820" s="228"/>
      <c r="N820" s="174"/>
    </row>
    <row r="821" spans="1:14" x14ac:dyDescent="0.25">
      <c r="A821" s="178"/>
      <c r="G821" s="175"/>
      <c r="H821" s="175"/>
      <c r="I821" s="175"/>
      <c r="J821" s="175"/>
      <c r="K821" s="175"/>
      <c r="L821" s="175"/>
      <c r="M821" s="175"/>
      <c r="N821" s="175"/>
    </row>
    <row r="823" spans="1:14" x14ac:dyDescent="0.25">
      <c r="A823" s="178"/>
      <c r="H823" s="226"/>
      <c r="L823" s="226"/>
    </row>
    <row r="824" spans="1:14" x14ac:dyDescent="0.25">
      <c r="A824" s="178"/>
    </row>
    <row r="825" spans="1:14" x14ac:dyDescent="0.25">
      <c r="A825" s="178"/>
    </row>
    <row r="826" spans="1:14" x14ac:dyDescent="0.25">
      <c r="A826" s="178"/>
    </row>
    <row r="827" spans="1:14" x14ac:dyDescent="0.25">
      <c r="A827" s="178"/>
    </row>
    <row r="828" spans="1:14" x14ac:dyDescent="0.25">
      <c r="A828" s="178"/>
    </row>
    <row r="829" spans="1:14" x14ac:dyDescent="0.25">
      <c r="A829" s="178"/>
    </row>
    <row r="830" spans="1:14" x14ac:dyDescent="0.25">
      <c r="A830" s="178"/>
    </row>
    <row r="835" spans="6:12" x14ac:dyDescent="0.25">
      <c r="F835" s="379"/>
    </row>
    <row r="842" spans="6:12" x14ac:dyDescent="0.25">
      <c r="F842" s="379"/>
    </row>
    <row r="846" spans="6:12" x14ac:dyDescent="0.25">
      <c r="F846" s="379"/>
    </row>
    <row r="848" spans="6:12" x14ac:dyDescent="0.25">
      <c r="L848" s="228"/>
    </row>
    <row r="849" spans="1:12" x14ac:dyDescent="0.25">
      <c r="L849" s="228"/>
    </row>
    <row r="850" spans="1:12" x14ac:dyDescent="0.25">
      <c r="L850" s="228"/>
    </row>
    <row r="851" spans="1:12" x14ac:dyDescent="0.25">
      <c r="A851" s="178"/>
      <c r="L851" s="228"/>
    </row>
    <row r="852" spans="1:12" x14ac:dyDescent="0.25">
      <c r="A852" s="178"/>
      <c r="L852" s="228"/>
    </row>
    <row r="853" spans="1:12" x14ac:dyDescent="0.25">
      <c r="A853" s="178"/>
      <c r="L853" s="228"/>
    </row>
    <row r="854" spans="1:12" x14ac:dyDescent="0.25">
      <c r="A854" s="178"/>
      <c r="L854" s="228"/>
    </row>
    <row r="855" spans="1:12" x14ac:dyDescent="0.25">
      <c r="A855" s="178"/>
      <c r="L855" s="228"/>
    </row>
    <row r="856" spans="1:12" x14ac:dyDescent="0.25">
      <c r="A856" s="178"/>
      <c r="L856" s="228"/>
    </row>
    <row r="857" spans="1:12" x14ac:dyDescent="0.25">
      <c r="A857" s="178"/>
      <c r="L857" s="228"/>
    </row>
    <row r="858" spans="1:12" x14ac:dyDescent="0.25">
      <c r="A858" s="178"/>
      <c r="L858" s="228"/>
    </row>
    <row r="859" spans="1:12" x14ac:dyDescent="0.25">
      <c r="A859" s="178"/>
      <c r="L859" s="228"/>
    </row>
    <row r="860" spans="1:12" x14ac:dyDescent="0.25">
      <c r="A860" s="178"/>
      <c r="L860" s="228"/>
    </row>
    <row r="861" spans="1:12" x14ac:dyDescent="0.25">
      <c r="A861" s="178"/>
      <c r="L861" s="228"/>
    </row>
    <row r="862" spans="1:12" x14ac:dyDescent="0.25">
      <c r="A862" s="178"/>
      <c r="L862" s="228"/>
    </row>
    <row r="863" spans="1:12" x14ac:dyDescent="0.25">
      <c r="A863" s="178"/>
      <c r="L863" s="228"/>
    </row>
    <row r="864" spans="1:12" x14ac:dyDescent="0.25">
      <c r="A864" s="178"/>
      <c r="L864" s="228"/>
    </row>
    <row r="865" spans="1:12" x14ac:dyDescent="0.25">
      <c r="A865" s="178"/>
      <c r="L865" s="228"/>
    </row>
    <row r="866" spans="1:12" x14ac:dyDescent="0.25">
      <c r="A866" s="178"/>
      <c r="L866" s="228"/>
    </row>
    <row r="867" spans="1:12" x14ac:dyDescent="0.25">
      <c r="L867" s="228"/>
    </row>
    <row r="868" spans="1:12" x14ac:dyDescent="0.25">
      <c r="L868" s="228"/>
    </row>
    <row r="869" spans="1:12" x14ac:dyDescent="0.25">
      <c r="L869" s="228"/>
    </row>
    <row r="870" spans="1:12" x14ac:dyDescent="0.25">
      <c r="L870" s="228"/>
    </row>
    <row r="871" spans="1:12" x14ac:dyDescent="0.25">
      <c r="L871" s="228"/>
    </row>
    <row r="872" spans="1:12" x14ac:dyDescent="0.25">
      <c r="L872" s="228"/>
    </row>
    <row r="873" spans="1:12" x14ac:dyDescent="0.25">
      <c r="L873" s="228"/>
    </row>
    <row r="874" spans="1:12" x14ac:dyDescent="0.25">
      <c r="L874" s="228"/>
    </row>
    <row r="875" spans="1:12" x14ac:dyDescent="0.25">
      <c r="L875" s="228"/>
    </row>
    <row r="876" spans="1:12" x14ac:dyDescent="0.25">
      <c r="L876" s="228"/>
    </row>
    <row r="877" spans="1:12" x14ac:dyDescent="0.25">
      <c r="L877" s="228"/>
    </row>
    <row r="878" spans="1:12" x14ac:dyDescent="0.25">
      <c r="L878" s="228"/>
    </row>
    <row r="879" spans="1:12" x14ac:dyDescent="0.25">
      <c r="L879" s="228"/>
    </row>
    <row r="880" spans="1:12" x14ac:dyDescent="0.25">
      <c r="L880" s="228"/>
    </row>
    <row r="881" spans="1:12" x14ac:dyDescent="0.25">
      <c r="L881" s="228"/>
    </row>
    <row r="882" spans="1:12" x14ac:dyDescent="0.25">
      <c r="L882" s="228"/>
    </row>
    <row r="883" spans="1:12" x14ac:dyDescent="0.25">
      <c r="A883" s="178"/>
      <c r="L883" s="228"/>
    </row>
    <row r="884" spans="1:12" x14ac:dyDescent="0.25">
      <c r="A884" s="178"/>
      <c r="L884" s="228"/>
    </row>
    <row r="885" spans="1:12" x14ac:dyDescent="0.25">
      <c r="A885" s="178"/>
      <c r="L885" s="228"/>
    </row>
    <row r="886" spans="1:12" x14ac:dyDescent="0.25">
      <c r="A886" s="178"/>
      <c r="L886" s="228"/>
    </row>
    <row r="887" spans="1:12" x14ac:dyDescent="0.25">
      <c r="A887" s="178"/>
      <c r="L887" s="228"/>
    </row>
    <row r="888" spans="1:12" x14ac:dyDescent="0.25">
      <c r="A888" s="178"/>
      <c r="L888" s="228"/>
    </row>
    <row r="889" spans="1:12" x14ac:dyDescent="0.25">
      <c r="A889" s="178"/>
      <c r="L889" s="228"/>
    </row>
    <row r="890" spans="1:12" x14ac:dyDescent="0.25">
      <c r="A890" s="178"/>
      <c r="L890" s="228"/>
    </row>
    <row r="891" spans="1:12" x14ac:dyDescent="0.25">
      <c r="A891" s="178"/>
      <c r="L891" s="228"/>
    </row>
    <row r="892" spans="1:12" x14ac:dyDescent="0.25">
      <c r="A892" s="178"/>
      <c r="L892" s="228"/>
    </row>
    <row r="893" spans="1:12" x14ac:dyDescent="0.25">
      <c r="A893" s="178"/>
      <c r="L893" s="228"/>
    </row>
    <row r="894" spans="1:12" x14ac:dyDescent="0.25">
      <c r="A894" s="178"/>
      <c r="L894" s="228"/>
    </row>
    <row r="895" spans="1:12" x14ac:dyDescent="0.25">
      <c r="A895" s="178"/>
      <c r="L895" s="228"/>
    </row>
    <row r="896" spans="1:12" x14ac:dyDescent="0.25">
      <c r="A896" s="178"/>
      <c r="L896" s="228"/>
    </row>
    <row r="897" spans="1:12" x14ac:dyDescent="0.25">
      <c r="A897" s="178"/>
      <c r="L897" s="228"/>
    </row>
    <row r="898" spans="1:12" x14ac:dyDescent="0.25">
      <c r="A898" s="178"/>
      <c r="L898" s="228"/>
    </row>
    <row r="899" spans="1:12" x14ac:dyDescent="0.25">
      <c r="A899" s="178"/>
      <c r="L899" s="228"/>
    </row>
    <row r="900" spans="1:12" x14ac:dyDescent="0.25">
      <c r="A900" s="178"/>
      <c r="L900" s="228"/>
    </row>
    <row r="901" spans="1:12" x14ac:dyDescent="0.25">
      <c r="A901" s="178"/>
      <c r="L901" s="228"/>
    </row>
    <row r="902" spans="1:12" x14ac:dyDescent="0.25">
      <c r="A902" s="178"/>
      <c r="L902" s="228"/>
    </row>
    <row r="903" spans="1:12" x14ac:dyDescent="0.25">
      <c r="A903" s="178"/>
      <c r="L903" s="228"/>
    </row>
    <row r="904" spans="1:12" x14ac:dyDescent="0.25">
      <c r="A904" s="178"/>
      <c r="L904" s="228"/>
    </row>
    <row r="905" spans="1:12" x14ac:dyDescent="0.25">
      <c r="A905" s="178"/>
      <c r="L905" s="228"/>
    </row>
    <row r="906" spans="1:12" x14ac:dyDescent="0.25">
      <c r="A906" s="178"/>
      <c r="L906" s="228"/>
    </row>
    <row r="907" spans="1:12" x14ac:dyDescent="0.25">
      <c r="A907" s="178"/>
      <c r="L907" s="228"/>
    </row>
    <row r="908" spans="1:12" x14ac:dyDescent="0.25">
      <c r="A908" s="178"/>
      <c r="L908" s="228"/>
    </row>
    <row r="909" spans="1:12" x14ac:dyDescent="0.25">
      <c r="A909" s="178"/>
      <c r="L909" s="228"/>
    </row>
    <row r="910" spans="1:12" x14ac:dyDescent="0.25">
      <c r="A910" s="178"/>
      <c r="L910" s="228"/>
    </row>
    <row r="911" spans="1:12" x14ac:dyDescent="0.25">
      <c r="A911" s="178"/>
      <c r="L911" s="228"/>
    </row>
    <row r="912" spans="1:12" x14ac:dyDescent="0.25">
      <c r="A912" s="178"/>
      <c r="L912" s="228"/>
    </row>
    <row r="913" spans="1:12" x14ac:dyDescent="0.25">
      <c r="A913" s="178"/>
      <c r="L913" s="228"/>
    </row>
    <row r="914" spans="1:12" x14ac:dyDescent="0.25">
      <c r="A914" s="178"/>
      <c r="L914" s="228"/>
    </row>
    <row r="915" spans="1:12" x14ac:dyDescent="0.25">
      <c r="A915" s="178"/>
      <c r="L915" s="228"/>
    </row>
    <row r="916" spans="1:12" x14ac:dyDescent="0.25">
      <c r="A916" s="178"/>
      <c r="L916" s="228"/>
    </row>
    <row r="917" spans="1:12" x14ac:dyDescent="0.25">
      <c r="A917" s="178"/>
      <c r="L917" s="228"/>
    </row>
    <row r="918" spans="1:12" x14ac:dyDescent="0.25">
      <c r="A918" s="178"/>
      <c r="L918" s="228"/>
    </row>
    <row r="919" spans="1:12" x14ac:dyDescent="0.25">
      <c r="A919" s="178"/>
      <c r="L919" s="228"/>
    </row>
    <row r="920" spans="1:12" x14ac:dyDescent="0.25">
      <c r="A920" s="178"/>
      <c r="L920" s="228"/>
    </row>
    <row r="921" spans="1:12" x14ac:dyDescent="0.25">
      <c r="A921" s="178"/>
      <c r="L921" s="228"/>
    </row>
    <row r="922" spans="1:12" x14ac:dyDescent="0.25">
      <c r="A922" s="178"/>
      <c r="L922" s="228"/>
    </row>
    <row r="923" spans="1:12" x14ac:dyDescent="0.25">
      <c r="A923" s="178"/>
      <c r="L923" s="228"/>
    </row>
    <row r="924" spans="1:12" x14ac:dyDescent="0.25">
      <c r="A924" s="178"/>
      <c r="L924" s="228"/>
    </row>
    <row r="925" spans="1:12" x14ac:dyDescent="0.25">
      <c r="A925" s="178"/>
      <c r="L925" s="228"/>
    </row>
    <row r="926" spans="1:12" x14ac:dyDescent="0.25">
      <c r="A926" s="178"/>
      <c r="L926" s="228"/>
    </row>
    <row r="927" spans="1:12" x14ac:dyDescent="0.25">
      <c r="A927" s="178"/>
      <c r="L927" s="228"/>
    </row>
    <row r="928" spans="1:12" x14ac:dyDescent="0.25">
      <c r="A928" s="178"/>
      <c r="L928" s="228"/>
    </row>
    <row r="929" spans="1:12" x14ac:dyDescent="0.25">
      <c r="A929" s="178"/>
      <c r="L929" s="228"/>
    </row>
    <row r="930" spans="1:12" x14ac:dyDescent="0.25">
      <c r="A930" s="178"/>
      <c r="L930" s="228"/>
    </row>
    <row r="931" spans="1:12" x14ac:dyDescent="0.25">
      <c r="L931" s="228"/>
    </row>
    <row r="932" spans="1:12" x14ac:dyDescent="0.25">
      <c r="L932" s="228"/>
    </row>
    <row r="933" spans="1:12" x14ac:dyDescent="0.25">
      <c r="L933" s="228"/>
    </row>
    <row r="934" spans="1:12" x14ac:dyDescent="0.25">
      <c r="L934" s="228"/>
    </row>
    <row r="935" spans="1:12" x14ac:dyDescent="0.25">
      <c r="L935" s="228"/>
    </row>
    <row r="936" spans="1:12" x14ac:dyDescent="0.25">
      <c r="L936" s="228"/>
    </row>
    <row r="937" spans="1:12" x14ac:dyDescent="0.25">
      <c r="L937" s="228"/>
    </row>
    <row r="938" spans="1:12" x14ac:dyDescent="0.25">
      <c r="L938" s="228"/>
    </row>
    <row r="939" spans="1:12" x14ac:dyDescent="0.25">
      <c r="L939" s="228"/>
    </row>
    <row r="940" spans="1:12" x14ac:dyDescent="0.25">
      <c r="L940" s="228"/>
    </row>
    <row r="941" spans="1:12" x14ac:dyDescent="0.25">
      <c r="L941" s="228"/>
    </row>
    <row r="942" spans="1:12" x14ac:dyDescent="0.25">
      <c r="L942" s="228"/>
    </row>
    <row r="943" spans="1:12" x14ac:dyDescent="0.25">
      <c r="L943" s="228"/>
    </row>
    <row r="944" spans="1:12" x14ac:dyDescent="0.25">
      <c r="L944" s="228"/>
    </row>
    <row r="945" spans="1:12" x14ac:dyDescent="0.25">
      <c r="L945" s="228"/>
    </row>
    <row r="946" spans="1:12" x14ac:dyDescent="0.25">
      <c r="L946" s="228"/>
    </row>
    <row r="947" spans="1:12" x14ac:dyDescent="0.25">
      <c r="A947" s="178"/>
      <c r="L947" s="228"/>
    </row>
    <row r="948" spans="1:12" x14ac:dyDescent="0.25">
      <c r="A948" s="178"/>
      <c r="L948" s="228"/>
    </row>
    <row r="949" spans="1:12" x14ac:dyDescent="0.25">
      <c r="A949" s="178"/>
      <c r="L949" s="228"/>
    </row>
    <row r="950" spans="1:12" x14ac:dyDescent="0.25">
      <c r="A950" s="178"/>
      <c r="L950" s="228"/>
    </row>
    <row r="951" spans="1:12" x14ac:dyDescent="0.25">
      <c r="A951" s="178"/>
      <c r="L951" s="228"/>
    </row>
    <row r="952" spans="1:12" x14ac:dyDescent="0.25">
      <c r="A952" s="178"/>
      <c r="L952" s="228"/>
    </row>
    <row r="953" spans="1:12" x14ac:dyDescent="0.25">
      <c r="A953" s="178"/>
      <c r="L953" s="228"/>
    </row>
    <row r="954" spans="1:12" x14ac:dyDescent="0.25">
      <c r="A954" s="178"/>
      <c r="L954" s="228"/>
    </row>
    <row r="955" spans="1:12" x14ac:dyDescent="0.25">
      <c r="A955" s="178"/>
      <c r="L955" s="228"/>
    </row>
    <row r="956" spans="1:12" x14ac:dyDescent="0.25">
      <c r="A956" s="178"/>
      <c r="L956" s="228"/>
    </row>
    <row r="957" spans="1:12" x14ac:dyDescent="0.25">
      <c r="A957" s="178"/>
      <c r="L957" s="228"/>
    </row>
    <row r="958" spans="1:12" x14ac:dyDescent="0.25">
      <c r="A958" s="178"/>
      <c r="L958" s="228"/>
    </row>
    <row r="959" spans="1:12" x14ac:dyDescent="0.25">
      <c r="A959" s="178"/>
      <c r="L959" s="228"/>
    </row>
    <row r="960" spans="1:12" x14ac:dyDescent="0.25">
      <c r="A960" s="178"/>
      <c r="L960" s="228"/>
    </row>
    <row r="961" spans="1:12" x14ac:dyDescent="0.25">
      <c r="A961" s="178"/>
      <c r="L961" s="228"/>
    </row>
    <row r="962" spans="1:12" x14ac:dyDescent="0.25">
      <c r="A962" s="178"/>
      <c r="L962" s="228"/>
    </row>
    <row r="963" spans="1:12" x14ac:dyDescent="0.25">
      <c r="L963" s="228"/>
    </row>
    <row r="964" spans="1:12" x14ac:dyDescent="0.25">
      <c r="L964" s="228"/>
    </row>
    <row r="965" spans="1:12" x14ac:dyDescent="0.25">
      <c r="L965" s="228"/>
    </row>
    <row r="966" spans="1:12" x14ac:dyDescent="0.25">
      <c r="L966" s="228"/>
    </row>
    <row r="967" spans="1:12" x14ac:dyDescent="0.25">
      <c r="L967" s="228"/>
    </row>
    <row r="968" spans="1:12" x14ac:dyDescent="0.25">
      <c r="L968" s="228"/>
    </row>
    <row r="969" spans="1:12" x14ac:dyDescent="0.25">
      <c r="L969" s="228"/>
    </row>
    <row r="970" spans="1:12" x14ac:dyDescent="0.25">
      <c r="L970" s="228"/>
    </row>
    <row r="971" spans="1:12" x14ac:dyDescent="0.25">
      <c r="L971" s="228"/>
    </row>
    <row r="972" spans="1:12" x14ac:dyDescent="0.25">
      <c r="L972" s="228"/>
    </row>
    <row r="973" spans="1:12" x14ac:dyDescent="0.25">
      <c r="L973" s="228"/>
    </row>
    <row r="974" spans="1:12" x14ac:dyDescent="0.25">
      <c r="L974" s="228"/>
    </row>
    <row r="975" spans="1:12" x14ac:dyDescent="0.25">
      <c r="L975" s="228"/>
    </row>
    <row r="976" spans="1:12" x14ac:dyDescent="0.25">
      <c r="L976" s="228"/>
    </row>
    <row r="977" spans="1:14" x14ac:dyDescent="0.25">
      <c r="L977" s="228"/>
    </row>
    <row r="978" spans="1:14" x14ac:dyDescent="0.25">
      <c r="L978" s="228"/>
    </row>
    <row r="979" spans="1:14" x14ac:dyDescent="0.25">
      <c r="A979" s="178"/>
      <c r="L979" s="228"/>
    </row>
    <row r="980" spans="1:14" x14ac:dyDescent="0.25">
      <c r="A980" s="178"/>
      <c r="L980" s="228"/>
    </row>
    <row r="981" spans="1:14" x14ac:dyDescent="0.25">
      <c r="A981" s="178"/>
      <c r="L981" s="228"/>
    </row>
    <row r="982" spans="1:14" x14ac:dyDescent="0.25">
      <c r="A982" s="178"/>
      <c r="L982" s="228"/>
    </row>
    <row r="983" spans="1:14" x14ac:dyDescent="0.25">
      <c r="A983" s="178"/>
      <c r="L983" s="228"/>
    </row>
    <row r="984" spans="1:14" x14ac:dyDescent="0.25">
      <c r="A984" s="178"/>
      <c r="L984" s="228"/>
    </row>
    <row r="985" spans="1:14" x14ac:dyDescent="0.25">
      <c r="A985" s="178"/>
      <c r="L985" s="228"/>
    </row>
    <row r="986" spans="1:14" x14ac:dyDescent="0.25">
      <c r="A986" s="178"/>
      <c r="L986" s="228"/>
    </row>
    <row r="987" spans="1:14" x14ac:dyDescent="0.25">
      <c r="A987" s="178"/>
      <c r="L987" s="228"/>
    </row>
    <row r="988" spans="1:14" x14ac:dyDescent="0.25">
      <c r="A988" s="178"/>
      <c r="L988" s="228"/>
    </row>
    <row r="989" spans="1:14" x14ac:dyDescent="0.25">
      <c r="A989" s="178"/>
      <c r="L989" s="228"/>
    </row>
    <row r="990" spans="1:14" x14ac:dyDescent="0.25">
      <c r="A990" s="178"/>
      <c r="C990" s="318"/>
      <c r="G990" s="175"/>
      <c r="H990" s="175"/>
      <c r="I990" s="175"/>
      <c r="J990" s="175"/>
      <c r="K990" s="175"/>
      <c r="L990" s="175"/>
      <c r="M990" s="175"/>
      <c r="N990" s="175"/>
    </row>
    <row r="993" spans="1:12" x14ac:dyDescent="0.25">
      <c r="A993" s="178"/>
      <c r="C993" s="318"/>
    </row>
    <row r="994" spans="1:12" x14ac:dyDescent="0.25">
      <c r="A994" s="178"/>
      <c r="C994" s="318"/>
    </row>
    <row r="995" spans="1:12" x14ac:dyDescent="0.25">
      <c r="C995" s="318"/>
      <c r="L995" s="228"/>
    </row>
    <row r="996" spans="1:12" x14ac:dyDescent="0.25">
      <c r="C996" s="318"/>
      <c r="L996" s="228"/>
    </row>
    <row r="997" spans="1:12" x14ac:dyDescent="0.25">
      <c r="C997" s="318"/>
      <c r="L997" s="228"/>
    </row>
    <row r="998" spans="1:12" x14ac:dyDescent="0.25">
      <c r="C998" s="318"/>
      <c r="L998" s="228"/>
    </row>
    <row r="999" spans="1:12" x14ac:dyDescent="0.25">
      <c r="C999" s="318"/>
      <c r="L999" s="228"/>
    </row>
    <row r="1000" spans="1:12" x14ac:dyDescent="0.25">
      <c r="C1000" s="318"/>
      <c r="L1000" s="228"/>
    </row>
    <row r="1001" spans="1:12" x14ac:dyDescent="0.25">
      <c r="C1001" s="318"/>
      <c r="L1001" s="228"/>
    </row>
    <row r="1002" spans="1:12" x14ac:dyDescent="0.25">
      <c r="C1002" s="318"/>
      <c r="L1002" s="228"/>
    </row>
    <row r="1003" spans="1:12" x14ac:dyDescent="0.25">
      <c r="C1003" s="318"/>
      <c r="L1003" s="228"/>
    </row>
    <row r="1004" spans="1:12" x14ac:dyDescent="0.25">
      <c r="C1004" s="318"/>
      <c r="L1004" s="228"/>
    </row>
    <row r="1005" spans="1:12" x14ac:dyDescent="0.25">
      <c r="C1005" s="318"/>
      <c r="L1005" s="228"/>
    </row>
    <row r="1006" spans="1:12" x14ac:dyDescent="0.25">
      <c r="C1006" s="318"/>
      <c r="L1006" s="228"/>
    </row>
    <row r="1007" spans="1:12" x14ac:dyDescent="0.25">
      <c r="C1007" s="318"/>
      <c r="L1007" s="228"/>
    </row>
    <row r="1008" spans="1:12" x14ac:dyDescent="0.25">
      <c r="C1008" s="318"/>
      <c r="L1008" s="228"/>
    </row>
    <row r="1009" spans="1:14" x14ac:dyDescent="0.25">
      <c r="C1009" s="318"/>
      <c r="L1009" s="228"/>
    </row>
    <row r="1010" spans="1:14" x14ac:dyDescent="0.25">
      <c r="C1010" s="318"/>
      <c r="L1010" s="228"/>
    </row>
    <row r="1011" spans="1:14" x14ac:dyDescent="0.25">
      <c r="C1011" s="318"/>
      <c r="L1011" s="228"/>
    </row>
    <row r="1012" spans="1:14" x14ac:dyDescent="0.25">
      <c r="C1012" s="318"/>
      <c r="L1012" s="228"/>
    </row>
    <row r="1013" spans="1:14" x14ac:dyDescent="0.25">
      <c r="C1013" s="318"/>
      <c r="L1013" s="228"/>
    </row>
    <row r="1014" spans="1:14" x14ac:dyDescent="0.25">
      <c r="C1014" s="318"/>
      <c r="L1014" s="228"/>
    </row>
    <row r="1015" spans="1:14" x14ac:dyDescent="0.25">
      <c r="C1015" s="318"/>
      <c r="G1015" s="175"/>
      <c r="H1015" s="175"/>
      <c r="I1015" s="175"/>
      <c r="J1015" s="175"/>
      <c r="K1015" s="175"/>
      <c r="L1015" s="175"/>
      <c r="M1015" s="175"/>
      <c r="N1015" s="175"/>
    </row>
    <row r="1016" spans="1:14" x14ac:dyDescent="0.25">
      <c r="C1016" s="318"/>
      <c r="L1016" s="228"/>
    </row>
    <row r="1017" spans="1:14" x14ac:dyDescent="0.25">
      <c r="C1017" s="318"/>
      <c r="L1017" s="228"/>
    </row>
    <row r="1018" spans="1:14" x14ac:dyDescent="0.25">
      <c r="C1018" s="318"/>
      <c r="L1018" s="228"/>
    </row>
    <row r="1019" spans="1:14" x14ac:dyDescent="0.25">
      <c r="C1019" s="318"/>
      <c r="L1019" s="228"/>
    </row>
    <row r="1020" spans="1:14" x14ac:dyDescent="0.25">
      <c r="C1020" s="318"/>
      <c r="L1020" s="228"/>
    </row>
    <row r="1021" spans="1:14" x14ac:dyDescent="0.25">
      <c r="L1021" s="228"/>
    </row>
    <row r="1022" spans="1:14" x14ac:dyDescent="0.25">
      <c r="L1022" s="228"/>
    </row>
    <row r="1023" spans="1:14" x14ac:dyDescent="0.25">
      <c r="L1023" s="228"/>
    </row>
    <row r="1024" spans="1:14" x14ac:dyDescent="0.25">
      <c r="A1024" s="178"/>
      <c r="L1024" s="228"/>
    </row>
    <row r="1025" spans="12:12" x14ac:dyDescent="0.25">
      <c r="L1025" s="228"/>
    </row>
    <row r="1026" spans="12:12" x14ac:dyDescent="0.25">
      <c r="L1026" s="228"/>
    </row>
    <row r="1027" spans="12:12" x14ac:dyDescent="0.25">
      <c r="L1027" s="228"/>
    </row>
    <row r="1028" spans="12:12" x14ac:dyDescent="0.25">
      <c r="L1028" s="228"/>
    </row>
    <row r="1029" spans="12:12" x14ac:dyDescent="0.25">
      <c r="L1029" s="228"/>
    </row>
    <row r="1030" spans="12:12" x14ac:dyDescent="0.25">
      <c r="L1030" s="228"/>
    </row>
    <row r="1031" spans="12:12" x14ac:dyDescent="0.25">
      <c r="L1031" s="228"/>
    </row>
    <row r="1032" spans="12:12" x14ac:dyDescent="0.25">
      <c r="L1032" s="228"/>
    </row>
    <row r="1033" spans="12:12" x14ac:dyDescent="0.25">
      <c r="L1033" s="228"/>
    </row>
    <row r="1034" spans="12:12" x14ac:dyDescent="0.25">
      <c r="L1034" s="228"/>
    </row>
    <row r="1035" spans="12:12" x14ac:dyDescent="0.25">
      <c r="L1035" s="228"/>
    </row>
    <row r="1036" spans="12:12" x14ac:dyDescent="0.25">
      <c r="L1036" s="228"/>
    </row>
    <row r="1037" spans="12:12" x14ac:dyDescent="0.25">
      <c r="L1037" s="228"/>
    </row>
    <row r="1038" spans="12:12" x14ac:dyDescent="0.25">
      <c r="L1038" s="228"/>
    </row>
    <row r="1039" spans="12:12" x14ac:dyDescent="0.25">
      <c r="L1039" s="228"/>
    </row>
    <row r="1040" spans="12:12" x14ac:dyDescent="0.25">
      <c r="L1040" s="228"/>
    </row>
    <row r="1041" spans="12:12" x14ac:dyDescent="0.25">
      <c r="L1041" s="228"/>
    </row>
    <row r="1042" spans="12:12" x14ac:dyDescent="0.25">
      <c r="L1042" s="228"/>
    </row>
    <row r="1043" spans="12:12" x14ac:dyDescent="0.25">
      <c r="L1043" s="228"/>
    </row>
    <row r="1044" spans="12:12" x14ac:dyDescent="0.25">
      <c r="L1044" s="228"/>
    </row>
    <row r="1045" spans="12:12" x14ac:dyDescent="0.25">
      <c r="L1045" s="228"/>
    </row>
    <row r="1046" spans="12:12" x14ac:dyDescent="0.25">
      <c r="L1046" s="228"/>
    </row>
    <row r="1047" spans="12:12" x14ac:dyDescent="0.25">
      <c r="L1047" s="228"/>
    </row>
    <row r="1048" spans="12:12" x14ac:dyDescent="0.25">
      <c r="L1048" s="228"/>
    </row>
    <row r="1049" spans="12:12" x14ac:dyDescent="0.25">
      <c r="L1049" s="228"/>
    </row>
    <row r="1050" spans="12:12" x14ac:dyDescent="0.25">
      <c r="L1050" s="228"/>
    </row>
    <row r="1051" spans="12:12" x14ac:dyDescent="0.25">
      <c r="L1051" s="228"/>
    </row>
    <row r="1052" spans="12:12" x14ac:dyDescent="0.25">
      <c r="L1052" s="228"/>
    </row>
    <row r="1053" spans="12:12" x14ac:dyDescent="0.25">
      <c r="L1053" s="228"/>
    </row>
    <row r="1054" spans="12:12" x14ac:dyDescent="0.25">
      <c r="L1054" s="228"/>
    </row>
    <row r="1055" spans="12:12" x14ac:dyDescent="0.25">
      <c r="L1055" s="228"/>
    </row>
    <row r="1056" spans="12:12" x14ac:dyDescent="0.25">
      <c r="L1056" s="228"/>
    </row>
    <row r="1057" spans="1:12" x14ac:dyDescent="0.25">
      <c r="L1057" s="228"/>
    </row>
    <row r="1058" spans="1:12" x14ac:dyDescent="0.25">
      <c r="L1058" s="228"/>
    </row>
    <row r="1059" spans="1:12" x14ac:dyDescent="0.25">
      <c r="A1059" s="178"/>
      <c r="L1059" s="228"/>
    </row>
    <row r="1060" spans="1:12" x14ac:dyDescent="0.25">
      <c r="A1060" s="178"/>
      <c r="L1060" s="228"/>
    </row>
    <row r="1061" spans="1:12" x14ac:dyDescent="0.25">
      <c r="A1061" s="178"/>
      <c r="L1061" s="228"/>
    </row>
    <row r="1062" spans="1:12" x14ac:dyDescent="0.25">
      <c r="A1062" s="178"/>
      <c r="L1062" s="228"/>
    </row>
    <row r="1063" spans="1:12" x14ac:dyDescent="0.25">
      <c r="A1063" s="178"/>
      <c r="L1063" s="228"/>
    </row>
    <row r="1064" spans="1:12" x14ac:dyDescent="0.25">
      <c r="A1064" s="178"/>
      <c r="L1064" s="228"/>
    </row>
    <row r="1065" spans="1:12" x14ac:dyDescent="0.25">
      <c r="A1065" s="178"/>
      <c r="L1065" s="228"/>
    </row>
    <row r="1066" spans="1:12" x14ac:dyDescent="0.25">
      <c r="A1066" s="178"/>
      <c r="L1066" s="228"/>
    </row>
    <row r="1067" spans="1:12" x14ac:dyDescent="0.25">
      <c r="A1067" s="178"/>
      <c r="L1067" s="228"/>
    </row>
    <row r="1068" spans="1:12" x14ac:dyDescent="0.25">
      <c r="A1068" s="178"/>
      <c r="L1068" s="228"/>
    </row>
    <row r="1069" spans="1:12" x14ac:dyDescent="0.25">
      <c r="A1069" s="178"/>
      <c r="L1069" s="228"/>
    </row>
    <row r="1070" spans="1:12" x14ac:dyDescent="0.25">
      <c r="A1070" s="178"/>
      <c r="L1070" s="228"/>
    </row>
    <row r="1071" spans="1:12" x14ac:dyDescent="0.25">
      <c r="A1071" s="178"/>
      <c r="L1071" s="228"/>
    </row>
    <row r="1072" spans="1:12" x14ac:dyDescent="0.25">
      <c r="A1072" s="178"/>
      <c r="L1072" s="228"/>
    </row>
    <row r="1073" spans="1:12" x14ac:dyDescent="0.25">
      <c r="A1073" s="178"/>
      <c r="L1073" s="228"/>
    </row>
    <row r="1074" spans="1:12" x14ac:dyDescent="0.25">
      <c r="A1074" s="178"/>
      <c r="L1074" s="228"/>
    </row>
    <row r="1075" spans="1:12" x14ac:dyDescent="0.25">
      <c r="L1075" s="228"/>
    </row>
    <row r="1076" spans="1:12" x14ac:dyDescent="0.25">
      <c r="L1076" s="228"/>
    </row>
    <row r="1077" spans="1:12" x14ac:dyDescent="0.25">
      <c r="L1077" s="228"/>
    </row>
    <row r="1078" spans="1:12" x14ac:dyDescent="0.25">
      <c r="L1078" s="228"/>
    </row>
    <row r="1079" spans="1:12" x14ac:dyDescent="0.25">
      <c r="L1079" s="228"/>
    </row>
    <row r="1080" spans="1:12" x14ac:dyDescent="0.25">
      <c r="L1080" s="228"/>
    </row>
    <row r="1081" spans="1:12" x14ac:dyDescent="0.25">
      <c r="L1081" s="228"/>
    </row>
    <row r="1082" spans="1:12" x14ac:dyDescent="0.25">
      <c r="L1082" s="228"/>
    </row>
    <row r="1083" spans="1:12" x14ac:dyDescent="0.25">
      <c r="L1083" s="228"/>
    </row>
    <row r="1084" spans="1:12" x14ac:dyDescent="0.25">
      <c r="L1084" s="228"/>
    </row>
    <row r="1085" spans="1:12" x14ac:dyDescent="0.25">
      <c r="L1085" s="228"/>
    </row>
    <row r="1086" spans="1:12" x14ac:dyDescent="0.25">
      <c r="L1086" s="228"/>
    </row>
    <row r="1087" spans="1:12" x14ac:dyDescent="0.25">
      <c r="L1087" s="228"/>
    </row>
    <row r="1088" spans="1:12" x14ac:dyDescent="0.25">
      <c r="L1088" s="228"/>
    </row>
    <row r="1089" spans="12:12" x14ac:dyDescent="0.25">
      <c r="L1089" s="228"/>
    </row>
    <row r="1090" spans="12:12" x14ac:dyDescent="0.25">
      <c r="L1090" s="228"/>
    </row>
    <row r="1091" spans="12:12" x14ac:dyDescent="0.25">
      <c r="L1091" s="228"/>
    </row>
    <row r="1092" spans="12:12" x14ac:dyDescent="0.25">
      <c r="L1092" s="228"/>
    </row>
    <row r="1093" spans="12:12" x14ac:dyDescent="0.25">
      <c r="L1093" s="228"/>
    </row>
    <row r="1094" spans="12:12" x14ac:dyDescent="0.25">
      <c r="L1094" s="228"/>
    </row>
    <row r="1095" spans="12:12" x14ac:dyDescent="0.25">
      <c r="L1095" s="228"/>
    </row>
    <row r="1096" spans="12:12" x14ac:dyDescent="0.25">
      <c r="L1096" s="228"/>
    </row>
    <row r="1097" spans="12:12" x14ac:dyDescent="0.25">
      <c r="L1097" s="228"/>
    </row>
    <row r="1098" spans="12:12" x14ac:dyDescent="0.25">
      <c r="L1098" s="228"/>
    </row>
    <row r="1099" spans="12:12" x14ac:dyDescent="0.25">
      <c r="L1099" s="228"/>
    </row>
    <row r="1100" spans="12:12" x14ac:dyDescent="0.25">
      <c r="L1100" s="228"/>
    </row>
    <row r="1101" spans="12:12" x14ac:dyDescent="0.25">
      <c r="L1101" s="228"/>
    </row>
    <row r="1102" spans="12:12" x14ac:dyDescent="0.25">
      <c r="L1102" s="228"/>
    </row>
    <row r="1103" spans="12:12" x14ac:dyDescent="0.25">
      <c r="L1103" s="228"/>
    </row>
    <row r="1104" spans="12:12" x14ac:dyDescent="0.25">
      <c r="L1104" s="228"/>
    </row>
    <row r="1105" spans="12:16" x14ac:dyDescent="0.25">
      <c r="L1105" s="228"/>
    </row>
    <row r="1106" spans="12:16" x14ac:dyDescent="0.25">
      <c r="L1106" s="228"/>
    </row>
    <row r="1107" spans="12:16" x14ac:dyDescent="0.25">
      <c r="L1107" s="228"/>
    </row>
    <row r="1108" spans="12:16" x14ac:dyDescent="0.25">
      <c r="L1108" s="228"/>
    </row>
    <row r="1109" spans="12:16" x14ac:dyDescent="0.25">
      <c r="L1109" s="228"/>
    </row>
    <row r="1110" spans="12:16" x14ac:dyDescent="0.25">
      <c r="L1110" s="228"/>
    </row>
    <row r="1111" spans="12:16" x14ac:dyDescent="0.25">
      <c r="L1111" s="228"/>
    </row>
    <row r="1112" spans="12:16" x14ac:dyDescent="0.25">
      <c r="L1112" s="228"/>
    </row>
    <row r="1113" spans="12:16" x14ac:dyDescent="0.25">
      <c r="L1113" s="228"/>
    </row>
    <row r="1114" spans="12:16" x14ac:dyDescent="0.25">
      <c r="L1114" s="228"/>
    </row>
    <row r="1115" spans="12:16" x14ac:dyDescent="0.25">
      <c r="L1115" s="228"/>
    </row>
    <row r="1116" spans="12:16" x14ac:dyDescent="0.25">
      <c r="L1116" s="228"/>
    </row>
    <row r="1117" spans="12:16" x14ac:dyDescent="0.25">
      <c r="L1117" s="228"/>
    </row>
    <row r="1118" spans="12:16" x14ac:dyDescent="0.25">
      <c r="L1118" s="228"/>
    </row>
    <row r="1119" spans="12:16" x14ac:dyDescent="0.25">
      <c r="L1119" s="228"/>
      <c r="P1119" s="227"/>
    </row>
    <row r="1120" spans="12:16" x14ac:dyDescent="0.25">
      <c r="L1120" s="228"/>
    </row>
    <row r="1121" spans="12:18" x14ac:dyDescent="0.25">
      <c r="L1121" s="228"/>
    </row>
    <row r="1122" spans="12:18" x14ac:dyDescent="0.25">
      <c r="L1122" s="228"/>
    </row>
    <row r="1123" spans="12:18" x14ac:dyDescent="0.25">
      <c r="L1123" s="228"/>
    </row>
    <row r="1124" spans="12:18" x14ac:dyDescent="0.25">
      <c r="L1124" s="228"/>
    </row>
    <row r="1125" spans="12:18" x14ac:dyDescent="0.25">
      <c r="L1125" s="228"/>
    </row>
    <row r="1126" spans="12:18" x14ac:dyDescent="0.25">
      <c r="L1126" s="228"/>
    </row>
    <row r="1127" spans="12:18" x14ac:dyDescent="0.25">
      <c r="L1127" s="228"/>
    </row>
    <row r="1128" spans="12:18" x14ac:dyDescent="0.25">
      <c r="L1128" s="228"/>
    </row>
    <row r="1129" spans="12:18" x14ac:dyDescent="0.25">
      <c r="L1129" s="228"/>
    </row>
    <row r="1130" spans="12:18" x14ac:dyDescent="0.25">
      <c r="L1130" s="228"/>
    </row>
    <row r="1131" spans="12:18" x14ac:dyDescent="0.25">
      <c r="L1131" s="228"/>
    </row>
    <row r="1132" spans="12:18" x14ac:dyDescent="0.25">
      <c r="L1132" s="228"/>
    </row>
    <row r="1133" spans="12:18" x14ac:dyDescent="0.25">
      <c r="L1133" s="228"/>
      <c r="R1133" s="231"/>
    </row>
    <row r="1134" spans="12:18" x14ac:dyDescent="0.25">
      <c r="L1134" s="228"/>
    </row>
    <row r="1135" spans="12:18" x14ac:dyDescent="0.25">
      <c r="L1135" s="228"/>
    </row>
    <row r="1136" spans="12:18" x14ac:dyDescent="0.25">
      <c r="L1136" s="228"/>
    </row>
    <row r="1137" spans="3:14" x14ac:dyDescent="0.25">
      <c r="L1137" s="228"/>
    </row>
    <row r="1138" spans="3:14" x14ac:dyDescent="0.25">
      <c r="L1138" s="228"/>
    </row>
    <row r="1139" spans="3:14" x14ac:dyDescent="0.25">
      <c r="L1139" s="228"/>
    </row>
    <row r="1140" spans="3:14" x14ac:dyDescent="0.25">
      <c r="L1140" s="228"/>
    </row>
    <row r="1141" spans="3:14" x14ac:dyDescent="0.25">
      <c r="L1141" s="228"/>
    </row>
    <row r="1142" spans="3:14" x14ac:dyDescent="0.25">
      <c r="L1142" s="228"/>
    </row>
    <row r="1143" spans="3:14" x14ac:dyDescent="0.25">
      <c r="L1143" s="228"/>
    </row>
    <row r="1144" spans="3:14" x14ac:dyDescent="0.25">
      <c r="L1144" s="228"/>
    </row>
    <row r="1145" spans="3:14" x14ac:dyDescent="0.25">
      <c r="G1145" s="175"/>
      <c r="H1145" s="175"/>
      <c r="I1145" s="175"/>
      <c r="J1145" s="175"/>
      <c r="K1145" s="175"/>
      <c r="L1145" s="175"/>
      <c r="M1145" s="175"/>
      <c r="N1145" s="175"/>
    </row>
    <row r="1146" spans="3:14" x14ac:dyDescent="0.25">
      <c r="C1146" s="318"/>
      <c r="L1146" s="228"/>
    </row>
    <row r="1147" spans="3:14" x14ac:dyDescent="0.25">
      <c r="L1147" s="228"/>
    </row>
    <row r="1148" spans="3:14" x14ac:dyDescent="0.25">
      <c r="L1148" s="228"/>
    </row>
    <row r="1149" spans="3:14" x14ac:dyDescent="0.25">
      <c r="L1149" s="228"/>
    </row>
    <row r="1150" spans="3:14" x14ac:dyDescent="0.25">
      <c r="L1150" s="228"/>
    </row>
    <row r="1151" spans="3:14" x14ac:dyDescent="0.25">
      <c r="L1151" s="228"/>
    </row>
    <row r="1152" spans="3:14" x14ac:dyDescent="0.25">
      <c r="L1152" s="228"/>
    </row>
    <row r="1153" spans="12:12" x14ac:dyDescent="0.25">
      <c r="L1153" s="228"/>
    </row>
    <row r="1154" spans="12:12" x14ac:dyDescent="0.25">
      <c r="L1154" s="228"/>
    </row>
    <row r="1155" spans="12:12" x14ac:dyDescent="0.25">
      <c r="L1155" s="228"/>
    </row>
    <row r="1156" spans="12:12" x14ac:dyDescent="0.25">
      <c r="L1156" s="228"/>
    </row>
    <row r="1157" spans="12:12" x14ac:dyDescent="0.25">
      <c r="L1157" s="228"/>
    </row>
    <row r="1158" spans="12:12" x14ac:dyDescent="0.25">
      <c r="L1158" s="228"/>
    </row>
    <row r="1159" spans="12:12" x14ac:dyDescent="0.25">
      <c r="L1159" s="228"/>
    </row>
    <row r="1160" spans="12:12" x14ac:dyDescent="0.25">
      <c r="L1160" s="228"/>
    </row>
    <row r="1161" spans="12:12" x14ac:dyDescent="0.25">
      <c r="L1161" s="228"/>
    </row>
    <row r="1162" spans="12:12" x14ac:dyDescent="0.25">
      <c r="L1162" s="228"/>
    </row>
    <row r="1163" spans="12:12" x14ac:dyDescent="0.25">
      <c r="L1163" s="228"/>
    </row>
    <row r="1164" spans="12:12" x14ac:dyDescent="0.25">
      <c r="L1164" s="228"/>
    </row>
    <row r="1165" spans="12:12" x14ac:dyDescent="0.25">
      <c r="L1165" s="228"/>
    </row>
    <row r="1166" spans="12:12" x14ac:dyDescent="0.25">
      <c r="L1166" s="228"/>
    </row>
    <row r="1167" spans="12:12" x14ac:dyDescent="0.25">
      <c r="L1167" s="228"/>
    </row>
    <row r="1168" spans="12:12" x14ac:dyDescent="0.25">
      <c r="L1168" s="228"/>
    </row>
    <row r="1169" spans="3:14" x14ac:dyDescent="0.25">
      <c r="L1169" s="228"/>
    </row>
    <row r="1170" spans="3:14" x14ac:dyDescent="0.25">
      <c r="L1170" s="228"/>
    </row>
    <row r="1171" spans="3:14" x14ac:dyDescent="0.25">
      <c r="L1171" s="228"/>
    </row>
    <row r="1172" spans="3:14" x14ac:dyDescent="0.25">
      <c r="L1172" s="228"/>
    </row>
    <row r="1173" spans="3:14" x14ac:dyDescent="0.25">
      <c r="L1173" s="228"/>
    </row>
    <row r="1174" spans="3:14" x14ac:dyDescent="0.25">
      <c r="G1174" s="175"/>
      <c r="H1174" s="175"/>
      <c r="I1174" s="175"/>
      <c r="J1174" s="175"/>
      <c r="K1174" s="175"/>
      <c r="L1174" s="175"/>
      <c r="M1174" s="175"/>
      <c r="N1174" s="175"/>
    </row>
    <row r="1175" spans="3:14" x14ac:dyDescent="0.25">
      <c r="C1175" s="318"/>
      <c r="G1175" s="175"/>
      <c r="L1175" s="228"/>
    </row>
    <row r="1176" spans="3:14" x14ac:dyDescent="0.25">
      <c r="G1176" s="174"/>
      <c r="L1176" s="228"/>
    </row>
    <row r="1177" spans="3:14" x14ac:dyDescent="0.25">
      <c r="G1177" s="174"/>
      <c r="L1177" s="228"/>
    </row>
    <row r="1178" spans="3:14" x14ac:dyDescent="0.25">
      <c r="G1178" s="174"/>
      <c r="L1178" s="228"/>
    </row>
    <row r="1179" spans="3:14" x14ac:dyDescent="0.25">
      <c r="G1179" s="174"/>
      <c r="L1179" s="228"/>
    </row>
    <row r="1180" spans="3:14" x14ac:dyDescent="0.25">
      <c r="G1180" s="174"/>
      <c r="L1180" s="228"/>
    </row>
    <row r="1181" spans="3:14" x14ac:dyDescent="0.25">
      <c r="G1181" s="174"/>
      <c r="L1181" s="228"/>
    </row>
    <row r="1182" spans="3:14" x14ac:dyDescent="0.25">
      <c r="G1182" s="174"/>
      <c r="L1182" s="228"/>
    </row>
    <row r="1183" spans="3:14" x14ac:dyDescent="0.25">
      <c r="G1183" s="174"/>
      <c r="L1183" s="228"/>
    </row>
    <row r="1184" spans="3:14" x14ac:dyDescent="0.25">
      <c r="G1184" s="174"/>
      <c r="L1184" s="228"/>
    </row>
    <row r="1185" spans="3:14" x14ac:dyDescent="0.25">
      <c r="G1185" s="174"/>
      <c r="L1185" s="228"/>
    </row>
    <row r="1186" spans="3:14" x14ac:dyDescent="0.25">
      <c r="G1186" s="174"/>
      <c r="L1186" s="228"/>
    </row>
    <row r="1187" spans="3:14" x14ac:dyDescent="0.25">
      <c r="G1187" s="174"/>
      <c r="L1187" s="228"/>
    </row>
    <row r="1188" spans="3:14" x14ac:dyDescent="0.25">
      <c r="G1188" s="174"/>
      <c r="L1188" s="228"/>
    </row>
    <row r="1189" spans="3:14" x14ac:dyDescent="0.25">
      <c r="G1189" s="174"/>
      <c r="L1189" s="228"/>
    </row>
    <row r="1190" spans="3:14" x14ac:dyDescent="0.25">
      <c r="G1190" s="174"/>
      <c r="L1190" s="228"/>
    </row>
    <row r="1191" spans="3:14" x14ac:dyDescent="0.25">
      <c r="G1191" s="174"/>
      <c r="L1191" s="228"/>
    </row>
    <row r="1192" spans="3:14" x14ac:dyDescent="0.25">
      <c r="G1192" s="174"/>
      <c r="L1192" s="228"/>
    </row>
    <row r="1193" spans="3:14" x14ac:dyDescent="0.25">
      <c r="G1193" s="174"/>
      <c r="L1193" s="228"/>
    </row>
    <row r="1194" spans="3:14" x14ac:dyDescent="0.25">
      <c r="G1194" s="174"/>
      <c r="L1194" s="228"/>
    </row>
    <row r="1195" spans="3:14" x14ac:dyDescent="0.25">
      <c r="G1195" s="174"/>
      <c r="L1195" s="228"/>
    </row>
    <row r="1196" spans="3:14" x14ac:dyDescent="0.25">
      <c r="F1196" s="379"/>
      <c r="G1196" s="174"/>
      <c r="L1196" s="228"/>
    </row>
    <row r="1197" spans="3:14" s="225" customFormat="1" x14ac:dyDescent="0.25">
      <c r="C1197" s="318"/>
      <c r="E1197" s="601"/>
      <c r="F1197" s="628"/>
      <c r="G1197" s="175"/>
      <c r="H1197" s="175"/>
      <c r="I1197" s="175"/>
      <c r="J1197" s="175"/>
      <c r="K1197" s="175"/>
      <c r="L1197" s="175"/>
      <c r="M1197" s="175"/>
      <c r="N1197" s="175"/>
    </row>
    <row r="1198" spans="3:14" x14ac:dyDescent="0.25">
      <c r="G1198" s="175"/>
      <c r="L1198" s="228"/>
    </row>
    <row r="1199" spans="3:14" x14ac:dyDescent="0.25">
      <c r="G1199" s="174"/>
      <c r="L1199" s="228"/>
    </row>
    <row r="1200" spans="3:14" x14ac:dyDescent="0.25">
      <c r="G1200" s="174"/>
      <c r="L1200" s="228"/>
    </row>
    <row r="1201" spans="1:14" x14ac:dyDescent="0.25">
      <c r="G1201" s="174"/>
      <c r="L1201" s="228"/>
    </row>
    <row r="1202" spans="1:14" x14ac:dyDescent="0.25">
      <c r="G1202" s="174"/>
      <c r="L1202" s="228"/>
    </row>
    <row r="1203" spans="1:14" x14ac:dyDescent="0.25">
      <c r="A1203" s="178"/>
      <c r="G1203" s="175"/>
      <c r="H1203" s="175"/>
      <c r="I1203" s="175"/>
      <c r="J1203" s="175"/>
      <c r="K1203" s="175"/>
      <c r="L1203" s="175"/>
      <c r="M1203" s="175"/>
      <c r="N1203" s="175"/>
    </row>
    <row r="1204" spans="1:14" x14ac:dyDescent="0.25">
      <c r="A1204" s="178"/>
      <c r="G1204" s="175"/>
      <c r="L1204" s="228"/>
    </row>
    <row r="1205" spans="1:14" x14ac:dyDescent="0.25">
      <c r="A1205" s="178"/>
      <c r="G1205" s="175"/>
      <c r="L1205" s="228"/>
    </row>
    <row r="1206" spans="1:14" x14ac:dyDescent="0.25">
      <c r="A1206" s="178"/>
      <c r="G1206" s="174"/>
      <c r="L1206" s="228"/>
    </row>
    <row r="1207" spans="1:14" x14ac:dyDescent="0.25">
      <c r="A1207" s="178"/>
      <c r="G1207" s="174"/>
      <c r="L1207" s="228"/>
    </row>
    <row r="1208" spans="1:14" x14ac:dyDescent="0.25">
      <c r="A1208" s="178"/>
      <c r="G1208" s="175"/>
      <c r="H1208" s="175"/>
      <c r="I1208" s="175"/>
      <c r="J1208" s="175"/>
      <c r="K1208" s="175"/>
      <c r="L1208" s="175"/>
      <c r="M1208" s="175"/>
      <c r="N1208" s="175"/>
    </row>
    <row r="1209" spans="1:14" x14ac:dyDescent="0.25">
      <c r="A1209" s="178"/>
      <c r="G1209" s="175"/>
      <c r="L1209" s="228"/>
    </row>
    <row r="1210" spans="1:14" x14ac:dyDescent="0.25">
      <c r="A1210" s="178"/>
      <c r="C1210" s="318"/>
      <c r="L1210" s="228"/>
    </row>
    <row r="1211" spans="1:14" x14ac:dyDescent="0.25">
      <c r="A1211" s="178"/>
      <c r="L1211" s="228"/>
    </row>
    <row r="1212" spans="1:14" x14ac:dyDescent="0.25">
      <c r="A1212" s="178"/>
      <c r="L1212" s="228"/>
    </row>
    <row r="1213" spans="1:14" x14ac:dyDescent="0.25">
      <c r="A1213" s="178"/>
      <c r="L1213" s="228"/>
    </row>
    <row r="1214" spans="1:14" x14ac:dyDescent="0.25">
      <c r="A1214" s="178"/>
      <c r="L1214" s="228"/>
    </row>
    <row r="1215" spans="1:14" x14ac:dyDescent="0.25">
      <c r="A1215" s="178"/>
      <c r="L1215" s="228"/>
    </row>
    <row r="1216" spans="1:14" x14ac:dyDescent="0.25">
      <c r="A1216" s="178"/>
      <c r="L1216" s="228"/>
    </row>
    <row r="1217" spans="1:14" x14ac:dyDescent="0.25">
      <c r="A1217" s="178"/>
      <c r="L1217" s="228"/>
    </row>
    <row r="1218" spans="1:14" x14ac:dyDescent="0.25">
      <c r="A1218" s="178"/>
      <c r="L1218" s="228"/>
    </row>
    <row r="1219" spans="1:14" x14ac:dyDescent="0.25">
      <c r="A1219" s="178"/>
      <c r="L1219" s="228"/>
    </row>
    <row r="1220" spans="1:14" x14ac:dyDescent="0.25">
      <c r="A1220" s="178"/>
      <c r="L1220" s="228"/>
    </row>
    <row r="1221" spans="1:14" x14ac:dyDescent="0.25">
      <c r="A1221" s="178"/>
      <c r="L1221" s="228"/>
    </row>
    <row r="1222" spans="1:14" x14ac:dyDescent="0.25">
      <c r="A1222" s="178"/>
      <c r="L1222" s="228"/>
    </row>
    <row r="1223" spans="1:14" x14ac:dyDescent="0.25">
      <c r="A1223" s="178"/>
      <c r="L1223" s="228"/>
    </row>
    <row r="1224" spans="1:14" x14ac:dyDescent="0.25">
      <c r="A1224" s="178"/>
      <c r="L1224" s="228"/>
    </row>
    <row r="1225" spans="1:14" x14ac:dyDescent="0.25">
      <c r="A1225" s="178"/>
      <c r="L1225" s="228"/>
    </row>
    <row r="1226" spans="1:14" x14ac:dyDescent="0.25">
      <c r="A1226" s="178"/>
      <c r="L1226" s="228"/>
    </row>
    <row r="1227" spans="1:14" x14ac:dyDescent="0.25">
      <c r="A1227" s="178"/>
      <c r="L1227" s="228"/>
    </row>
    <row r="1228" spans="1:14" x14ac:dyDescent="0.25">
      <c r="A1228" s="178"/>
      <c r="L1228" s="228"/>
    </row>
    <row r="1229" spans="1:14" x14ac:dyDescent="0.25">
      <c r="A1229" s="178"/>
      <c r="L1229" s="228"/>
    </row>
    <row r="1230" spans="1:14" x14ac:dyDescent="0.25">
      <c r="A1230" s="178"/>
      <c r="L1230" s="228"/>
    </row>
    <row r="1231" spans="1:14" x14ac:dyDescent="0.25">
      <c r="A1231" s="178"/>
      <c r="L1231" s="228"/>
    </row>
    <row r="1232" spans="1:14" x14ac:dyDescent="0.25">
      <c r="A1232" s="178"/>
      <c r="G1232" s="175"/>
      <c r="H1232" s="175"/>
      <c r="I1232" s="175"/>
      <c r="J1232" s="175"/>
      <c r="K1232" s="175"/>
      <c r="L1232" s="175"/>
      <c r="M1232" s="175"/>
      <c r="N1232" s="175"/>
    </row>
    <row r="1233" spans="1:14" x14ac:dyDescent="0.25">
      <c r="A1233" s="178"/>
      <c r="G1233" s="175"/>
      <c r="H1233" s="175"/>
      <c r="I1233" s="175"/>
      <c r="J1233" s="175"/>
      <c r="K1233" s="175"/>
      <c r="L1233" s="175"/>
      <c r="M1233" s="175"/>
      <c r="N1233" s="175"/>
    </row>
    <row r="1234" spans="1:14" x14ac:dyDescent="0.25">
      <c r="A1234" s="178"/>
      <c r="G1234" s="175"/>
      <c r="H1234" s="175"/>
      <c r="I1234" s="175"/>
      <c r="J1234" s="175"/>
      <c r="K1234" s="175"/>
      <c r="L1234" s="175"/>
      <c r="M1234" s="175"/>
      <c r="N1234" s="175"/>
    </row>
    <row r="1235" spans="1:14" x14ac:dyDescent="0.25">
      <c r="A1235" s="178"/>
      <c r="G1235" s="175"/>
      <c r="L1235" s="228"/>
      <c r="N1235" s="175"/>
    </row>
    <row r="1236" spans="1:14" x14ac:dyDescent="0.25">
      <c r="A1236" s="178"/>
      <c r="G1236" s="175"/>
      <c r="L1236" s="228"/>
      <c r="N1236" s="175"/>
    </row>
    <row r="1237" spans="1:14" x14ac:dyDescent="0.25">
      <c r="A1237" s="178"/>
      <c r="G1237" s="175"/>
      <c r="L1237" s="228"/>
      <c r="N1237" s="175"/>
    </row>
    <row r="1238" spans="1:14" x14ac:dyDescent="0.25">
      <c r="A1238" s="178"/>
      <c r="G1238" s="175"/>
      <c r="L1238" s="228"/>
      <c r="N1238" s="175"/>
    </row>
    <row r="1239" spans="1:14" x14ac:dyDescent="0.25">
      <c r="A1239" s="178"/>
      <c r="G1239" s="175"/>
      <c r="L1239" s="228"/>
      <c r="N1239" s="175"/>
    </row>
    <row r="1240" spans="1:14" x14ac:dyDescent="0.25">
      <c r="A1240" s="178"/>
      <c r="G1240" s="175"/>
      <c r="H1240" s="175"/>
      <c r="I1240" s="175"/>
      <c r="J1240" s="175"/>
      <c r="K1240" s="175"/>
      <c r="L1240" s="175"/>
      <c r="M1240" s="175"/>
      <c r="N1240" s="175"/>
    </row>
    <row r="1241" spans="1:14" x14ac:dyDescent="0.25">
      <c r="A1241" s="178"/>
    </row>
    <row r="1242" spans="1:14" x14ac:dyDescent="0.25">
      <c r="A1242" s="178"/>
      <c r="G1242" s="175"/>
    </row>
    <row r="1249" spans="6:7" x14ac:dyDescent="0.25">
      <c r="F1249" s="379"/>
    </row>
    <row r="1250" spans="6:7" x14ac:dyDescent="0.25">
      <c r="G1250" s="175"/>
    </row>
  </sheetData>
  <sortState ref="F1175:I1179">
    <sortCondition descending="1" ref="G1175:G1179"/>
  </sortState>
  <printOptions gridLines="1"/>
  <pageMargins left="0.7" right="0.7" top="0.75" bottom="0.75" header="0.3" footer="0.3"/>
  <pageSetup scale="42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3"/>
  <sheetViews>
    <sheetView topLeftCell="A45" workbookViewId="0">
      <selection activeCell="I55" sqref="I55"/>
    </sheetView>
  </sheetViews>
  <sheetFormatPr defaultColWidth="17.28515625" defaultRowHeight="18.75" x14ac:dyDescent="0.3"/>
  <cols>
    <col min="1" max="16384" width="17.28515625" style="465"/>
  </cols>
  <sheetData>
    <row r="2" spans="1:18" ht="19.5" thickBot="1" x14ac:dyDescent="0.35"/>
    <row r="3" spans="1:18" s="466" customFormat="1" ht="19.5" thickBot="1" x14ac:dyDescent="0.35">
      <c r="A3" s="332"/>
      <c r="E3" s="467"/>
      <c r="F3" s="468"/>
      <c r="G3" s="469"/>
      <c r="H3" s="470"/>
      <c r="I3" s="470"/>
      <c r="J3" s="470"/>
      <c r="K3" s="471"/>
      <c r="L3" s="470"/>
      <c r="M3" s="470"/>
    </row>
    <row r="4" spans="1:18" s="466" customFormat="1" x14ac:dyDescent="0.3">
      <c r="A4" s="332"/>
      <c r="F4" s="472"/>
      <c r="G4" s="470"/>
      <c r="H4" s="470"/>
      <c r="I4" s="470"/>
      <c r="J4" s="470"/>
      <c r="K4" s="471"/>
      <c r="L4" s="470"/>
      <c r="M4" s="470"/>
    </row>
    <row r="5" spans="1:18" s="466" customFormat="1" x14ac:dyDescent="0.3">
      <c r="A5" s="332"/>
      <c r="F5" s="472"/>
      <c r="G5" s="473"/>
      <c r="H5" s="470"/>
      <c r="I5" s="470"/>
      <c r="J5" s="470"/>
      <c r="K5" s="471"/>
      <c r="L5" s="470"/>
      <c r="M5" s="470"/>
    </row>
    <row r="6" spans="1:18" s="466" customFormat="1" ht="19.5" thickBot="1" x14ac:dyDescent="0.35">
      <c r="A6" s="332"/>
      <c r="F6" s="472"/>
      <c r="G6" s="473"/>
      <c r="H6" s="470"/>
      <c r="I6" s="470"/>
      <c r="J6" s="470"/>
      <c r="K6" s="471"/>
      <c r="L6" s="470"/>
      <c r="M6" s="470"/>
    </row>
    <row r="7" spans="1:18" s="466" customFormat="1" ht="19.5" thickBot="1" x14ac:dyDescent="0.35">
      <c r="A7" s="332"/>
      <c r="E7" s="474"/>
      <c r="F7" s="475"/>
      <c r="G7" s="476"/>
      <c r="H7" s="470"/>
      <c r="I7" s="470"/>
      <c r="J7" s="470"/>
      <c r="K7" s="471"/>
      <c r="L7" s="470"/>
      <c r="M7" s="470"/>
      <c r="R7" s="477"/>
    </row>
    <row r="8" spans="1:18" s="466" customFormat="1" ht="19.5" thickBot="1" x14ac:dyDescent="0.35">
      <c r="A8" s="332"/>
      <c r="F8" s="472"/>
      <c r="G8" s="478"/>
      <c r="H8" s="470"/>
      <c r="I8" s="470"/>
      <c r="J8" s="470"/>
      <c r="K8" s="471"/>
      <c r="L8" s="470"/>
      <c r="M8" s="470"/>
      <c r="R8" s="477"/>
    </row>
    <row r="9" spans="1:18" s="466" customFormat="1" ht="19.5" thickBot="1" x14ac:dyDescent="0.35">
      <c r="A9" s="332"/>
      <c r="E9" s="467"/>
      <c r="F9" s="479"/>
      <c r="G9" s="480"/>
      <c r="H9" s="470"/>
      <c r="I9" s="470"/>
      <c r="J9" s="470"/>
      <c r="K9" s="471"/>
      <c r="L9" s="470"/>
      <c r="M9" s="470"/>
    </row>
    <row r="10" spans="1:18" s="466" customFormat="1" x14ac:dyDescent="0.3">
      <c r="A10" s="332"/>
      <c r="G10" s="472"/>
      <c r="H10" s="470"/>
      <c r="I10" s="470"/>
      <c r="J10" s="470"/>
      <c r="K10" s="471"/>
      <c r="L10" s="470"/>
      <c r="M10" s="470"/>
      <c r="R10" s="477"/>
    </row>
    <row r="11" spans="1:18" s="466" customFormat="1" x14ac:dyDescent="0.3">
      <c r="A11" s="332"/>
      <c r="G11" s="472"/>
      <c r="H11" s="470"/>
      <c r="I11" s="470"/>
      <c r="J11" s="470"/>
      <c r="K11" s="471"/>
      <c r="L11" s="470"/>
      <c r="M11" s="470"/>
      <c r="R11" s="477"/>
    </row>
    <row r="12" spans="1:18" s="466" customFormat="1" x14ac:dyDescent="0.3">
      <c r="A12" s="332"/>
      <c r="F12" s="472"/>
      <c r="G12" s="473"/>
      <c r="H12" s="470"/>
      <c r="I12" s="470"/>
      <c r="J12" s="470"/>
      <c r="K12" s="471"/>
      <c r="L12" s="470"/>
      <c r="M12" s="470"/>
    </row>
    <row r="13" spans="1:18" s="466" customFormat="1" ht="19.5" thickBot="1" x14ac:dyDescent="0.35">
      <c r="A13" s="332"/>
      <c r="F13" s="472"/>
      <c r="G13" s="473"/>
      <c r="H13" s="470"/>
      <c r="I13" s="470"/>
      <c r="J13" s="470"/>
      <c r="K13" s="471"/>
      <c r="L13" s="470"/>
      <c r="M13" s="470"/>
    </row>
    <row r="14" spans="1:18" s="466" customFormat="1" ht="19.5" thickBot="1" x14ac:dyDescent="0.35">
      <c r="A14" s="332"/>
      <c r="E14" s="474"/>
      <c r="F14" s="481"/>
      <c r="G14" s="482"/>
      <c r="H14" s="470"/>
      <c r="I14" s="470"/>
      <c r="J14" s="470"/>
      <c r="K14" s="471"/>
      <c r="L14" s="470"/>
      <c r="M14" s="470"/>
    </row>
    <row r="15" spans="1:18" s="466" customFormat="1" x14ac:dyDescent="0.3">
      <c r="A15" s="332"/>
      <c r="F15" s="472"/>
      <c r="G15" s="473"/>
      <c r="H15" s="470"/>
      <c r="I15" s="470"/>
      <c r="J15" s="470"/>
      <c r="K15" s="471"/>
      <c r="L15" s="470"/>
      <c r="M15" s="470"/>
      <c r="R15" s="477"/>
    </row>
    <row r="16" spans="1:18" s="466" customFormat="1" x14ac:dyDescent="0.3">
      <c r="A16" s="332"/>
      <c r="F16" s="472"/>
      <c r="G16" s="473"/>
      <c r="H16" s="470"/>
      <c r="I16" s="470"/>
      <c r="J16" s="470"/>
      <c r="K16" s="471"/>
      <c r="L16" s="470"/>
      <c r="M16" s="470"/>
      <c r="R16" s="477"/>
    </row>
    <row r="17" spans="1:18" s="466" customFormat="1" x14ac:dyDescent="0.3">
      <c r="A17" s="332"/>
      <c r="F17" s="472"/>
      <c r="G17" s="473"/>
      <c r="H17" s="470"/>
      <c r="I17" s="470"/>
      <c r="J17" s="470"/>
      <c r="K17" s="471"/>
      <c r="L17" s="470"/>
      <c r="M17" s="470"/>
      <c r="R17" s="477"/>
    </row>
    <row r="18" spans="1:18" s="466" customFormat="1" x14ac:dyDescent="0.3">
      <c r="A18" s="332"/>
      <c r="F18" s="472"/>
      <c r="G18" s="473"/>
      <c r="H18" s="470"/>
      <c r="I18" s="470"/>
      <c r="J18" s="470"/>
      <c r="K18" s="471"/>
      <c r="L18" s="470"/>
      <c r="M18" s="470"/>
      <c r="R18" s="477"/>
    </row>
    <row r="19" spans="1:18" s="332" customFormat="1" x14ac:dyDescent="0.3">
      <c r="B19" s="466"/>
      <c r="C19" s="466"/>
      <c r="D19" s="466"/>
      <c r="E19" s="466"/>
      <c r="F19" s="472"/>
      <c r="G19" s="473"/>
      <c r="H19" s="470"/>
      <c r="I19" s="470"/>
      <c r="J19" s="470"/>
      <c r="K19" s="471"/>
      <c r="L19" s="470"/>
      <c r="M19" s="470"/>
    </row>
    <row r="20" spans="1:18" s="466" customFormat="1" x14ac:dyDescent="0.3">
      <c r="A20" s="332"/>
      <c r="E20" s="332"/>
      <c r="F20" s="470"/>
      <c r="G20" s="473"/>
      <c r="H20" s="470"/>
      <c r="I20" s="470"/>
      <c r="J20" s="470"/>
      <c r="K20" s="471"/>
      <c r="L20" s="470"/>
      <c r="M20" s="470"/>
    </row>
    <row r="21" spans="1:18" s="466" customFormat="1" x14ac:dyDescent="0.3">
      <c r="A21" s="332"/>
      <c r="F21" s="470"/>
      <c r="G21" s="473"/>
      <c r="H21" s="470"/>
      <c r="I21" s="470"/>
      <c r="J21" s="470"/>
      <c r="K21" s="471"/>
      <c r="L21" s="470"/>
      <c r="M21" s="470"/>
    </row>
    <row r="22" spans="1:18" s="466" customFormat="1" x14ac:dyDescent="0.3">
      <c r="A22" s="332"/>
      <c r="F22" s="470"/>
      <c r="G22" s="473"/>
      <c r="H22" s="470"/>
      <c r="I22" s="470"/>
      <c r="J22" s="470"/>
      <c r="K22" s="471"/>
      <c r="L22" s="470"/>
      <c r="M22" s="470"/>
    </row>
    <row r="23" spans="1:18" s="466" customFormat="1" x14ac:dyDescent="0.3">
      <c r="A23" s="332"/>
      <c r="F23" s="470"/>
      <c r="G23" s="473"/>
      <c r="H23" s="470"/>
      <c r="I23" s="470"/>
      <c r="J23" s="470"/>
      <c r="K23" s="471"/>
      <c r="L23" s="470"/>
      <c r="M23" s="470"/>
    </row>
    <row r="24" spans="1:18" s="466" customFormat="1" x14ac:dyDescent="0.3">
      <c r="A24" s="332"/>
      <c r="E24" s="332"/>
      <c r="F24" s="470"/>
      <c r="G24" s="473"/>
      <c r="H24" s="470"/>
      <c r="I24" s="470"/>
      <c r="J24" s="470"/>
      <c r="K24" s="471"/>
      <c r="L24" s="470"/>
      <c r="M24" s="470"/>
    </row>
    <row r="25" spans="1:18" s="466" customFormat="1" ht="19.5" thickBot="1" x14ac:dyDescent="0.35">
      <c r="A25" s="332"/>
      <c r="F25" s="470"/>
      <c r="G25" s="473"/>
      <c r="H25" s="470"/>
      <c r="I25" s="470"/>
      <c r="J25" s="470"/>
      <c r="K25" s="471"/>
      <c r="L25" s="470"/>
      <c r="M25" s="470"/>
    </row>
    <row r="26" spans="1:18" s="466" customFormat="1" ht="19.5" thickBot="1" x14ac:dyDescent="0.35">
      <c r="A26" s="332"/>
      <c r="E26" s="474"/>
      <c r="F26" s="481"/>
      <c r="G26" s="483"/>
      <c r="H26" s="475"/>
      <c r="I26" s="470"/>
      <c r="J26" s="470"/>
      <c r="K26" s="471"/>
      <c r="L26" s="470"/>
      <c r="M26" s="470"/>
    </row>
    <row r="27" spans="1:18" s="466" customFormat="1" x14ac:dyDescent="0.3">
      <c r="A27" s="332"/>
      <c r="E27" s="332"/>
      <c r="F27" s="470"/>
      <c r="G27" s="473"/>
      <c r="H27" s="470"/>
      <c r="I27" s="470"/>
      <c r="J27" s="470"/>
      <c r="K27" s="471"/>
      <c r="L27" s="470"/>
      <c r="M27" s="470"/>
    </row>
    <row r="28" spans="1:18" s="466" customFormat="1" x14ac:dyDescent="0.3">
      <c r="A28" s="332"/>
      <c r="F28" s="470"/>
      <c r="G28" s="473"/>
      <c r="H28" s="470"/>
      <c r="I28" s="470"/>
      <c r="J28" s="470"/>
      <c r="K28" s="471"/>
      <c r="L28" s="470"/>
      <c r="M28" s="470"/>
      <c r="R28" s="477"/>
    </row>
    <row r="29" spans="1:18" s="466" customFormat="1" x14ac:dyDescent="0.3">
      <c r="A29" s="332"/>
      <c r="F29" s="470"/>
      <c r="G29" s="473"/>
      <c r="H29" s="470"/>
      <c r="I29" s="470"/>
      <c r="J29" s="470"/>
      <c r="K29" s="471"/>
      <c r="L29" s="470"/>
      <c r="M29" s="470"/>
      <c r="N29" s="472"/>
      <c r="R29" s="477"/>
    </row>
    <row r="30" spans="1:18" s="466" customFormat="1" x14ac:dyDescent="0.3">
      <c r="A30" s="332"/>
      <c r="F30" s="470"/>
      <c r="G30" s="473"/>
      <c r="H30" s="470"/>
      <c r="I30" s="470"/>
      <c r="J30" s="470"/>
      <c r="K30" s="471"/>
      <c r="L30" s="470"/>
      <c r="M30" s="470"/>
      <c r="N30" s="472"/>
      <c r="R30" s="477"/>
    </row>
    <row r="31" spans="1:18" s="466" customFormat="1" x14ac:dyDescent="0.3">
      <c r="A31" s="332"/>
      <c r="F31" s="470"/>
      <c r="G31" s="473"/>
      <c r="H31" s="470"/>
      <c r="I31" s="470"/>
      <c r="J31" s="470"/>
      <c r="K31" s="471"/>
      <c r="L31" s="470"/>
      <c r="M31" s="470"/>
      <c r="N31" s="472"/>
    </row>
    <row r="32" spans="1:18" s="466" customFormat="1" x14ac:dyDescent="0.3">
      <c r="A32" s="332"/>
      <c r="F32" s="470"/>
      <c r="G32" s="473"/>
      <c r="H32" s="470"/>
      <c r="I32" s="470"/>
      <c r="J32" s="470"/>
      <c r="K32" s="471"/>
      <c r="L32" s="470"/>
      <c r="M32" s="470"/>
      <c r="R32" s="477"/>
    </row>
    <row r="33" spans="1:18" s="466" customFormat="1" x14ac:dyDescent="0.3">
      <c r="A33" s="332"/>
      <c r="F33" s="470"/>
      <c r="G33" s="473"/>
      <c r="H33" s="470"/>
      <c r="I33" s="470"/>
      <c r="J33" s="470"/>
      <c r="K33" s="471"/>
      <c r="L33" s="470"/>
      <c r="M33" s="470"/>
      <c r="R33" s="477"/>
    </row>
    <row r="34" spans="1:18" s="466" customFormat="1" x14ac:dyDescent="0.3">
      <c r="A34" s="332"/>
      <c r="E34" s="332"/>
      <c r="F34" s="470"/>
      <c r="G34" s="473"/>
      <c r="H34" s="470"/>
      <c r="I34" s="470"/>
      <c r="J34" s="470"/>
      <c r="K34" s="471"/>
      <c r="L34" s="470"/>
      <c r="M34" s="470"/>
      <c r="R34" s="477"/>
    </row>
    <row r="35" spans="1:18" s="466" customFormat="1" x14ac:dyDescent="0.3">
      <c r="A35" s="332"/>
      <c r="F35" s="470"/>
      <c r="G35" s="473"/>
      <c r="H35" s="470"/>
      <c r="I35" s="470"/>
      <c r="J35" s="470"/>
      <c r="K35" s="471"/>
      <c r="L35" s="470"/>
      <c r="M35" s="470"/>
      <c r="R35" s="477"/>
    </row>
    <row r="36" spans="1:18" s="488" customFormat="1" ht="56.25" x14ac:dyDescent="0.3">
      <c r="B36" s="488" t="s">
        <v>1080</v>
      </c>
      <c r="C36" s="488" t="s">
        <v>1081</v>
      </c>
      <c r="D36" s="488" t="s">
        <v>1082</v>
      </c>
      <c r="E36" s="488" t="s">
        <v>1083</v>
      </c>
      <c r="F36" s="489" t="s">
        <v>1084</v>
      </c>
      <c r="H36" s="489"/>
      <c r="I36" s="489"/>
      <c r="J36" s="489"/>
      <c r="K36" s="490"/>
      <c r="L36" s="489"/>
      <c r="M36" s="489"/>
    </row>
    <row r="37" spans="1:18" s="466" customFormat="1" x14ac:dyDescent="0.3">
      <c r="A37" s="332"/>
      <c r="F37" s="472"/>
      <c r="G37" s="473"/>
      <c r="H37" s="470"/>
      <c r="I37" s="470"/>
      <c r="J37" s="470"/>
      <c r="K37" s="471"/>
      <c r="L37" s="484"/>
      <c r="M37" s="470"/>
    </row>
    <row r="38" spans="1:18" s="466" customFormat="1" x14ac:dyDescent="0.3">
      <c r="A38" s="332">
        <v>1</v>
      </c>
      <c r="B38" s="466" t="s">
        <v>1096</v>
      </c>
      <c r="C38" s="466">
        <v>9</v>
      </c>
      <c r="D38" s="466">
        <v>2</v>
      </c>
      <c r="E38" s="466">
        <f t="shared" ref="E38:E58" si="0">+C38-D38</f>
        <v>7</v>
      </c>
      <c r="F38" s="472">
        <f t="shared" ref="F38:F58" si="1">+E38/C38*100</f>
        <v>77.777777777777786</v>
      </c>
      <c r="G38" s="473"/>
      <c r="H38" s="470"/>
      <c r="I38" s="470"/>
      <c r="J38" s="470"/>
      <c r="K38" s="471"/>
      <c r="L38" s="470"/>
      <c r="M38" s="470"/>
    </row>
    <row r="39" spans="1:18" s="466" customFormat="1" x14ac:dyDescent="0.3">
      <c r="A39" s="332">
        <v>2</v>
      </c>
      <c r="B39" s="466" t="s">
        <v>781</v>
      </c>
      <c r="C39" s="466">
        <v>209</v>
      </c>
      <c r="D39" s="466">
        <v>69</v>
      </c>
      <c r="E39" s="466">
        <f t="shared" si="0"/>
        <v>140</v>
      </c>
      <c r="F39" s="472">
        <f t="shared" si="1"/>
        <v>66.985645933014354</v>
      </c>
      <c r="G39" s="473"/>
      <c r="H39" s="470"/>
      <c r="I39" s="470"/>
      <c r="J39" s="470"/>
      <c r="K39" s="471"/>
      <c r="L39" s="470"/>
      <c r="M39" s="470"/>
    </row>
    <row r="40" spans="1:18" s="466" customFormat="1" x14ac:dyDescent="0.3">
      <c r="A40" s="332">
        <v>3</v>
      </c>
      <c r="B40" s="466" t="s">
        <v>775</v>
      </c>
      <c r="C40" s="466">
        <v>72</v>
      </c>
      <c r="D40" s="466">
        <v>28</v>
      </c>
      <c r="E40" s="466">
        <f t="shared" si="0"/>
        <v>44</v>
      </c>
      <c r="F40" s="472">
        <f t="shared" si="1"/>
        <v>61.111111111111114</v>
      </c>
      <c r="G40" s="473"/>
      <c r="H40" s="470"/>
      <c r="I40" s="470"/>
      <c r="J40" s="470"/>
      <c r="K40" s="471"/>
      <c r="L40" s="470"/>
      <c r="M40" s="470"/>
    </row>
    <row r="41" spans="1:18" s="466" customFormat="1" x14ac:dyDescent="0.3">
      <c r="A41" s="332">
        <v>4</v>
      </c>
      <c r="B41" s="466" t="s">
        <v>1091</v>
      </c>
      <c r="C41" s="466">
        <v>82</v>
      </c>
      <c r="D41" s="466">
        <v>32</v>
      </c>
      <c r="E41" s="466">
        <f t="shared" si="0"/>
        <v>50</v>
      </c>
      <c r="F41" s="472">
        <f t="shared" si="1"/>
        <v>60.975609756097562</v>
      </c>
      <c r="G41" s="473"/>
      <c r="H41" s="470"/>
      <c r="I41" s="470"/>
      <c r="J41" s="470"/>
      <c r="K41" s="471"/>
      <c r="L41" s="470"/>
      <c r="M41" s="470"/>
    </row>
    <row r="42" spans="1:18" s="466" customFormat="1" x14ac:dyDescent="0.3">
      <c r="A42" s="332">
        <v>5</v>
      </c>
      <c r="B42" s="466" t="s">
        <v>659</v>
      </c>
      <c r="C42" s="466">
        <v>24</v>
      </c>
      <c r="D42" s="466">
        <v>10</v>
      </c>
      <c r="E42" s="466">
        <f t="shared" si="0"/>
        <v>14</v>
      </c>
      <c r="F42" s="472">
        <f t="shared" si="1"/>
        <v>58.333333333333336</v>
      </c>
      <c r="G42" s="473"/>
      <c r="H42" s="470"/>
      <c r="I42" s="470"/>
      <c r="J42" s="470"/>
      <c r="K42" s="471"/>
      <c r="L42" s="470"/>
      <c r="M42" s="470"/>
    </row>
    <row r="43" spans="1:18" s="466" customFormat="1" x14ac:dyDescent="0.3">
      <c r="A43" s="332">
        <v>6</v>
      </c>
      <c r="B43" s="466" t="s">
        <v>918</v>
      </c>
      <c r="C43" s="466">
        <v>912</v>
      </c>
      <c r="D43" s="466">
        <v>381</v>
      </c>
      <c r="E43" s="466">
        <f t="shared" si="0"/>
        <v>531</v>
      </c>
      <c r="F43" s="472">
        <f t="shared" si="1"/>
        <v>58.223684210526315</v>
      </c>
      <c r="G43" s="473"/>
      <c r="H43" s="470"/>
      <c r="I43" s="470"/>
      <c r="J43" s="470"/>
      <c r="K43" s="471"/>
      <c r="L43" s="470"/>
      <c r="M43" s="470"/>
    </row>
    <row r="44" spans="1:18" s="466" customFormat="1" x14ac:dyDescent="0.3">
      <c r="A44" s="332">
        <v>7</v>
      </c>
      <c r="B44" s="466" t="s">
        <v>1093</v>
      </c>
      <c r="C44" s="466">
        <v>19</v>
      </c>
      <c r="D44" s="466">
        <v>8</v>
      </c>
      <c r="E44" s="466">
        <f t="shared" si="0"/>
        <v>11</v>
      </c>
      <c r="F44" s="472">
        <f t="shared" si="1"/>
        <v>57.894736842105267</v>
      </c>
      <c r="G44" s="473"/>
      <c r="H44" s="470"/>
      <c r="I44" s="470"/>
      <c r="J44" s="470"/>
      <c r="K44" s="471"/>
      <c r="L44" s="470"/>
      <c r="M44" s="470"/>
    </row>
    <row r="45" spans="1:18" s="466" customFormat="1" x14ac:dyDescent="0.3">
      <c r="A45" s="332">
        <v>8</v>
      </c>
      <c r="B45" s="466" t="s">
        <v>774</v>
      </c>
      <c r="C45" s="466">
        <v>57</v>
      </c>
      <c r="D45" s="466">
        <v>25</v>
      </c>
      <c r="E45" s="466">
        <f t="shared" si="0"/>
        <v>32</v>
      </c>
      <c r="F45" s="472">
        <f t="shared" si="1"/>
        <v>56.140350877192979</v>
      </c>
      <c r="G45" s="473"/>
      <c r="H45" s="470"/>
      <c r="I45" s="470"/>
      <c r="J45" s="470"/>
      <c r="K45" s="471"/>
      <c r="L45" s="470"/>
      <c r="M45" s="470"/>
    </row>
    <row r="46" spans="1:18" s="466" customFormat="1" x14ac:dyDescent="0.3">
      <c r="A46" s="332">
        <v>9</v>
      </c>
      <c r="B46" s="466" t="s">
        <v>1090</v>
      </c>
      <c r="C46" s="466">
        <v>48</v>
      </c>
      <c r="D46" s="466">
        <v>22</v>
      </c>
      <c r="E46" s="466">
        <f t="shared" si="0"/>
        <v>26</v>
      </c>
      <c r="F46" s="472">
        <f t="shared" si="1"/>
        <v>54.166666666666664</v>
      </c>
      <c r="G46" s="473"/>
      <c r="H46" s="470"/>
      <c r="I46" s="470"/>
      <c r="J46" s="470"/>
      <c r="K46" s="471"/>
      <c r="L46" s="470"/>
      <c r="M46" s="470"/>
    </row>
    <row r="47" spans="1:18" s="466" customFormat="1" x14ac:dyDescent="0.3">
      <c r="A47" s="332">
        <v>10</v>
      </c>
      <c r="B47" s="466" t="s">
        <v>1094</v>
      </c>
      <c r="C47" s="466">
        <v>49</v>
      </c>
      <c r="D47" s="466">
        <v>25</v>
      </c>
      <c r="E47" s="466">
        <f t="shared" si="0"/>
        <v>24</v>
      </c>
      <c r="F47" s="472">
        <f t="shared" si="1"/>
        <v>48.979591836734691</v>
      </c>
      <c r="G47" s="473"/>
      <c r="H47" s="470"/>
      <c r="I47" s="470"/>
      <c r="J47" s="470"/>
      <c r="K47" s="471"/>
      <c r="L47" s="470"/>
      <c r="M47" s="470"/>
    </row>
    <row r="48" spans="1:18" s="466" customFormat="1" x14ac:dyDescent="0.3">
      <c r="A48" s="332">
        <v>11</v>
      </c>
      <c r="B48" s="466" t="s">
        <v>1088</v>
      </c>
      <c r="C48" s="466">
        <v>271</v>
      </c>
      <c r="D48" s="466">
        <v>139</v>
      </c>
      <c r="E48" s="466">
        <f t="shared" si="0"/>
        <v>132</v>
      </c>
      <c r="F48" s="472">
        <f t="shared" si="1"/>
        <v>48.708487084870846</v>
      </c>
      <c r="G48" s="473"/>
      <c r="H48" s="470"/>
      <c r="I48" s="470"/>
      <c r="J48" s="470"/>
      <c r="K48" s="471"/>
      <c r="L48" s="470"/>
      <c r="M48" s="470"/>
    </row>
    <row r="49" spans="1:18" s="466" customFormat="1" x14ac:dyDescent="0.3">
      <c r="A49" s="332">
        <v>12</v>
      </c>
      <c r="B49" s="466" t="s">
        <v>1085</v>
      </c>
      <c r="C49" s="466">
        <v>64</v>
      </c>
      <c r="D49" s="466">
        <v>36</v>
      </c>
      <c r="E49" s="466">
        <f t="shared" si="0"/>
        <v>28</v>
      </c>
      <c r="F49" s="472">
        <f t="shared" si="1"/>
        <v>43.75</v>
      </c>
      <c r="G49" s="473"/>
      <c r="H49" s="470"/>
      <c r="I49" s="470"/>
      <c r="J49" s="470"/>
      <c r="K49" s="471"/>
      <c r="L49" s="470"/>
      <c r="M49" s="470"/>
      <c r="R49" s="477"/>
    </row>
    <row r="50" spans="1:18" s="466" customFormat="1" x14ac:dyDescent="0.3">
      <c r="A50" s="332">
        <v>13</v>
      </c>
      <c r="B50" s="466" t="s">
        <v>1087</v>
      </c>
      <c r="C50" s="466">
        <v>169</v>
      </c>
      <c r="D50" s="466">
        <v>100</v>
      </c>
      <c r="E50" s="466">
        <f t="shared" si="0"/>
        <v>69</v>
      </c>
      <c r="F50" s="472">
        <f t="shared" si="1"/>
        <v>40.828402366863905</v>
      </c>
      <c r="H50" s="470"/>
      <c r="I50" s="470"/>
      <c r="J50" s="470"/>
      <c r="L50" s="470"/>
      <c r="M50" s="470"/>
    </row>
    <row r="51" spans="1:18" s="466" customFormat="1" x14ac:dyDescent="0.3">
      <c r="A51" s="332">
        <v>14</v>
      </c>
      <c r="B51" s="466" t="s">
        <v>1097</v>
      </c>
      <c r="C51" s="466">
        <v>40</v>
      </c>
      <c r="D51" s="466">
        <v>24</v>
      </c>
      <c r="E51" s="466">
        <f t="shared" si="0"/>
        <v>16</v>
      </c>
      <c r="F51" s="472">
        <f t="shared" si="1"/>
        <v>40</v>
      </c>
      <c r="H51" s="470"/>
      <c r="I51" s="470"/>
      <c r="J51" s="470"/>
      <c r="L51" s="470"/>
      <c r="M51" s="470"/>
    </row>
    <row r="52" spans="1:18" s="466" customFormat="1" x14ac:dyDescent="0.3">
      <c r="A52" s="332">
        <v>15</v>
      </c>
      <c r="B52" s="466" t="s">
        <v>756</v>
      </c>
      <c r="C52" s="466">
        <v>363</v>
      </c>
      <c r="D52" s="466">
        <v>221</v>
      </c>
      <c r="E52" s="466">
        <f t="shared" si="0"/>
        <v>142</v>
      </c>
      <c r="F52" s="472">
        <f t="shared" si="1"/>
        <v>39.11845730027548</v>
      </c>
      <c r="G52" s="473"/>
      <c r="H52" s="470"/>
      <c r="I52" s="470"/>
      <c r="J52" s="470"/>
      <c r="K52" s="471"/>
      <c r="L52" s="470"/>
      <c r="M52" s="470"/>
      <c r="R52" s="477"/>
    </row>
    <row r="53" spans="1:18" s="466" customFormat="1" x14ac:dyDescent="0.3">
      <c r="A53" s="332">
        <v>16</v>
      </c>
      <c r="B53" s="466" t="s">
        <v>1095</v>
      </c>
      <c r="C53" s="466">
        <v>21</v>
      </c>
      <c r="D53" s="466">
        <v>12</v>
      </c>
      <c r="E53" s="466">
        <f t="shared" si="0"/>
        <v>9</v>
      </c>
      <c r="F53" s="472">
        <f t="shared" si="1"/>
        <v>42.857142857142854</v>
      </c>
      <c r="G53" s="473"/>
      <c r="H53" s="470"/>
      <c r="I53" s="470"/>
      <c r="J53" s="470"/>
      <c r="K53" s="471"/>
      <c r="L53" s="470"/>
      <c r="M53" s="470"/>
      <c r="R53" s="477"/>
    </row>
    <row r="54" spans="1:18" s="466" customFormat="1" x14ac:dyDescent="0.3">
      <c r="A54" s="332">
        <v>17</v>
      </c>
      <c r="B54" s="466" t="s">
        <v>1089</v>
      </c>
      <c r="C54" s="466">
        <v>123</v>
      </c>
      <c r="D54" s="466">
        <v>78</v>
      </c>
      <c r="E54" s="466">
        <f t="shared" si="0"/>
        <v>45</v>
      </c>
      <c r="F54" s="472">
        <f t="shared" si="1"/>
        <v>36.585365853658537</v>
      </c>
      <c r="G54" s="473"/>
      <c r="H54" s="470"/>
      <c r="I54" s="470"/>
      <c r="J54" s="470"/>
      <c r="K54" s="471"/>
      <c r="L54" s="470"/>
      <c r="M54" s="470"/>
      <c r="R54" s="477"/>
    </row>
    <row r="55" spans="1:18" s="466" customFormat="1" x14ac:dyDescent="0.3">
      <c r="A55" s="332">
        <v>18</v>
      </c>
      <c r="B55" s="466" t="s">
        <v>1092</v>
      </c>
      <c r="C55" s="466">
        <v>60</v>
      </c>
      <c r="D55" s="466">
        <v>39</v>
      </c>
      <c r="E55" s="466">
        <f t="shared" si="0"/>
        <v>21</v>
      </c>
      <c r="F55" s="472">
        <f t="shared" si="1"/>
        <v>35</v>
      </c>
      <c r="G55" s="473"/>
      <c r="H55" s="470"/>
      <c r="I55" s="470"/>
      <c r="J55" s="470"/>
      <c r="K55" s="471"/>
      <c r="L55" s="470"/>
      <c r="M55" s="470"/>
      <c r="R55" s="477"/>
    </row>
    <row r="56" spans="1:18" s="466" customFormat="1" x14ac:dyDescent="0.3">
      <c r="A56" s="332">
        <v>19</v>
      </c>
      <c r="B56" s="466" t="s">
        <v>1086</v>
      </c>
      <c r="C56" s="466">
        <v>95</v>
      </c>
      <c r="D56" s="466">
        <v>62</v>
      </c>
      <c r="E56" s="466">
        <f t="shared" si="0"/>
        <v>33</v>
      </c>
      <c r="F56" s="472">
        <f t="shared" si="1"/>
        <v>34.736842105263158</v>
      </c>
      <c r="G56" s="473"/>
      <c r="H56" s="470"/>
      <c r="I56" s="470"/>
      <c r="J56" s="470"/>
      <c r="K56" s="471"/>
      <c r="L56" s="470"/>
      <c r="M56" s="470"/>
      <c r="R56" s="477"/>
    </row>
    <row r="57" spans="1:18" s="466" customFormat="1" x14ac:dyDescent="0.3">
      <c r="A57" s="332">
        <v>20</v>
      </c>
      <c r="B57" s="466" t="s">
        <v>274</v>
      </c>
      <c r="C57" s="466">
        <v>74</v>
      </c>
      <c r="D57" s="466">
        <v>54</v>
      </c>
      <c r="E57" s="466">
        <f t="shared" si="0"/>
        <v>20</v>
      </c>
      <c r="F57" s="472">
        <f t="shared" si="1"/>
        <v>27.027027027027028</v>
      </c>
      <c r="G57" s="473"/>
      <c r="H57" s="470"/>
      <c r="I57" s="470"/>
      <c r="J57" s="470"/>
      <c r="K57" s="471"/>
      <c r="L57" s="470"/>
      <c r="M57" s="470"/>
      <c r="R57" s="477"/>
    </row>
    <row r="58" spans="1:18" s="466" customFormat="1" x14ac:dyDescent="0.3">
      <c r="A58" s="332">
        <v>21</v>
      </c>
      <c r="B58" s="466" t="s">
        <v>194</v>
      </c>
      <c r="C58" s="466">
        <v>4</v>
      </c>
      <c r="D58" s="466">
        <v>3</v>
      </c>
      <c r="E58" s="466">
        <f t="shared" si="0"/>
        <v>1</v>
      </c>
      <c r="F58" s="472">
        <f t="shared" si="1"/>
        <v>25</v>
      </c>
      <c r="G58" s="473"/>
      <c r="H58" s="470"/>
      <c r="I58" s="470"/>
      <c r="J58" s="470"/>
      <c r="K58" s="471"/>
      <c r="L58" s="470"/>
      <c r="M58" s="470"/>
      <c r="R58" s="477"/>
    </row>
    <row r="59" spans="1:18" s="466" customFormat="1" x14ac:dyDescent="0.3">
      <c r="A59" s="332"/>
      <c r="F59" s="470"/>
      <c r="G59" s="473"/>
      <c r="H59" s="470"/>
      <c r="I59" s="470"/>
      <c r="J59" s="470"/>
      <c r="K59" s="471"/>
      <c r="L59" s="470"/>
      <c r="M59" s="470"/>
      <c r="R59" s="477"/>
    </row>
    <row r="60" spans="1:18" s="466" customFormat="1" x14ac:dyDescent="0.3">
      <c r="A60" s="332"/>
      <c r="F60" s="470"/>
      <c r="G60" s="473"/>
      <c r="H60" s="470"/>
      <c r="I60" s="470"/>
      <c r="J60" s="470"/>
      <c r="K60" s="471"/>
      <c r="L60" s="470"/>
      <c r="M60" s="470"/>
      <c r="R60" s="477"/>
    </row>
    <row r="61" spans="1:18" s="466" customFormat="1" x14ac:dyDescent="0.3">
      <c r="A61" s="332"/>
      <c r="F61" s="470"/>
      <c r="G61" s="473"/>
      <c r="H61" s="470"/>
      <c r="I61" s="470"/>
      <c r="J61" s="470"/>
      <c r="K61" s="471"/>
      <c r="L61" s="470"/>
      <c r="M61" s="470"/>
      <c r="R61" s="477"/>
    </row>
    <row r="62" spans="1:18" s="466" customFormat="1" x14ac:dyDescent="0.3">
      <c r="A62" s="332"/>
      <c r="F62" s="470"/>
      <c r="G62" s="473"/>
      <c r="H62" s="470"/>
      <c r="I62" s="470"/>
      <c r="J62" s="470"/>
      <c r="K62" s="471"/>
      <c r="L62" s="470"/>
      <c r="M62" s="470"/>
      <c r="R62" s="477"/>
    </row>
    <row r="63" spans="1:18" s="466" customFormat="1" x14ac:dyDescent="0.3">
      <c r="A63" s="332"/>
      <c r="F63" s="470"/>
      <c r="G63" s="473"/>
      <c r="H63" s="470"/>
      <c r="I63" s="470"/>
      <c r="J63" s="470"/>
      <c r="K63" s="471"/>
      <c r="L63" s="470"/>
      <c r="M63" s="470"/>
      <c r="R63" s="477"/>
    </row>
    <row r="64" spans="1:18" s="466" customFormat="1" x14ac:dyDescent="0.3">
      <c r="A64" s="332"/>
      <c r="F64" s="470"/>
      <c r="G64" s="473"/>
      <c r="H64" s="470"/>
      <c r="I64" s="470"/>
      <c r="J64" s="470"/>
      <c r="K64" s="471"/>
      <c r="L64" s="470"/>
      <c r="M64" s="470"/>
      <c r="R64" s="477"/>
    </row>
    <row r="65" spans="1:18" s="466" customFormat="1" x14ac:dyDescent="0.3">
      <c r="A65" s="332"/>
      <c r="F65" s="470"/>
      <c r="G65" s="473"/>
      <c r="H65" s="470"/>
      <c r="I65" s="470"/>
      <c r="J65" s="470"/>
      <c r="K65" s="471"/>
      <c r="L65" s="470"/>
      <c r="M65" s="470"/>
      <c r="R65" s="477"/>
    </row>
    <row r="66" spans="1:18" s="466" customFormat="1" x14ac:dyDescent="0.3">
      <c r="A66" s="332"/>
      <c r="F66" s="470"/>
      <c r="G66" s="473"/>
      <c r="H66" s="470"/>
      <c r="I66" s="470"/>
      <c r="J66" s="470"/>
      <c r="K66" s="471"/>
      <c r="L66" s="470"/>
      <c r="M66" s="470"/>
      <c r="R66" s="477"/>
    </row>
    <row r="67" spans="1:18" s="466" customFormat="1" x14ac:dyDescent="0.3">
      <c r="A67" s="332"/>
      <c r="F67" s="470"/>
      <c r="G67" s="473"/>
      <c r="H67" s="470"/>
      <c r="I67" s="470"/>
      <c r="J67" s="470"/>
      <c r="K67" s="471"/>
      <c r="L67" s="470"/>
      <c r="M67" s="470"/>
      <c r="R67" s="477"/>
    </row>
    <row r="68" spans="1:18" s="466" customFormat="1" x14ac:dyDescent="0.3">
      <c r="A68" s="332"/>
      <c r="F68" s="470"/>
      <c r="G68" s="473"/>
      <c r="H68" s="470"/>
      <c r="I68" s="470"/>
      <c r="J68" s="470"/>
      <c r="K68" s="471"/>
      <c r="L68" s="470"/>
      <c r="M68" s="470"/>
      <c r="R68" s="477"/>
    </row>
    <row r="69" spans="1:18" s="466" customFormat="1" x14ac:dyDescent="0.3">
      <c r="A69" s="332"/>
      <c r="F69" s="470"/>
      <c r="G69" s="473"/>
      <c r="H69" s="470"/>
      <c r="I69" s="470"/>
      <c r="J69" s="470"/>
      <c r="K69" s="471"/>
      <c r="L69" s="470"/>
      <c r="M69" s="470"/>
      <c r="R69" s="477"/>
    </row>
    <row r="70" spans="1:18" s="466" customFormat="1" x14ac:dyDescent="0.3">
      <c r="A70" s="332"/>
      <c r="F70" s="470"/>
      <c r="G70" s="473"/>
      <c r="H70" s="470"/>
      <c r="I70" s="470"/>
      <c r="J70" s="470"/>
      <c r="K70" s="471"/>
      <c r="L70" s="470"/>
      <c r="M70" s="470"/>
      <c r="R70" s="477"/>
    </row>
    <row r="71" spans="1:18" s="466" customFormat="1" x14ac:dyDescent="0.3">
      <c r="A71" s="332"/>
      <c r="F71" s="470"/>
      <c r="G71" s="473"/>
      <c r="H71" s="470"/>
      <c r="I71" s="470"/>
      <c r="J71" s="470"/>
      <c r="K71" s="471"/>
      <c r="L71" s="470"/>
      <c r="M71" s="470"/>
      <c r="R71" s="477"/>
    </row>
    <row r="72" spans="1:18" s="466" customFormat="1" x14ac:dyDescent="0.3">
      <c r="A72" s="332"/>
      <c r="F72" s="470"/>
      <c r="G72" s="473"/>
      <c r="H72" s="470"/>
      <c r="I72" s="470"/>
      <c r="J72" s="470"/>
      <c r="K72" s="471"/>
      <c r="L72" s="470"/>
      <c r="M72" s="470"/>
      <c r="R72" s="477"/>
    </row>
    <row r="73" spans="1:18" s="466" customFormat="1" x14ac:dyDescent="0.3">
      <c r="A73" s="332"/>
      <c r="F73" s="470"/>
      <c r="G73" s="473"/>
      <c r="H73" s="470"/>
      <c r="I73" s="470"/>
      <c r="J73" s="470"/>
      <c r="K73" s="471"/>
      <c r="L73" s="470"/>
      <c r="M73" s="470"/>
      <c r="R73" s="477"/>
    </row>
    <row r="74" spans="1:18" s="466" customFormat="1" x14ac:dyDescent="0.3">
      <c r="A74" s="332"/>
      <c r="F74" s="470"/>
      <c r="G74" s="473"/>
      <c r="H74" s="470"/>
      <c r="I74" s="470"/>
      <c r="J74" s="470"/>
      <c r="K74" s="471"/>
      <c r="L74" s="470"/>
      <c r="M74" s="470"/>
      <c r="R74" s="477"/>
    </row>
    <row r="75" spans="1:18" s="466" customFormat="1" x14ac:dyDescent="0.3">
      <c r="A75" s="332"/>
      <c r="E75" s="485"/>
      <c r="F75" s="470"/>
      <c r="G75" s="473"/>
      <c r="H75" s="470"/>
      <c r="I75" s="470"/>
      <c r="J75" s="470"/>
      <c r="K75" s="471"/>
      <c r="L75" s="470"/>
      <c r="M75" s="470"/>
      <c r="R75" s="477"/>
    </row>
    <row r="76" spans="1:18" s="466" customFormat="1" x14ac:dyDescent="0.3">
      <c r="A76" s="332"/>
      <c r="F76" s="470"/>
      <c r="G76" s="473"/>
      <c r="H76" s="470"/>
      <c r="I76" s="470"/>
      <c r="J76" s="470"/>
      <c r="K76" s="471"/>
      <c r="L76" s="470"/>
      <c r="M76" s="470"/>
      <c r="R76" s="477"/>
    </row>
    <row r="77" spans="1:18" s="466" customFormat="1" x14ac:dyDescent="0.3">
      <c r="A77" s="332"/>
      <c r="F77" s="470"/>
      <c r="G77" s="473"/>
      <c r="H77" s="470"/>
      <c r="I77" s="470"/>
      <c r="J77" s="470"/>
      <c r="K77" s="471"/>
      <c r="L77" s="470"/>
      <c r="M77" s="470"/>
      <c r="R77" s="477"/>
    </row>
    <row r="78" spans="1:18" s="466" customFormat="1" x14ac:dyDescent="0.3">
      <c r="A78" s="332"/>
      <c r="F78" s="470"/>
      <c r="G78" s="473"/>
      <c r="H78" s="470"/>
      <c r="I78" s="470"/>
      <c r="J78" s="470"/>
      <c r="K78" s="471"/>
      <c r="L78" s="470"/>
      <c r="M78" s="470"/>
      <c r="R78" s="477"/>
    </row>
    <row r="79" spans="1:18" s="466" customFormat="1" x14ac:dyDescent="0.3">
      <c r="A79" s="332"/>
      <c r="F79" s="470"/>
      <c r="G79" s="473"/>
      <c r="H79" s="470"/>
      <c r="I79" s="470"/>
      <c r="J79" s="470"/>
      <c r="K79" s="471"/>
      <c r="L79" s="470"/>
      <c r="M79" s="470"/>
      <c r="R79" s="477"/>
    </row>
    <row r="80" spans="1:18" s="466" customFormat="1" x14ac:dyDescent="0.3">
      <c r="A80" s="332"/>
      <c r="F80" s="470"/>
      <c r="G80" s="473"/>
      <c r="H80" s="470"/>
      <c r="I80" s="470"/>
      <c r="J80" s="470"/>
      <c r="K80" s="471"/>
      <c r="L80" s="470"/>
      <c r="M80" s="470"/>
      <c r="R80" s="477"/>
    </row>
    <row r="81" spans="1:18" s="466" customFormat="1" x14ac:dyDescent="0.3">
      <c r="A81" s="332"/>
      <c r="F81" s="470"/>
      <c r="G81" s="473"/>
      <c r="H81" s="470"/>
      <c r="I81" s="470"/>
      <c r="J81" s="470"/>
      <c r="K81" s="471"/>
      <c r="L81" s="470"/>
      <c r="M81" s="470"/>
      <c r="R81" s="477"/>
    </row>
    <row r="82" spans="1:18" s="466" customFormat="1" x14ac:dyDescent="0.3">
      <c r="A82" s="332"/>
      <c r="F82" s="470"/>
      <c r="G82" s="473"/>
      <c r="H82" s="470"/>
      <c r="I82" s="470"/>
      <c r="J82" s="470"/>
      <c r="K82" s="471"/>
      <c r="L82" s="470"/>
      <c r="M82" s="470"/>
      <c r="R82" s="477"/>
    </row>
    <row r="83" spans="1:18" s="466" customFormat="1" x14ac:dyDescent="0.3">
      <c r="A83" s="332"/>
      <c r="F83" s="470"/>
      <c r="G83" s="473"/>
      <c r="H83" s="470"/>
      <c r="I83" s="470"/>
      <c r="J83" s="470"/>
      <c r="K83" s="471"/>
      <c r="L83" s="470"/>
      <c r="M83" s="470"/>
      <c r="R83" s="477"/>
    </row>
    <row r="84" spans="1:18" s="466" customFormat="1" x14ac:dyDescent="0.3">
      <c r="A84" s="332"/>
      <c r="F84" s="470"/>
      <c r="G84" s="473"/>
      <c r="H84" s="470"/>
      <c r="I84" s="470"/>
      <c r="J84" s="470"/>
      <c r="K84" s="471"/>
      <c r="L84" s="470"/>
      <c r="M84" s="470"/>
      <c r="R84" s="477"/>
    </row>
    <row r="85" spans="1:18" s="466" customFormat="1" x14ac:dyDescent="0.3">
      <c r="A85" s="332"/>
      <c r="F85" s="470"/>
      <c r="G85" s="473"/>
      <c r="H85" s="470"/>
      <c r="I85" s="470"/>
      <c r="J85" s="470"/>
      <c r="K85" s="471"/>
      <c r="L85" s="470"/>
      <c r="M85" s="470"/>
      <c r="R85" s="477"/>
    </row>
    <row r="86" spans="1:18" s="466" customFormat="1" x14ac:dyDescent="0.3">
      <c r="A86" s="332"/>
      <c r="F86" s="470"/>
      <c r="G86" s="473"/>
      <c r="H86" s="470"/>
      <c r="I86" s="470"/>
      <c r="J86" s="470"/>
      <c r="K86" s="471"/>
      <c r="L86" s="470"/>
      <c r="M86" s="470"/>
      <c r="R86" s="477"/>
    </row>
    <row r="87" spans="1:18" s="466" customFormat="1" x14ac:dyDescent="0.3">
      <c r="A87" s="332"/>
      <c r="F87" s="470"/>
      <c r="G87" s="473"/>
      <c r="H87" s="470"/>
      <c r="I87" s="470"/>
      <c r="J87" s="470"/>
      <c r="K87" s="471"/>
      <c r="L87" s="470"/>
      <c r="M87" s="470"/>
      <c r="R87" s="477"/>
    </row>
    <row r="88" spans="1:18" s="466" customFormat="1" x14ac:dyDescent="0.3">
      <c r="A88" s="332"/>
      <c r="F88" s="470"/>
      <c r="G88" s="473"/>
      <c r="H88" s="470"/>
      <c r="I88" s="470"/>
      <c r="J88" s="470"/>
      <c r="K88" s="471"/>
      <c r="L88" s="470"/>
      <c r="M88" s="470"/>
      <c r="R88" s="477"/>
    </row>
    <row r="89" spans="1:18" s="466" customFormat="1" x14ac:dyDescent="0.3">
      <c r="A89" s="332"/>
      <c r="F89" s="470"/>
      <c r="G89" s="473"/>
      <c r="H89" s="470"/>
      <c r="I89" s="470"/>
      <c r="J89" s="470"/>
      <c r="K89" s="471"/>
      <c r="L89" s="470"/>
      <c r="M89" s="470"/>
      <c r="R89" s="477"/>
    </row>
    <row r="90" spans="1:18" s="466" customFormat="1" x14ac:dyDescent="0.3">
      <c r="A90" s="332"/>
      <c r="F90" s="470"/>
      <c r="G90" s="473"/>
      <c r="H90" s="470"/>
      <c r="I90" s="470"/>
      <c r="J90" s="470"/>
      <c r="K90" s="471"/>
      <c r="L90" s="470"/>
      <c r="M90" s="470"/>
      <c r="R90" s="477"/>
    </row>
    <row r="91" spans="1:18" s="466" customFormat="1" x14ac:dyDescent="0.3">
      <c r="A91" s="332"/>
      <c r="F91" s="470"/>
      <c r="G91" s="473"/>
      <c r="H91" s="470"/>
      <c r="I91" s="470"/>
      <c r="J91" s="470"/>
      <c r="K91" s="471"/>
      <c r="L91" s="470"/>
      <c r="M91" s="470"/>
      <c r="R91" s="477"/>
    </row>
    <row r="92" spans="1:18" s="466" customFormat="1" x14ac:dyDescent="0.3">
      <c r="A92" s="332"/>
      <c r="F92" s="470"/>
      <c r="G92" s="473"/>
      <c r="H92" s="470"/>
      <c r="I92" s="470"/>
      <c r="J92" s="470"/>
      <c r="K92" s="471"/>
      <c r="L92" s="470"/>
      <c r="M92" s="470"/>
      <c r="R92" s="477"/>
    </row>
    <row r="93" spans="1:18" s="466" customFormat="1" x14ac:dyDescent="0.3">
      <c r="A93" s="332"/>
      <c r="F93" s="470"/>
      <c r="G93" s="473"/>
      <c r="H93" s="470"/>
      <c r="I93" s="470"/>
      <c r="J93" s="470"/>
      <c r="K93" s="471"/>
      <c r="L93" s="470"/>
      <c r="M93" s="470"/>
      <c r="R93" s="477"/>
    </row>
    <row r="94" spans="1:18" s="466" customFormat="1" x14ac:dyDescent="0.3">
      <c r="A94" s="332"/>
      <c r="F94" s="470"/>
      <c r="G94" s="473"/>
      <c r="H94" s="470"/>
      <c r="I94" s="470"/>
      <c r="J94" s="470"/>
      <c r="K94" s="471"/>
      <c r="L94" s="470"/>
      <c r="M94" s="470"/>
      <c r="R94" s="477"/>
    </row>
    <row r="95" spans="1:18" s="466" customFormat="1" x14ac:dyDescent="0.3">
      <c r="A95" s="332"/>
      <c r="F95" s="470"/>
      <c r="G95" s="473"/>
      <c r="H95" s="470"/>
      <c r="I95" s="470"/>
      <c r="J95" s="470"/>
      <c r="K95" s="471"/>
      <c r="L95" s="470"/>
      <c r="M95" s="470"/>
      <c r="R95" s="477"/>
    </row>
    <row r="96" spans="1:18" s="466" customFormat="1" x14ac:dyDescent="0.3">
      <c r="F96" s="470"/>
      <c r="G96" s="473"/>
      <c r="H96" s="470"/>
      <c r="I96" s="470"/>
      <c r="J96" s="470"/>
      <c r="K96" s="471"/>
      <c r="L96" s="470"/>
      <c r="M96" s="470"/>
      <c r="R96" s="477"/>
    </row>
    <row r="97" spans="1:18" s="466" customFormat="1" x14ac:dyDescent="0.3">
      <c r="A97" s="332"/>
      <c r="F97" s="470"/>
      <c r="G97" s="473"/>
      <c r="H97" s="470"/>
      <c r="I97" s="470"/>
      <c r="J97" s="470"/>
      <c r="K97" s="471"/>
      <c r="L97" s="470"/>
      <c r="M97" s="470"/>
      <c r="R97" s="477"/>
    </row>
    <row r="98" spans="1:18" s="466" customFormat="1" x14ac:dyDescent="0.3">
      <c r="A98" s="332"/>
      <c r="F98" s="470"/>
      <c r="G98" s="473"/>
      <c r="H98" s="470"/>
      <c r="I98" s="470"/>
      <c r="J98" s="470"/>
      <c r="K98" s="471"/>
      <c r="L98" s="470"/>
      <c r="M98" s="470"/>
      <c r="R98" s="477"/>
    </row>
    <row r="99" spans="1:18" s="466" customFormat="1" x14ac:dyDescent="0.3">
      <c r="A99" s="332"/>
      <c r="F99" s="470"/>
      <c r="G99" s="473"/>
      <c r="H99" s="470"/>
      <c r="I99" s="470"/>
      <c r="J99" s="470"/>
      <c r="K99" s="471"/>
      <c r="L99" s="470"/>
      <c r="M99" s="470"/>
      <c r="R99" s="477"/>
    </row>
    <row r="100" spans="1:18" s="466" customFormat="1" x14ac:dyDescent="0.3">
      <c r="A100" s="332"/>
      <c r="F100" s="470"/>
      <c r="G100" s="473"/>
      <c r="H100" s="470"/>
      <c r="I100" s="470"/>
      <c r="J100" s="470"/>
      <c r="K100" s="471"/>
      <c r="L100" s="470"/>
      <c r="M100" s="470"/>
      <c r="R100" s="477"/>
    </row>
    <row r="101" spans="1:18" s="466" customFormat="1" x14ac:dyDescent="0.3">
      <c r="A101" s="332"/>
      <c r="F101" s="470"/>
      <c r="G101" s="473"/>
      <c r="H101" s="470"/>
      <c r="I101" s="470"/>
      <c r="J101" s="470"/>
      <c r="K101" s="471"/>
      <c r="L101" s="470"/>
      <c r="M101" s="470"/>
      <c r="R101" s="477"/>
    </row>
    <row r="102" spans="1:18" s="466" customFormat="1" x14ac:dyDescent="0.3">
      <c r="A102" s="332"/>
      <c r="E102" s="332"/>
      <c r="F102" s="472"/>
      <c r="G102" s="478"/>
      <c r="H102" s="472"/>
      <c r="I102" s="472"/>
      <c r="J102" s="472"/>
      <c r="K102" s="486"/>
      <c r="L102" s="472"/>
      <c r="M102" s="472"/>
      <c r="R102" s="477"/>
    </row>
    <row r="103" spans="1:18" s="466" customFormat="1" x14ac:dyDescent="0.3">
      <c r="A103" s="332"/>
      <c r="F103" s="470"/>
      <c r="G103" s="473"/>
      <c r="H103" s="470"/>
      <c r="I103" s="470"/>
      <c r="J103" s="470"/>
      <c r="K103" s="487"/>
      <c r="L103" s="470"/>
      <c r="M103" s="470"/>
      <c r="R103" s="477"/>
    </row>
  </sheetData>
  <sortState ref="A38:F58">
    <sortCondition descending="1" ref="F38:F58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Budget</vt:lpstr>
      <vt:lpstr>STOCK TAKE</vt:lpstr>
      <vt:lpstr>cashflow</vt:lpstr>
      <vt:lpstr>cashbook</vt:lpstr>
      <vt:lpstr>cash budget</vt:lpstr>
      <vt:lpstr>o stock</vt:lpstr>
      <vt:lpstr>layby clients</vt:lpstr>
      <vt:lpstr>credit clients </vt:lpstr>
      <vt:lpstr>daily sales</vt:lpstr>
      <vt:lpstr>sales analysis</vt:lpstr>
      <vt:lpstr>sops</vt:lpstr>
      <vt:lpstr>stock purchase 2023</vt:lpstr>
      <vt:lpstr>stock movement</vt:lpstr>
      <vt:lpstr>Budget!Print_Area</vt:lpstr>
      <vt:lpstr>'o stock'!Print_Area</vt:lpstr>
      <vt:lpstr>'stock purchase 2023'!Print_Area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CHIDO</dc:creator>
  <cp:lastModifiedBy>Mrs Bosha</cp:lastModifiedBy>
  <cp:lastPrinted>2024-06-06T05:48:23Z</cp:lastPrinted>
  <dcterms:created xsi:type="dcterms:W3CDTF">2016-01-04T11:13:08Z</dcterms:created>
  <dcterms:modified xsi:type="dcterms:W3CDTF">2024-08-17T12:57:33Z</dcterms:modified>
</cp:coreProperties>
</file>